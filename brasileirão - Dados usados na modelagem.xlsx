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.silva\Downloads\"/>
    </mc:Choice>
  </mc:AlternateContent>
  <xr:revisionPtr revIDLastSave="0" documentId="8_{3534A53D-9812-48F9-BD1F-9FB34AE5581E}" xr6:coauthVersionLast="47" xr6:coauthVersionMax="47" xr10:uidLastSave="{00000000-0000-0000-0000-000000000000}"/>
  <bookViews>
    <workbookView xWindow="4635" yWindow="-15705" windowWidth="20010" windowHeight="12645" firstSheet="3" activeTab="6" xr2:uid="{C051482E-57AF-40BA-911A-AAB39CD35485}"/>
  </bookViews>
  <sheets>
    <sheet name="in" sheetId="1" r:id="rId1"/>
    <sheet name="publico" sheetId="3" r:id="rId2"/>
    <sheet name="k" sheetId="4" r:id="rId3"/>
    <sheet name="posição-valor" sheetId="6" r:id="rId4"/>
    <sheet name="escanteio" sheetId="7" r:id="rId5"/>
    <sheet name="2024" sheetId="2" r:id="rId6"/>
    <sheet name="Planilha1" sheetId="8" r:id="rId7"/>
  </sheet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6" l="1"/>
  <c r="O17" i="6"/>
  <c r="O16" i="6"/>
  <c r="O18" i="6"/>
  <c r="J10" i="3"/>
  <c r="J6" i="3"/>
  <c r="J7" i="3"/>
  <c r="J8" i="3"/>
  <c r="J9" i="3"/>
  <c r="J5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" i="2"/>
  <c r="BA4" i="2"/>
  <c r="BA3" i="2"/>
  <c r="BA2" i="2"/>
  <c r="K2" i="2"/>
  <c r="J4" i="6"/>
  <c r="J7" i="6"/>
  <c r="J5" i="6"/>
  <c r="G8" i="6"/>
  <c r="J6" i="6"/>
  <c r="AO194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F2" i="2"/>
  <c r="P5" i="3"/>
  <c r="P8" i="3"/>
  <c r="P7" i="3"/>
  <c r="P6" i="3"/>
  <c r="P4" i="3"/>
  <c r="P9" i="3"/>
  <c r="N12" i="3"/>
  <c r="N13" i="3"/>
  <c r="N14" i="3"/>
  <c r="N15" i="3"/>
  <c r="N16" i="3"/>
  <c r="N11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AV2" i="2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5" i="2"/>
  <c r="AO196" i="2"/>
  <c r="AO197" i="2"/>
  <c r="AO198" i="2"/>
  <c r="AO199" i="2"/>
  <c r="AO200" i="2"/>
  <c r="AO201" i="2"/>
  <c r="AO202" i="2"/>
  <c r="AO203" i="2"/>
  <c r="AO204" i="2"/>
  <c r="AO205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G2" i="2"/>
  <c r="AW2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AT196" i="2" l="1"/>
  <c r="AT195" i="2"/>
</calcChain>
</file>

<file path=xl/sharedStrings.xml><?xml version="1.0" encoding="utf-8"?>
<sst xmlns="http://schemas.openxmlformats.org/spreadsheetml/2006/main" count="14731" uniqueCount="506">
  <si>
    <t>ano_campeonato</t>
  </si>
  <si>
    <t>data</t>
  </si>
  <si>
    <t>rodada</t>
  </si>
  <si>
    <t>publico</t>
  </si>
  <si>
    <t>publico_max</t>
  </si>
  <si>
    <t>time_mandante</t>
  </si>
  <si>
    <t>time_visitante</t>
  </si>
  <si>
    <t>tecnico_mandante</t>
  </si>
  <si>
    <t>tecnico_visitante</t>
  </si>
  <si>
    <t>colocacao_mandante</t>
  </si>
  <si>
    <t>colocacao_visitante</t>
  </si>
  <si>
    <t>valor_equipe_titular_mandante</t>
  </si>
  <si>
    <t>valor_equipe_titular_visitante</t>
  </si>
  <si>
    <t>idade_media_titular_mandante</t>
  </si>
  <si>
    <t>idade_media_titular_visitante</t>
  </si>
  <si>
    <t>gols_mandante</t>
  </si>
  <si>
    <t>gols_visitante</t>
  </si>
  <si>
    <t>gols_1_tempo_mandante</t>
  </si>
  <si>
    <t>gols_1_tempo_visitante</t>
  </si>
  <si>
    <t>escanteios_mandante</t>
  </si>
  <si>
    <t>escanteios_visitante</t>
  </si>
  <si>
    <t>faltas_mandante</t>
  </si>
  <si>
    <t>faltas_visitante</t>
  </si>
  <si>
    <t>chutes_bola_parada_mandante</t>
  </si>
  <si>
    <t>chutes_bola_parada_visitante</t>
  </si>
  <si>
    <t>defesas_mandante</t>
  </si>
  <si>
    <t>defesas_visitante</t>
  </si>
  <si>
    <t>impedimentos_mandante</t>
  </si>
  <si>
    <t>impedimentos_visitante</t>
  </si>
  <si>
    <t>chutes_mandante</t>
  </si>
  <si>
    <t>chutes_visitante</t>
  </si>
  <si>
    <t>chutes_fora_mandante</t>
  </si>
  <si>
    <t>chutes_fora_visitante</t>
  </si>
  <si>
    <t>saldo_mandante</t>
  </si>
  <si>
    <t>vitoria</t>
  </si>
  <si>
    <t>xg_mandante</t>
  </si>
  <si>
    <t>cartão_vermelho_mandante</t>
  </si>
  <si>
    <t>Internacional</t>
  </si>
  <si>
    <t>EC Bahia</t>
  </si>
  <si>
    <t>Eduardo Coudet</t>
  </si>
  <si>
    <t>RogÃ©rio Ceni</t>
  </si>
  <si>
    <t>27.6</t>
  </si>
  <si>
    <t>1.89</t>
  </si>
  <si>
    <t>CriciÃºma EC</t>
  </si>
  <si>
    <t>Juventude</t>
  </si>
  <si>
    <t>ClÃ¡udio Tencati</t>
  </si>
  <si>
    <t>Roger Machado</t>
  </si>
  <si>
    <t>31.1</t>
  </si>
  <si>
    <t>30.4</t>
  </si>
  <si>
    <t>0.71</t>
  </si>
  <si>
    <t>Cruzeiro</t>
  </si>
  <si>
    <t>Botafogo</t>
  </si>
  <si>
    <t>Fernando Seabra</t>
  </si>
  <si>
    <t>Artur Jorge</t>
  </si>
  <si>
    <t>1.65</t>
  </si>
  <si>
    <t>Fluminense</t>
  </si>
  <si>
    <t>RB Bragantino</t>
  </si>
  <si>
    <t>Fernando Diniz</t>
  </si>
  <si>
    <t>Pedro Caixinha</t>
  </si>
  <si>
    <t>31.4</t>
  </si>
  <si>
    <t>24.5</t>
  </si>
  <si>
    <t>1.76</t>
  </si>
  <si>
    <t>SÃ£o Paulo</t>
  </si>
  <si>
    <t>Fortaleza</t>
  </si>
  <si>
    <t>Thiago Carpini</t>
  </si>
  <si>
    <t>Juan Pablo Vojvoda</t>
  </si>
  <si>
    <t>28.3</t>
  </si>
  <si>
    <t>31.2</t>
  </si>
  <si>
    <t>0.53</t>
  </si>
  <si>
    <t>Athletico-PR</t>
  </si>
  <si>
    <t>CuiabÃ¡-MT</t>
  </si>
  <si>
    <t>Cuca</t>
  </si>
  <si>
    <t>Luiz Fernando Iubel</t>
  </si>
  <si>
    <t>27.7</t>
  </si>
  <si>
    <t>29.2</t>
  </si>
  <si>
    <t>1.96</t>
  </si>
  <si>
    <t>AtlÃ©tico-GO</t>
  </si>
  <si>
    <t>Flamengo</t>
  </si>
  <si>
    <t>Jair Ventura</t>
  </si>
  <si>
    <t>Tite</t>
  </si>
  <si>
    <t>26.2</t>
  </si>
  <si>
    <t>1.62</t>
  </si>
  <si>
    <t>Vasco da Gama</t>
  </si>
  <si>
    <t>GrÃªmio</t>
  </si>
  <si>
    <t>RamÃ³n DÃ­az</t>
  </si>
  <si>
    <t>Renato GaÃºcho</t>
  </si>
  <si>
    <t>28.9</t>
  </si>
  <si>
    <t>0.90</t>
  </si>
  <si>
    <t>Corinthians</t>
  </si>
  <si>
    <t>AtlÃ©tico-MG</t>
  </si>
  <si>
    <t>Toni Oliveira</t>
  </si>
  <si>
    <t>Gabriel Milito</t>
  </si>
  <si>
    <t>29.7</t>
  </si>
  <si>
    <t>0.46</t>
  </si>
  <si>
    <t>EC VitÃ³ria</t>
  </si>
  <si>
    <t>Palmeiras</t>
  </si>
  <si>
    <t>LÃ©o CondÃ©</t>
  </si>
  <si>
    <t>Abel Ferreira</t>
  </si>
  <si>
    <t>27.8</t>
  </si>
  <si>
    <t>26.1</t>
  </si>
  <si>
    <t>28.7</t>
  </si>
  <si>
    <t>1.08</t>
  </si>
  <si>
    <t>1.04</t>
  </si>
  <si>
    <t>1.13</t>
  </si>
  <si>
    <t>26.6</t>
  </si>
  <si>
    <t>29.1</t>
  </si>
  <si>
    <t>1.45</t>
  </si>
  <si>
    <t>28.2</t>
  </si>
  <si>
    <t>1.3</t>
  </si>
  <si>
    <t>30.6</t>
  </si>
  <si>
    <t>0.64</t>
  </si>
  <si>
    <t>29.5</t>
  </si>
  <si>
    <t>1.63</t>
  </si>
  <si>
    <t>24.1</t>
  </si>
  <si>
    <t>27.4</t>
  </si>
  <si>
    <t>0.95</t>
  </si>
  <si>
    <t>26.9</t>
  </si>
  <si>
    <t>26.8</t>
  </si>
  <si>
    <t>0.76</t>
  </si>
  <si>
    <t>Petit</t>
  </si>
  <si>
    <t>27.5</t>
  </si>
  <si>
    <t>0.3</t>
  </si>
  <si>
    <t>26.5</t>
  </si>
  <si>
    <t>28.8</t>
  </si>
  <si>
    <t>0.63</t>
  </si>
  <si>
    <t>1.31</t>
  </si>
  <si>
    <t>0.45</t>
  </si>
  <si>
    <t>0.4</t>
  </si>
  <si>
    <t>28.1</t>
  </si>
  <si>
    <t>28.5</t>
  </si>
  <si>
    <t>2.96</t>
  </si>
  <si>
    <t>1.69</t>
  </si>
  <si>
    <t>Milton Cruz</t>
  </si>
  <si>
    <t>0.24</t>
  </si>
  <si>
    <t>28.6</t>
  </si>
  <si>
    <t>27.9</t>
  </si>
  <si>
    <t>0.25</t>
  </si>
  <si>
    <t>28.4</t>
  </si>
  <si>
    <t>31.3</t>
  </si>
  <si>
    <t>2.02</t>
  </si>
  <si>
    <t>1.2</t>
  </si>
  <si>
    <t>0.82</t>
  </si>
  <si>
    <t>30.5</t>
  </si>
  <si>
    <t>1.16</t>
  </si>
  <si>
    <t>30.2</t>
  </si>
  <si>
    <t>24.9</t>
  </si>
  <si>
    <t>1.68</t>
  </si>
  <si>
    <t>31.8</t>
  </si>
  <si>
    <t>1.23</t>
  </si>
  <si>
    <t>26.4</t>
  </si>
  <si>
    <t>1.17</t>
  </si>
  <si>
    <t>26.7</t>
  </si>
  <si>
    <t>1.92</t>
  </si>
  <si>
    <t>Luis ZubeldÃ­a</t>
  </si>
  <si>
    <t>0.87</t>
  </si>
  <si>
    <t>32.5</t>
  </si>
  <si>
    <t>1.81</t>
  </si>
  <si>
    <t>0.88</t>
  </si>
  <si>
    <t>Ricardo Colbachini</t>
  </si>
  <si>
    <t>0.39</t>
  </si>
  <si>
    <t>Rafael Paiva</t>
  </si>
  <si>
    <t>2.32</t>
  </si>
  <si>
    <t>1.25</t>
  </si>
  <si>
    <t>27.1</t>
  </si>
  <si>
    <t>1.5</t>
  </si>
  <si>
    <t>1.7</t>
  </si>
  <si>
    <t>29.8</t>
  </si>
  <si>
    <t>0.61</t>
  </si>
  <si>
    <t>27.2</t>
  </si>
  <si>
    <t>1.99</t>
  </si>
  <si>
    <t>1.48</t>
  </si>
  <si>
    <t>24.6</t>
  </si>
  <si>
    <t>1.77</t>
  </si>
  <si>
    <t>3.42</t>
  </si>
  <si>
    <t>29.4</t>
  </si>
  <si>
    <t>1.83</t>
  </si>
  <si>
    <t>25.1</t>
  </si>
  <si>
    <t>0.44</t>
  </si>
  <si>
    <t>0.58</t>
  </si>
  <si>
    <t>31.5</t>
  </si>
  <si>
    <t>2.34</t>
  </si>
  <si>
    <t>1.02</t>
  </si>
  <si>
    <t>0.57</t>
  </si>
  <si>
    <t>Carlos Martinho</t>
  </si>
  <si>
    <t>Ãlvaro Pacheco</t>
  </si>
  <si>
    <t>0.09</t>
  </si>
  <si>
    <t>1.27</t>
  </si>
  <si>
    <t>0.77</t>
  </si>
  <si>
    <t>1.75</t>
  </si>
  <si>
    <t>25.5</t>
  </si>
  <si>
    <t>3.08</t>
  </si>
  <si>
    <t>0.68</t>
  </si>
  <si>
    <t>1.18</t>
  </si>
  <si>
    <t>30.1</t>
  </si>
  <si>
    <t>0.96</t>
  </si>
  <si>
    <t>1.01</t>
  </si>
  <si>
    <t>2.36</t>
  </si>
  <si>
    <t>30.9</t>
  </si>
  <si>
    <t>2.69</t>
  </si>
  <si>
    <t>0.2</t>
  </si>
  <si>
    <t>29.9</t>
  </si>
  <si>
    <t>1.43</t>
  </si>
  <si>
    <t>24.8</t>
  </si>
  <si>
    <t>0.48</t>
  </si>
  <si>
    <t>1.03</t>
  </si>
  <si>
    <t>30.8</t>
  </si>
  <si>
    <t>3.59</t>
  </si>
  <si>
    <t>32.7</t>
  </si>
  <si>
    <t>30.3</t>
  </si>
  <si>
    <t>27.3</t>
  </si>
  <si>
    <t>1.79</t>
  </si>
  <si>
    <t>1.06</t>
  </si>
  <si>
    <t>0.37</t>
  </si>
  <si>
    <t>Juca</t>
  </si>
  <si>
    <t>1.88</t>
  </si>
  <si>
    <t>Anderson Gomes</t>
  </si>
  <si>
    <t>1.72</t>
  </si>
  <si>
    <t>25.6</t>
  </si>
  <si>
    <t>0.55</t>
  </si>
  <si>
    <t>2.48</t>
  </si>
  <si>
    <t>24.3</t>
  </si>
  <si>
    <t>25.7</t>
  </si>
  <si>
    <t>2.45</t>
  </si>
  <si>
    <t>MarcÃ£o</t>
  </si>
  <si>
    <t>33.6</t>
  </si>
  <si>
    <t>0.34</t>
  </si>
  <si>
    <t>0.47</t>
  </si>
  <si>
    <t>1.82</t>
  </si>
  <si>
    <t>25.3</t>
  </si>
  <si>
    <t>0.75</t>
  </si>
  <si>
    <t>24.4</t>
  </si>
  <si>
    <t>1.59</t>
  </si>
  <si>
    <t>2.3</t>
  </si>
  <si>
    <t>25.9</t>
  </si>
  <si>
    <t>1.54</t>
  </si>
  <si>
    <t>29.3</t>
  </si>
  <si>
    <t>1.57</t>
  </si>
  <si>
    <t>Bernardo Franco</t>
  </si>
  <si>
    <t>Umberto Louzer</t>
  </si>
  <si>
    <t>26.3</t>
  </si>
  <si>
    <t>Mano Menezes</t>
  </si>
  <si>
    <t>Lucho GonzÃ¡lez</t>
  </si>
  <si>
    <t>2.1</t>
  </si>
  <si>
    <t>1.22</t>
  </si>
  <si>
    <t>0.31</t>
  </si>
  <si>
    <t>1.9</t>
  </si>
  <si>
    <t>1.85</t>
  </si>
  <si>
    <t>0.5</t>
  </si>
  <si>
    <t>1.38</t>
  </si>
  <si>
    <t>MartÃ­n Varini</t>
  </si>
  <si>
    <t>1.0</t>
  </si>
  <si>
    <t>1.87</t>
  </si>
  <si>
    <t>25.8</t>
  </si>
  <si>
    <t>23.3</t>
  </si>
  <si>
    <t>2.2</t>
  </si>
  <si>
    <t>3.3</t>
  </si>
  <si>
    <t>0.8</t>
  </si>
  <si>
    <t>2.17</t>
  </si>
  <si>
    <t>1.6</t>
  </si>
  <si>
    <t>1.09</t>
  </si>
  <si>
    <t>2.61</t>
  </si>
  <si>
    <t>2.43</t>
  </si>
  <si>
    <t>0.65</t>
  </si>
  <si>
    <t>0.92</t>
  </si>
  <si>
    <t>0.86</t>
  </si>
  <si>
    <t>2.66</t>
  </si>
  <si>
    <t>1.26</t>
  </si>
  <si>
    <t>0.54</t>
  </si>
  <si>
    <t>0.62</t>
  </si>
  <si>
    <t>1.36</t>
  </si>
  <si>
    <t>25.2</t>
  </si>
  <si>
    <t>0.9</t>
  </si>
  <si>
    <t>2.01</t>
  </si>
  <si>
    <t>1.86</t>
  </si>
  <si>
    <t>1.1</t>
  </si>
  <si>
    <t>3.33</t>
  </si>
  <si>
    <t>1.11</t>
  </si>
  <si>
    <t>0.36</t>
  </si>
  <si>
    <t>24.2</t>
  </si>
  <si>
    <t>1.56</t>
  </si>
  <si>
    <t>2.4</t>
  </si>
  <si>
    <t>1.53</t>
  </si>
  <si>
    <t>1.35</t>
  </si>
  <si>
    <t>2.60</t>
  </si>
  <si>
    <t>Marcelo Salles</t>
  </si>
  <si>
    <t>0.98</t>
  </si>
  <si>
    <t>Eduardo Barros</t>
  </si>
  <si>
    <t>Rodrigo Squinalli</t>
  </si>
  <si>
    <t>1.00</t>
  </si>
  <si>
    <t>32.3</t>
  </si>
  <si>
    <t>2.97</t>
  </si>
  <si>
    <t>2.39</t>
  </si>
  <si>
    <t>2.59</t>
  </si>
  <si>
    <t>0.79</t>
  </si>
  <si>
    <t>0.7</t>
  </si>
  <si>
    <t>0.84</t>
  </si>
  <si>
    <t>29.6</t>
  </si>
  <si>
    <t>1.24</t>
  </si>
  <si>
    <t>Filipe LuÃ­s</t>
  </si>
  <si>
    <t>31.6</t>
  </si>
  <si>
    <t>0.69</t>
  </si>
  <si>
    <t>1.84</t>
  </si>
  <si>
    <t>2.5</t>
  </si>
  <si>
    <t>1.97</t>
  </si>
  <si>
    <t>3.72</t>
  </si>
  <si>
    <t>1.39</t>
  </si>
  <si>
    <t>2.53</t>
  </si>
  <si>
    <t>1.4</t>
  </si>
  <si>
    <t>Paulo Turra</t>
  </si>
  <si>
    <t>30.7</t>
  </si>
  <si>
    <t>AmÃ©rica-MG</t>
  </si>
  <si>
    <t>LuÃ­s Castro</t>
  </si>
  <si>
    <t>Vagner Mancini</t>
  </si>
  <si>
    <t>GoiÃ¡s</t>
  </si>
  <si>
    <t>Armando Evangelista</t>
  </si>
  <si>
    <t>Dorival JÃºnior</t>
  </si>
  <si>
    <t>Renato Paiva</t>
  </si>
  <si>
    <t>Vanderlei Luxemburgo</t>
  </si>
  <si>
    <t>23.8</t>
  </si>
  <si>
    <t>Renato Portaluppi</t>
  </si>
  <si>
    <t>LÃºcio FlÃ¡vio</t>
  </si>
  <si>
    <t>Coritiba FC</t>
  </si>
  <si>
    <t>Thiago Kosloski</t>
  </si>
  <si>
    <t>ZÃ© Ricardo</t>
  </si>
  <si>
    <t>Bruno Lage</t>
  </si>
  <si>
    <t>Wesley Carvalho</t>
  </si>
  <si>
    <t>Santos</t>
  </si>
  <si>
    <t>AntÃ´nio Carlos Zago</t>
  </si>
  <si>
    <t>Odair Hellmann</t>
  </si>
  <si>
    <t>Jorge Sampaoli</t>
  </si>
  <si>
    <t>ClÃ¡udio CaÃ§apa</t>
  </si>
  <si>
    <t>William Batista</t>
  </si>
  <si>
    <t>25.4</t>
  </si>
  <si>
    <t>Tiago Nunes</t>
  </si>
  <si>
    <t>Paulo Autuori</t>
  </si>
  <si>
    <t>Pepa</t>
  </si>
  <si>
    <t>Luiz Felipe Scolari</t>
  </si>
  <si>
    <t>Ã‰merson Ãvila</t>
  </si>
  <si>
    <t>Marcelo Fernandes</t>
  </si>
  <si>
    <t>24.7</t>
  </si>
  <si>
    <t>Guto Ferreira</t>
  </si>
  <si>
    <t>MaurÃ­cio Barbieri</t>
  </si>
  <si>
    <t>Diego Aguirre</t>
  </si>
  <si>
    <t>MÃ¡rio Henrique</t>
  </si>
  <si>
    <t>FabiÃ¡n Bustos</t>
  </si>
  <si>
    <t>Diogo Giacomini</t>
  </si>
  <si>
    <t>MÃ¡rio Jorge</t>
  </si>
  <si>
    <t>Ivo Vieira</t>
  </si>
  <si>
    <t>23.9</t>
  </si>
  <si>
    <t>Fernando LÃ¡zaro</t>
  </si>
  <si>
    <t>32.4</t>
  </si>
  <si>
    <t>23.7</t>
  </si>
  <si>
    <t>23.6</t>
  </si>
  <si>
    <t>Danilo</t>
  </si>
  <si>
    <t>Leonardo Galbes</t>
  </si>
  <si>
    <t>Claudiomiro</t>
  </si>
  <si>
    <t>32.1</t>
  </si>
  <si>
    <t>31.7</t>
  </si>
  <si>
    <t>Gustavo MorÃ­nigo</t>
  </si>
  <si>
    <t>VÃ­tor Pereira</t>
  </si>
  <si>
    <t>Celso Roth</t>
  </si>
  <si>
    <t>CearÃ¡ SC</t>
  </si>
  <si>
    <t>Lisca</t>
  </si>
  <si>
    <t>Orlando Ribeiro</t>
  </si>
  <si>
    <t>Lucas Zanella</t>
  </si>
  <si>
    <t>AvaÃ­ FC</t>
  </si>
  <si>
    <t>FabrÃ­cio Bento</t>
  </si>
  <si>
    <t>Eduardo Barroca</t>
  </si>
  <si>
    <t>Marquinhos Santos</t>
  </si>
  <si>
    <t>Eduardo Baptista</t>
  </si>
  <si>
    <t>Antonio Mohamed</t>
  </si>
  <si>
    <t>Paulo Sousa</t>
  </si>
  <si>
    <t>23.5</t>
  </si>
  <si>
    <t>22.4</t>
  </si>
  <si>
    <t>Pintado</t>
  </si>
  <si>
    <t>Eduardo Souza</t>
  </si>
  <si>
    <t>Abel Braga</t>
  </si>
  <si>
    <t>Cauan Almeida</t>
  </si>
  <si>
    <t>Alberto Valentim</t>
  </si>
  <si>
    <t>FÃ¡bio Carille</t>
  </si>
  <si>
    <t>Glauber Ramos</t>
  </si>
  <si>
    <t>31.9</t>
  </si>
  <si>
    <t>23.2</t>
  </si>
  <si>
    <t>Alexander Medina</t>
  </si>
  <si>
    <t>Lucas GonÃ§alves</t>
  </si>
  <si>
    <t>22.6</t>
  </si>
  <si>
    <t>23.4</t>
  </si>
  <si>
    <t>21.8</t>
  </si>
  <si>
    <t>Marcinho</t>
  </si>
  <si>
    <t>32.2</t>
  </si>
  <si>
    <t>HernÃ¡n Crespo</t>
  </si>
  <si>
    <t>Sport Recife</t>
  </si>
  <si>
    <t>Sylvinho</t>
  </si>
  <si>
    <t>Diego Dabove</t>
  </si>
  <si>
    <t>Chapecoense</t>
  </si>
  <si>
    <t>Felipe Endres</t>
  </si>
  <si>
    <t>Bruno Lopes</t>
  </si>
  <si>
    <t>Gustavo FlorentÃ­n</t>
  </si>
  <si>
    <t>Dado Cavalcanti</t>
  </si>
  <si>
    <t>Osmar Loss</t>
  </si>
  <si>
    <t>MaurÃ­cio Souza</t>
  </si>
  <si>
    <t>22.9</t>
  </si>
  <si>
    <t>Miguel Ãngel RamÃ­rez</t>
  </si>
  <si>
    <t>Thiago Gomes</t>
  </si>
  <si>
    <t>JoÃ£o Martins</t>
  </si>
  <si>
    <t>20.4</t>
  </si>
  <si>
    <t>21.9</t>
  </si>
  <si>
    <t>22.5</t>
  </si>
  <si>
    <t>Marcelo Cabo</t>
  </si>
  <si>
    <t>22.3</t>
  </si>
  <si>
    <t>Bruno Lazaroni</t>
  </si>
  <si>
    <t>20.5</t>
  </si>
  <si>
    <t>Ricardo Severo</t>
  </si>
  <si>
    <t>21.7</t>
  </si>
  <si>
    <t>22.8</t>
  </si>
  <si>
    <t>22.7</t>
  </si>
  <si>
    <t>GoiÃ¡s EC</t>
  </si>
  <si>
    <t>Ricardo SÃ¡ Pinto</t>
  </si>
  <si>
    <t>Vizolli</t>
  </si>
  <si>
    <t>Santos FC</t>
  </si>
  <si>
    <t>Enderson Moreira</t>
  </si>
  <si>
    <t>Emiliano RamÃ³n DÃ­az</t>
  </si>
  <si>
    <t>Marcelo Chamusca</t>
  </si>
  <si>
    <t>Felipe Lucena</t>
  </si>
  <si>
    <t>22.1</t>
  </si>
  <si>
    <t>Felipe TigrÃ£o</t>
  </si>
  <si>
    <t>Ramon Menezes</t>
  </si>
  <si>
    <t>Marconne Montenegro</t>
  </si>
  <si>
    <t>FlÃ¡vio Tenius</t>
  </si>
  <si>
    <t>VÃ¡gner Mancini</t>
  </si>
  <si>
    <t>DomÃ¨nec Torrent</t>
  </si>
  <si>
    <t>Rodrigo Santana</t>
  </si>
  <si>
    <t>Andrey Lopes</t>
  </si>
  <si>
    <t>Thiago Larghi</t>
  </si>
  <si>
    <t>21.5</t>
  </si>
  <si>
    <t>21.6</t>
  </si>
  <si>
    <t>Coelho</t>
  </si>
  <si>
    <t>Pachequinho</t>
  </si>
  <si>
    <t>Daniel Paulista</t>
  </si>
  <si>
    <t>Alexandre Grasseli</t>
  </si>
  <si>
    <t>Claudio Prates</t>
  </si>
  <si>
    <t>Ney Franco</t>
  </si>
  <si>
    <t>Mozart</t>
  </si>
  <si>
    <t>CSA</t>
  </si>
  <si>
    <t>Claudinei Oliveira</t>
  </si>
  <si>
    <t>Argel Fucks</t>
  </si>
  <si>
    <t>Jorge Jesus</t>
  </si>
  <si>
    <t>Geninho</t>
  </si>
  <si>
    <t>Evando</t>
  </si>
  <si>
    <t>32.9</t>
  </si>
  <si>
    <t>Adilson Batista</t>
  </si>
  <si>
    <t>Marcos Valadares</t>
  </si>
  <si>
    <t>Jacozinho</t>
  </si>
  <si>
    <t>23.1</t>
  </si>
  <si>
    <t>AtlÃ©tico-PR</t>
  </si>
  <si>
    <t>Paulo CÃ©sar Carpegiani</t>
  </si>
  <si>
    <t>JoÃ£o Burse</t>
  </si>
  <si>
    <t>ParanÃ¡</t>
  </si>
  <si>
    <t>Marcelo Oliveira</t>
  </si>
  <si>
    <t>FÃ¡bio Moreno</t>
  </si>
  <si>
    <t>Givanildo Oliveira</t>
  </si>
  <si>
    <t>AndrÃ© Jardine</t>
  </si>
  <si>
    <t>Milton Mendes</t>
  </si>
  <si>
    <t>Levir Culpi</t>
  </si>
  <si>
    <t>Valdir</t>
  </si>
  <si>
    <t>Marcos PaquetÃ¡</t>
  </si>
  <si>
    <t>RogÃ©rio Micale</t>
  </si>
  <si>
    <t>22.2</t>
  </si>
  <si>
    <t>Contagem de faixa</t>
  </si>
  <si>
    <t>Soma de vitoria_empate</t>
  </si>
  <si>
    <t>faixa</t>
  </si>
  <si>
    <t>Total Geral</t>
  </si>
  <si>
    <t>0-4.999</t>
  </si>
  <si>
    <t>&gt;=30.000</t>
  </si>
  <si>
    <t>5.000-9.999</t>
  </si>
  <si>
    <t>10.000-14.999</t>
  </si>
  <si>
    <t>20.000-29.999</t>
  </si>
  <si>
    <t>15.000-19.999</t>
  </si>
  <si>
    <t>Soma de vitoria</t>
  </si>
  <si>
    <t>posição</t>
  </si>
  <si>
    <t>número de vitoria</t>
  </si>
  <si>
    <t>1-5 (elite)</t>
  </si>
  <si>
    <t>6-10 (intermediário)</t>
  </si>
  <si>
    <t>11-15 (mediano)</t>
  </si>
  <si>
    <t>16-20 (rebaixamento)</t>
  </si>
  <si>
    <t>Contagem de faixa valor</t>
  </si>
  <si>
    <t>faixa valor</t>
  </si>
  <si>
    <t>1.501–3.500 (mediano)</t>
  </si>
  <si>
    <t>1–1.500 (rebaixamento)</t>
  </si>
  <si>
    <t>7.001+ (elite)</t>
  </si>
  <si>
    <t>3.501–7.000 (intermediário)</t>
  </si>
  <si>
    <t>Contagem de escanteios_mandante</t>
  </si>
  <si>
    <t>empate</t>
  </si>
  <si>
    <t>derrota</t>
  </si>
  <si>
    <t>Soma de escanteios_mandante</t>
  </si>
  <si>
    <t>0 Total</t>
  </si>
  <si>
    <t>1 Total</t>
  </si>
  <si>
    <t>Soma de chutes_bola_parada_mandante</t>
  </si>
  <si>
    <t>porc_publico</t>
  </si>
  <si>
    <t>faixa_posição</t>
  </si>
  <si>
    <t>posição_relativa</t>
  </si>
  <si>
    <t>vitoria2</t>
  </si>
  <si>
    <t>MINIMO</t>
  </si>
  <si>
    <t>MAXIMO</t>
  </si>
  <si>
    <t>MÉDIA</t>
  </si>
  <si>
    <t>derro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</si>
</sst>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4" fontId="0" fillId="34" borderId="10" xfId="0" applyNumberFormat="1" applyFill="1" applyBorder="1"/>
    <xf numFmtId="0" fontId="0" fillId="34" borderId="10" xfId="0" applyFill="1" applyBorder="1"/>
    <xf numFmtId="14" fontId="0" fillId="0" borderId="10" xfId="0" applyNumberFormat="1" applyBorder="1"/>
    <xf numFmtId="0" fontId="0" fillId="0" borderId="10" xfId="0" applyBorder="1"/>
    <xf numFmtId="0" fontId="13" fillId="33" borderId="11" xfId="0" applyFont="1" applyFill="1" applyBorder="1"/>
    <xf numFmtId="0" fontId="0" fillId="0" borderId="12" xfId="0" applyBorder="1"/>
    <xf numFmtId="14" fontId="0" fillId="0" borderId="12" xfId="0" applyNumberFormat="1" applyBorder="1"/>
    <xf numFmtId="0" fontId="0" fillId="34" borderId="12" xfId="0" applyFill="1" applyBorder="1"/>
    <xf numFmtId="0" fontId="0" fillId="0" borderId="0" xfId="0" pivotButton="1"/>
    <xf numFmtId="10" fontId="0" fillId="0" borderId="0" xfId="0" applyNumberFormat="1"/>
    <xf numFmtId="0" fontId="16" fillId="0" borderId="10" xfId="0" applyFont="1" applyBorder="1"/>
    <xf numFmtId="0" fontId="16" fillId="34" borderId="12" xfId="0" applyFont="1" applyFill="1" applyBorder="1"/>
    <xf numFmtId="0" fontId="16" fillId="34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2"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'2024'!$Q$1:$Q$204</c:f>
              <c:strCache>
                <c:ptCount val="204"/>
                <c:pt idx="0">
                  <c:v>idade_media_titular_mandante</c:v>
                </c:pt>
                <c:pt idx="1">
                  <c:v>27.6</c:v>
                </c:pt>
                <c:pt idx="2">
                  <c:v>31.1</c:v>
                </c:pt>
                <c:pt idx="3">
                  <c:v>29</c:v>
                </c:pt>
                <c:pt idx="4">
                  <c:v>31.4</c:v>
                </c:pt>
                <c:pt idx="5">
                  <c:v>28.3</c:v>
                </c:pt>
                <c:pt idx="6">
                  <c:v>27.7</c:v>
                </c:pt>
                <c:pt idx="7">
                  <c:v>26.2</c:v>
                </c:pt>
                <c:pt idx="8">
                  <c:v>28.3</c:v>
                </c:pt>
                <c:pt idx="9">
                  <c:v>28</c:v>
                </c:pt>
                <c:pt idx="10">
                  <c:v>28.7</c:v>
                </c:pt>
                <c:pt idx="11">
                  <c:v>28.9</c:v>
                </c:pt>
                <c:pt idx="12">
                  <c:v>29.2</c:v>
                </c:pt>
                <c:pt idx="13">
                  <c:v>26.6</c:v>
                </c:pt>
                <c:pt idx="14">
                  <c:v>28.7</c:v>
                </c:pt>
                <c:pt idx="15">
                  <c:v>30.6</c:v>
                </c:pt>
                <c:pt idx="16">
                  <c:v>29.5</c:v>
                </c:pt>
                <c:pt idx="17">
                  <c:v>24.1</c:v>
                </c:pt>
                <c:pt idx="18">
                  <c:v>26.9</c:v>
                </c:pt>
                <c:pt idx="19">
                  <c:v>27.5</c:v>
                </c:pt>
                <c:pt idx="20">
                  <c:v>26.5</c:v>
                </c:pt>
                <c:pt idx="21">
                  <c:v>32</c:v>
                </c:pt>
                <c:pt idx="22">
                  <c:v>24</c:v>
                </c:pt>
                <c:pt idx="23">
                  <c:v>27.4</c:v>
                </c:pt>
                <c:pt idx="24">
                  <c:v>28.1</c:v>
                </c:pt>
                <c:pt idx="25">
                  <c:v>27.8</c:v>
                </c:pt>
                <c:pt idx="26">
                  <c:v>26.2</c:v>
                </c:pt>
                <c:pt idx="27">
                  <c:v>30</c:v>
                </c:pt>
                <c:pt idx="28">
                  <c:v>28</c:v>
                </c:pt>
                <c:pt idx="29">
                  <c:v>28.4</c:v>
                </c:pt>
                <c:pt idx="30">
                  <c:v>27.8</c:v>
                </c:pt>
                <c:pt idx="31">
                  <c:v>29</c:v>
                </c:pt>
                <c:pt idx="32">
                  <c:v>28.3</c:v>
                </c:pt>
                <c:pt idx="33">
                  <c:v>30.2</c:v>
                </c:pt>
                <c:pt idx="34">
                  <c:v>27</c:v>
                </c:pt>
                <c:pt idx="35">
                  <c:v>29</c:v>
                </c:pt>
                <c:pt idx="36">
                  <c:v>28.3</c:v>
                </c:pt>
                <c:pt idx="37">
                  <c:v>28.4</c:v>
                </c:pt>
                <c:pt idx="38">
                  <c:v>32.5</c:v>
                </c:pt>
                <c:pt idx="39">
                  <c:v>27.8</c:v>
                </c:pt>
                <c:pt idx="40">
                  <c:v>26.9</c:v>
                </c:pt>
                <c:pt idx="41">
                  <c:v>28.7</c:v>
                </c:pt>
                <c:pt idx="42">
                  <c:v>26.6</c:v>
                </c:pt>
                <c:pt idx="43">
                  <c:v>29.1</c:v>
                </c:pt>
                <c:pt idx="44">
                  <c:v>28</c:v>
                </c:pt>
                <c:pt idx="45">
                  <c:v>28.9</c:v>
                </c:pt>
                <c:pt idx="46">
                  <c:v>27</c:v>
                </c:pt>
                <c:pt idx="47">
                  <c:v>29.8</c:v>
                </c:pt>
                <c:pt idx="48">
                  <c:v>29.5</c:v>
                </c:pt>
                <c:pt idx="49">
                  <c:v>27.6</c:v>
                </c:pt>
                <c:pt idx="50">
                  <c:v>26.6</c:v>
                </c:pt>
                <c:pt idx="51">
                  <c:v>28.4</c:v>
                </c:pt>
                <c:pt idx="52">
                  <c:v>27.4</c:v>
                </c:pt>
                <c:pt idx="53">
                  <c:v>27.2</c:v>
                </c:pt>
                <c:pt idx="54">
                  <c:v>29.4</c:v>
                </c:pt>
                <c:pt idx="55">
                  <c:v>27.5</c:v>
                </c:pt>
                <c:pt idx="56">
                  <c:v>28</c:v>
                </c:pt>
                <c:pt idx="57">
                  <c:v>26.8</c:v>
                </c:pt>
                <c:pt idx="58">
                  <c:v>31.5</c:v>
                </c:pt>
                <c:pt idx="59">
                  <c:v>28.5</c:v>
                </c:pt>
                <c:pt idx="60">
                  <c:v>27.4</c:v>
                </c:pt>
                <c:pt idx="61">
                  <c:v>31.3</c:v>
                </c:pt>
                <c:pt idx="62">
                  <c:v>28.2</c:v>
                </c:pt>
                <c:pt idx="63">
                  <c:v>28.3</c:v>
                </c:pt>
                <c:pt idx="64">
                  <c:v>25.1</c:v>
                </c:pt>
                <c:pt idx="65">
                  <c:v>29.7</c:v>
                </c:pt>
                <c:pt idx="66">
                  <c:v>26.7</c:v>
                </c:pt>
                <c:pt idx="67">
                  <c:v>29.1</c:v>
                </c:pt>
                <c:pt idx="68">
                  <c:v>25</c:v>
                </c:pt>
                <c:pt idx="69">
                  <c:v>26.7</c:v>
                </c:pt>
                <c:pt idx="70">
                  <c:v>26.9</c:v>
                </c:pt>
                <c:pt idx="71">
                  <c:v>27.4</c:v>
                </c:pt>
                <c:pt idx="72">
                  <c:v>28.1</c:v>
                </c:pt>
                <c:pt idx="73">
                  <c:v>30.6</c:v>
                </c:pt>
                <c:pt idx="74">
                  <c:v>28.6</c:v>
                </c:pt>
                <c:pt idx="75">
                  <c:v>24.8</c:v>
                </c:pt>
                <c:pt idx="76">
                  <c:v>28.1</c:v>
                </c:pt>
                <c:pt idx="77">
                  <c:v>28.2</c:v>
                </c:pt>
                <c:pt idx="78">
                  <c:v>32.7</c:v>
                </c:pt>
                <c:pt idx="79">
                  <c:v>24.9</c:v>
                </c:pt>
                <c:pt idx="80">
                  <c:v>30.3</c:v>
                </c:pt>
                <c:pt idx="81">
                  <c:v>27.3</c:v>
                </c:pt>
                <c:pt idx="82">
                  <c:v>28.4</c:v>
                </c:pt>
                <c:pt idx="83">
                  <c:v>28.6</c:v>
                </c:pt>
                <c:pt idx="84">
                  <c:v>26.8</c:v>
                </c:pt>
                <c:pt idx="85">
                  <c:v>27</c:v>
                </c:pt>
                <c:pt idx="86">
                  <c:v>27.3</c:v>
                </c:pt>
                <c:pt idx="87">
                  <c:v>29.4</c:v>
                </c:pt>
                <c:pt idx="88">
                  <c:v>30.8</c:v>
                </c:pt>
                <c:pt idx="89">
                  <c:v>28.4</c:v>
                </c:pt>
                <c:pt idx="90">
                  <c:v>24.3</c:v>
                </c:pt>
                <c:pt idx="91">
                  <c:v>30</c:v>
                </c:pt>
                <c:pt idx="92">
                  <c:v>29.2</c:v>
                </c:pt>
                <c:pt idx="93">
                  <c:v>33.6</c:v>
                </c:pt>
                <c:pt idx="94">
                  <c:v>30.1</c:v>
                </c:pt>
                <c:pt idx="95">
                  <c:v>27.1</c:v>
                </c:pt>
                <c:pt idx="96">
                  <c:v>27.9</c:v>
                </c:pt>
                <c:pt idx="97">
                  <c:v>26.8</c:v>
                </c:pt>
                <c:pt idx="98">
                  <c:v>26</c:v>
                </c:pt>
                <c:pt idx="99">
                  <c:v>31</c:v>
                </c:pt>
                <c:pt idx="100">
                  <c:v>29.1</c:v>
                </c:pt>
                <c:pt idx="101">
                  <c:v>27.4</c:v>
                </c:pt>
                <c:pt idx="102">
                  <c:v>26.5</c:v>
                </c:pt>
                <c:pt idx="103">
                  <c:v>25.9</c:v>
                </c:pt>
                <c:pt idx="104">
                  <c:v>29.3</c:v>
                </c:pt>
                <c:pt idx="105">
                  <c:v>28.2</c:v>
                </c:pt>
                <c:pt idx="106">
                  <c:v>25.9</c:v>
                </c:pt>
                <c:pt idx="107">
                  <c:v>30.4</c:v>
                </c:pt>
                <c:pt idx="108">
                  <c:v>29.1</c:v>
                </c:pt>
                <c:pt idx="109">
                  <c:v>27.9</c:v>
                </c:pt>
                <c:pt idx="110">
                  <c:v>27.5</c:v>
                </c:pt>
                <c:pt idx="111">
                  <c:v>27.6</c:v>
                </c:pt>
                <c:pt idx="112">
                  <c:v>30</c:v>
                </c:pt>
                <c:pt idx="113">
                  <c:v>28.6</c:v>
                </c:pt>
                <c:pt idx="114">
                  <c:v>27.3</c:v>
                </c:pt>
                <c:pt idx="115">
                  <c:v>28.6</c:v>
                </c:pt>
                <c:pt idx="116">
                  <c:v>27.9</c:v>
                </c:pt>
                <c:pt idx="117">
                  <c:v>29.8</c:v>
                </c:pt>
                <c:pt idx="118">
                  <c:v>27.5</c:v>
                </c:pt>
                <c:pt idx="119">
                  <c:v>27.7</c:v>
                </c:pt>
                <c:pt idx="120">
                  <c:v>26.4</c:v>
                </c:pt>
                <c:pt idx="121">
                  <c:v>28.3</c:v>
                </c:pt>
                <c:pt idx="122">
                  <c:v>25.8</c:v>
                </c:pt>
                <c:pt idx="123">
                  <c:v>23.3</c:v>
                </c:pt>
                <c:pt idx="124">
                  <c:v>26.6</c:v>
                </c:pt>
                <c:pt idx="125">
                  <c:v>28.6</c:v>
                </c:pt>
                <c:pt idx="126">
                  <c:v>27</c:v>
                </c:pt>
                <c:pt idx="127">
                  <c:v>25.6</c:v>
                </c:pt>
                <c:pt idx="128">
                  <c:v>31.2</c:v>
                </c:pt>
                <c:pt idx="129">
                  <c:v>26.9</c:v>
                </c:pt>
                <c:pt idx="130">
                  <c:v>28</c:v>
                </c:pt>
                <c:pt idx="131">
                  <c:v>26.3</c:v>
                </c:pt>
                <c:pt idx="132">
                  <c:v>28.3</c:v>
                </c:pt>
                <c:pt idx="133">
                  <c:v>28.7</c:v>
                </c:pt>
                <c:pt idx="134">
                  <c:v>29.2</c:v>
                </c:pt>
                <c:pt idx="135">
                  <c:v>28.7</c:v>
                </c:pt>
                <c:pt idx="136">
                  <c:v>30.3</c:v>
                </c:pt>
                <c:pt idx="137">
                  <c:v>31</c:v>
                </c:pt>
                <c:pt idx="138">
                  <c:v>27.9</c:v>
                </c:pt>
                <c:pt idx="139">
                  <c:v>29.1</c:v>
                </c:pt>
                <c:pt idx="140">
                  <c:v>28.5</c:v>
                </c:pt>
                <c:pt idx="141">
                  <c:v>27.5</c:v>
                </c:pt>
                <c:pt idx="142">
                  <c:v>26.6</c:v>
                </c:pt>
                <c:pt idx="143">
                  <c:v>31.3</c:v>
                </c:pt>
                <c:pt idx="144">
                  <c:v>28</c:v>
                </c:pt>
                <c:pt idx="145">
                  <c:v>29.3</c:v>
                </c:pt>
                <c:pt idx="146">
                  <c:v>26</c:v>
                </c:pt>
                <c:pt idx="147">
                  <c:v>28.7</c:v>
                </c:pt>
                <c:pt idx="148">
                  <c:v>25.2</c:v>
                </c:pt>
                <c:pt idx="149">
                  <c:v>29.1</c:v>
                </c:pt>
                <c:pt idx="150">
                  <c:v>27.9</c:v>
                </c:pt>
                <c:pt idx="151">
                  <c:v>24.8</c:v>
                </c:pt>
                <c:pt idx="152">
                  <c:v>27.8</c:v>
                </c:pt>
                <c:pt idx="153">
                  <c:v>28.1</c:v>
                </c:pt>
                <c:pt idx="154">
                  <c:v>27.7</c:v>
                </c:pt>
                <c:pt idx="155">
                  <c:v>29.5</c:v>
                </c:pt>
                <c:pt idx="156">
                  <c:v>29.8</c:v>
                </c:pt>
                <c:pt idx="157">
                  <c:v>25.6</c:v>
                </c:pt>
                <c:pt idx="158">
                  <c:v>27.6</c:v>
                </c:pt>
                <c:pt idx="159">
                  <c:v>28.7</c:v>
                </c:pt>
                <c:pt idx="160">
                  <c:v>28.3</c:v>
                </c:pt>
                <c:pt idx="161">
                  <c:v>28.5</c:v>
                </c:pt>
                <c:pt idx="162">
                  <c:v>31.2</c:v>
                </c:pt>
                <c:pt idx="163">
                  <c:v>29.2</c:v>
                </c:pt>
                <c:pt idx="164">
                  <c:v>29.1</c:v>
                </c:pt>
                <c:pt idx="165">
                  <c:v>27.9</c:v>
                </c:pt>
                <c:pt idx="166">
                  <c:v>27.6</c:v>
                </c:pt>
                <c:pt idx="167">
                  <c:v>28.7</c:v>
                </c:pt>
                <c:pt idx="168">
                  <c:v>30.1</c:v>
                </c:pt>
                <c:pt idx="169">
                  <c:v>30.5</c:v>
                </c:pt>
                <c:pt idx="170">
                  <c:v>27.2</c:v>
                </c:pt>
                <c:pt idx="171">
                  <c:v>28.7</c:v>
                </c:pt>
                <c:pt idx="172">
                  <c:v>27.9</c:v>
                </c:pt>
                <c:pt idx="173">
                  <c:v>30.5</c:v>
                </c:pt>
                <c:pt idx="174">
                  <c:v>25.8</c:v>
                </c:pt>
                <c:pt idx="175">
                  <c:v>31.5</c:v>
                </c:pt>
                <c:pt idx="176">
                  <c:v>27.6</c:v>
                </c:pt>
                <c:pt idx="177">
                  <c:v>28.8</c:v>
                </c:pt>
                <c:pt idx="178">
                  <c:v>28.6</c:v>
                </c:pt>
                <c:pt idx="179">
                  <c:v>26.8</c:v>
                </c:pt>
                <c:pt idx="180">
                  <c:v>31.2</c:v>
                </c:pt>
                <c:pt idx="181">
                  <c:v>30.5</c:v>
                </c:pt>
                <c:pt idx="182">
                  <c:v>26.2</c:v>
                </c:pt>
                <c:pt idx="183">
                  <c:v>29.1</c:v>
                </c:pt>
                <c:pt idx="184">
                  <c:v>26.1</c:v>
                </c:pt>
                <c:pt idx="185">
                  <c:v>28.5</c:v>
                </c:pt>
                <c:pt idx="186">
                  <c:v>26.9</c:v>
                </c:pt>
                <c:pt idx="187">
                  <c:v>29.6</c:v>
                </c:pt>
                <c:pt idx="188">
                  <c:v>29</c:v>
                </c:pt>
                <c:pt idx="189">
                  <c:v>28.5</c:v>
                </c:pt>
                <c:pt idx="190">
                  <c:v>29.4</c:v>
                </c:pt>
                <c:pt idx="191">
                  <c:v>31.6</c:v>
                </c:pt>
                <c:pt idx="192">
                  <c:v>26.8</c:v>
                </c:pt>
                <c:pt idx="193">
                  <c:v>27.1</c:v>
                </c:pt>
                <c:pt idx="194">
                  <c:v>28</c:v>
                </c:pt>
                <c:pt idx="195">
                  <c:v>26.6</c:v>
                </c:pt>
                <c:pt idx="196">
                  <c:v>26.7</c:v>
                </c:pt>
                <c:pt idx="197">
                  <c:v>27.4</c:v>
                </c:pt>
                <c:pt idx="198">
                  <c:v>27.9</c:v>
                </c:pt>
                <c:pt idx="199">
                  <c:v>27.8</c:v>
                </c:pt>
                <c:pt idx="200">
                  <c:v>29.2</c:v>
                </c:pt>
                <c:pt idx="201">
                  <c:v>27.6</c:v>
                </c:pt>
                <c:pt idx="202">
                  <c:v>26.7</c:v>
                </c:pt>
                <c:pt idx="203">
                  <c:v>27.5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'2024'!$Q$205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AA-4239-BDD9-60C869F2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43368"/>
        <c:axId val="102545416"/>
      </c:barChart>
      <c:catAx>
        <c:axId val="102543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5416"/>
        <c:crosses val="autoZero"/>
        <c:auto val="1"/>
        <c:lblAlgn val="ctr"/>
        <c:lblOffset val="100"/>
        <c:noMultiLvlLbl val="0"/>
      </c:catAx>
      <c:valAx>
        <c:axId val="10254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'2024'!$Q$1:$Q$204</c:f>
              <c:strCache>
                <c:ptCount val="204"/>
                <c:pt idx="0">
                  <c:v>idade_media_titular_mandante</c:v>
                </c:pt>
                <c:pt idx="1">
                  <c:v>27.6</c:v>
                </c:pt>
                <c:pt idx="2">
                  <c:v>31.1</c:v>
                </c:pt>
                <c:pt idx="3">
                  <c:v>29</c:v>
                </c:pt>
                <c:pt idx="4">
                  <c:v>31.4</c:v>
                </c:pt>
                <c:pt idx="5">
                  <c:v>28.3</c:v>
                </c:pt>
                <c:pt idx="6">
                  <c:v>27.7</c:v>
                </c:pt>
                <c:pt idx="7">
                  <c:v>26.2</c:v>
                </c:pt>
                <c:pt idx="8">
                  <c:v>28.3</c:v>
                </c:pt>
                <c:pt idx="9">
                  <c:v>28</c:v>
                </c:pt>
                <c:pt idx="10">
                  <c:v>28.7</c:v>
                </c:pt>
                <c:pt idx="11">
                  <c:v>28.9</c:v>
                </c:pt>
                <c:pt idx="12">
                  <c:v>29.2</c:v>
                </c:pt>
                <c:pt idx="13">
                  <c:v>26.6</c:v>
                </c:pt>
                <c:pt idx="14">
                  <c:v>28.7</c:v>
                </c:pt>
                <c:pt idx="15">
                  <c:v>30.6</c:v>
                </c:pt>
                <c:pt idx="16">
                  <c:v>29.5</c:v>
                </c:pt>
                <c:pt idx="17">
                  <c:v>24.1</c:v>
                </c:pt>
                <c:pt idx="18">
                  <c:v>26.9</c:v>
                </c:pt>
                <c:pt idx="19">
                  <c:v>27.5</c:v>
                </c:pt>
                <c:pt idx="20">
                  <c:v>26.5</c:v>
                </c:pt>
                <c:pt idx="21">
                  <c:v>32</c:v>
                </c:pt>
                <c:pt idx="22">
                  <c:v>24</c:v>
                </c:pt>
                <c:pt idx="23">
                  <c:v>27.4</c:v>
                </c:pt>
                <c:pt idx="24">
                  <c:v>28.1</c:v>
                </c:pt>
                <c:pt idx="25">
                  <c:v>27.8</c:v>
                </c:pt>
                <c:pt idx="26">
                  <c:v>26.2</c:v>
                </c:pt>
                <c:pt idx="27">
                  <c:v>30</c:v>
                </c:pt>
                <c:pt idx="28">
                  <c:v>28</c:v>
                </c:pt>
                <c:pt idx="29">
                  <c:v>28.4</c:v>
                </c:pt>
                <c:pt idx="30">
                  <c:v>27.8</c:v>
                </c:pt>
                <c:pt idx="31">
                  <c:v>29</c:v>
                </c:pt>
                <c:pt idx="32">
                  <c:v>28.3</c:v>
                </c:pt>
                <c:pt idx="33">
                  <c:v>30.2</c:v>
                </c:pt>
                <c:pt idx="34">
                  <c:v>27</c:v>
                </c:pt>
                <c:pt idx="35">
                  <c:v>29</c:v>
                </c:pt>
                <c:pt idx="36">
                  <c:v>28.3</c:v>
                </c:pt>
                <c:pt idx="37">
                  <c:v>28.4</c:v>
                </c:pt>
                <c:pt idx="38">
                  <c:v>32.5</c:v>
                </c:pt>
                <c:pt idx="39">
                  <c:v>27.8</c:v>
                </c:pt>
                <c:pt idx="40">
                  <c:v>26.9</c:v>
                </c:pt>
                <c:pt idx="41">
                  <c:v>28.7</c:v>
                </c:pt>
                <c:pt idx="42">
                  <c:v>26.6</c:v>
                </c:pt>
                <c:pt idx="43">
                  <c:v>29.1</c:v>
                </c:pt>
                <c:pt idx="44">
                  <c:v>28</c:v>
                </c:pt>
                <c:pt idx="45">
                  <c:v>28.9</c:v>
                </c:pt>
                <c:pt idx="46">
                  <c:v>27</c:v>
                </c:pt>
                <c:pt idx="47">
                  <c:v>29.8</c:v>
                </c:pt>
                <c:pt idx="48">
                  <c:v>29.5</c:v>
                </c:pt>
                <c:pt idx="49">
                  <c:v>27.6</c:v>
                </c:pt>
                <c:pt idx="50">
                  <c:v>26.6</c:v>
                </c:pt>
                <c:pt idx="51">
                  <c:v>28.4</c:v>
                </c:pt>
                <c:pt idx="52">
                  <c:v>27.4</c:v>
                </c:pt>
                <c:pt idx="53">
                  <c:v>27.2</c:v>
                </c:pt>
                <c:pt idx="54">
                  <c:v>29.4</c:v>
                </c:pt>
                <c:pt idx="55">
                  <c:v>27.5</c:v>
                </c:pt>
                <c:pt idx="56">
                  <c:v>28</c:v>
                </c:pt>
                <c:pt idx="57">
                  <c:v>26.8</c:v>
                </c:pt>
                <c:pt idx="58">
                  <c:v>31.5</c:v>
                </c:pt>
                <c:pt idx="59">
                  <c:v>28.5</c:v>
                </c:pt>
                <c:pt idx="60">
                  <c:v>27.4</c:v>
                </c:pt>
                <c:pt idx="61">
                  <c:v>31.3</c:v>
                </c:pt>
                <c:pt idx="62">
                  <c:v>28.2</c:v>
                </c:pt>
                <c:pt idx="63">
                  <c:v>28.3</c:v>
                </c:pt>
                <c:pt idx="64">
                  <c:v>25.1</c:v>
                </c:pt>
                <c:pt idx="65">
                  <c:v>29.7</c:v>
                </c:pt>
                <c:pt idx="66">
                  <c:v>26.7</c:v>
                </c:pt>
                <c:pt idx="67">
                  <c:v>29.1</c:v>
                </c:pt>
                <c:pt idx="68">
                  <c:v>25</c:v>
                </c:pt>
                <c:pt idx="69">
                  <c:v>26.7</c:v>
                </c:pt>
                <c:pt idx="70">
                  <c:v>26.9</c:v>
                </c:pt>
                <c:pt idx="71">
                  <c:v>27.4</c:v>
                </c:pt>
                <c:pt idx="72">
                  <c:v>28.1</c:v>
                </c:pt>
                <c:pt idx="73">
                  <c:v>30.6</c:v>
                </c:pt>
                <c:pt idx="74">
                  <c:v>28.6</c:v>
                </c:pt>
                <c:pt idx="75">
                  <c:v>24.8</c:v>
                </c:pt>
                <c:pt idx="76">
                  <c:v>28.1</c:v>
                </c:pt>
                <c:pt idx="77">
                  <c:v>28.2</c:v>
                </c:pt>
                <c:pt idx="78">
                  <c:v>32.7</c:v>
                </c:pt>
                <c:pt idx="79">
                  <c:v>24.9</c:v>
                </c:pt>
                <c:pt idx="80">
                  <c:v>30.3</c:v>
                </c:pt>
                <c:pt idx="81">
                  <c:v>27.3</c:v>
                </c:pt>
                <c:pt idx="82">
                  <c:v>28.4</c:v>
                </c:pt>
                <c:pt idx="83">
                  <c:v>28.6</c:v>
                </c:pt>
                <c:pt idx="84">
                  <c:v>26.8</c:v>
                </c:pt>
                <c:pt idx="85">
                  <c:v>27</c:v>
                </c:pt>
                <c:pt idx="86">
                  <c:v>27.3</c:v>
                </c:pt>
                <c:pt idx="87">
                  <c:v>29.4</c:v>
                </c:pt>
                <c:pt idx="88">
                  <c:v>30.8</c:v>
                </c:pt>
                <c:pt idx="89">
                  <c:v>28.4</c:v>
                </c:pt>
                <c:pt idx="90">
                  <c:v>24.3</c:v>
                </c:pt>
                <c:pt idx="91">
                  <c:v>30</c:v>
                </c:pt>
                <c:pt idx="92">
                  <c:v>29.2</c:v>
                </c:pt>
                <c:pt idx="93">
                  <c:v>33.6</c:v>
                </c:pt>
                <c:pt idx="94">
                  <c:v>30.1</c:v>
                </c:pt>
                <c:pt idx="95">
                  <c:v>27.1</c:v>
                </c:pt>
                <c:pt idx="96">
                  <c:v>27.9</c:v>
                </c:pt>
                <c:pt idx="97">
                  <c:v>26.8</c:v>
                </c:pt>
                <c:pt idx="98">
                  <c:v>26</c:v>
                </c:pt>
                <c:pt idx="99">
                  <c:v>31</c:v>
                </c:pt>
                <c:pt idx="100">
                  <c:v>29.1</c:v>
                </c:pt>
                <c:pt idx="101">
                  <c:v>27.4</c:v>
                </c:pt>
                <c:pt idx="102">
                  <c:v>26.5</c:v>
                </c:pt>
                <c:pt idx="103">
                  <c:v>25.9</c:v>
                </c:pt>
                <c:pt idx="104">
                  <c:v>29.3</c:v>
                </c:pt>
                <c:pt idx="105">
                  <c:v>28.2</c:v>
                </c:pt>
                <c:pt idx="106">
                  <c:v>25.9</c:v>
                </c:pt>
                <c:pt idx="107">
                  <c:v>30.4</c:v>
                </c:pt>
                <c:pt idx="108">
                  <c:v>29.1</c:v>
                </c:pt>
                <c:pt idx="109">
                  <c:v>27.9</c:v>
                </c:pt>
                <c:pt idx="110">
                  <c:v>27.5</c:v>
                </c:pt>
                <c:pt idx="111">
                  <c:v>27.6</c:v>
                </c:pt>
                <c:pt idx="112">
                  <c:v>30</c:v>
                </c:pt>
                <c:pt idx="113">
                  <c:v>28.6</c:v>
                </c:pt>
                <c:pt idx="114">
                  <c:v>27.3</c:v>
                </c:pt>
                <c:pt idx="115">
                  <c:v>28.6</c:v>
                </c:pt>
                <c:pt idx="116">
                  <c:v>27.9</c:v>
                </c:pt>
                <c:pt idx="117">
                  <c:v>29.8</c:v>
                </c:pt>
                <c:pt idx="118">
                  <c:v>27.5</c:v>
                </c:pt>
                <c:pt idx="119">
                  <c:v>27.7</c:v>
                </c:pt>
                <c:pt idx="120">
                  <c:v>26.4</c:v>
                </c:pt>
                <c:pt idx="121">
                  <c:v>28.3</c:v>
                </c:pt>
                <c:pt idx="122">
                  <c:v>25.8</c:v>
                </c:pt>
                <c:pt idx="123">
                  <c:v>23.3</c:v>
                </c:pt>
                <c:pt idx="124">
                  <c:v>26.6</c:v>
                </c:pt>
                <c:pt idx="125">
                  <c:v>28.6</c:v>
                </c:pt>
                <c:pt idx="126">
                  <c:v>27</c:v>
                </c:pt>
                <c:pt idx="127">
                  <c:v>25.6</c:v>
                </c:pt>
                <c:pt idx="128">
                  <c:v>31.2</c:v>
                </c:pt>
                <c:pt idx="129">
                  <c:v>26.9</c:v>
                </c:pt>
                <c:pt idx="130">
                  <c:v>28</c:v>
                </c:pt>
                <c:pt idx="131">
                  <c:v>26.3</c:v>
                </c:pt>
                <c:pt idx="132">
                  <c:v>28.3</c:v>
                </c:pt>
                <c:pt idx="133">
                  <c:v>28.7</c:v>
                </c:pt>
                <c:pt idx="134">
                  <c:v>29.2</c:v>
                </c:pt>
                <c:pt idx="135">
                  <c:v>28.7</c:v>
                </c:pt>
                <c:pt idx="136">
                  <c:v>30.3</c:v>
                </c:pt>
                <c:pt idx="137">
                  <c:v>31</c:v>
                </c:pt>
                <c:pt idx="138">
                  <c:v>27.9</c:v>
                </c:pt>
                <c:pt idx="139">
                  <c:v>29.1</c:v>
                </c:pt>
                <c:pt idx="140">
                  <c:v>28.5</c:v>
                </c:pt>
                <c:pt idx="141">
                  <c:v>27.5</c:v>
                </c:pt>
                <c:pt idx="142">
                  <c:v>26.6</c:v>
                </c:pt>
                <c:pt idx="143">
                  <c:v>31.3</c:v>
                </c:pt>
                <c:pt idx="144">
                  <c:v>28</c:v>
                </c:pt>
                <c:pt idx="145">
                  <c:v>29.3</c:v>
                </c:pt>
                <c:pt idx="146">
                  <c:v>26</c:v>
                </c:pt>
                <c:pt idx="147">
                  <c:v>28.7</c:v>
                </c:pt>
                <c:pt idx="148">
                  <c:v>25.2</c:v>
                </c:pt>
                <c:pt idx="149">
                  <c:v>29.1</c:v>
                </c:pt>
                <c:pt idx="150">
                  <c:v>27.9</c:v>
                </c:pt>
                <c:pt idx="151">
                  <c:v>24.8</c:v>
                </c:pt>
                <c:pt idx="152">
                  <c:v>27.8</c:v>
                </c:pt>
                <c:pt idx="153">
                  <c:v>28.1</c:v>
                </c:pt>
                <c:pt idx="154">
                  <c:v>27.7</c:v>
                </c:pt>
                <c:pt idx="155">
                  <c:v>29.5</c:v>
                </c:pt>
                <c:pt idx="156">
                  <c:v>29.8</c:v>
                </c:pt>
                <c:pt idx="157">
                  <c:v>25.6</c:v>
                </c:pt>
                <c:pt idx="158">
                  <c:v>27.6</c:v>
                </c:pt>
                <c:pt idx="159">
                  <c:v>28.7</c:v>
                </c:pt>
                <c:pt idx="160">
                  <c:v>28.3</c:v>
                </c:pt>
                <c:pt idx="161">
                  <c:v>28.5</c:v>
                </c:pt>
                <c:pt idx="162">
                  <c:v>31.2</c:v>
                </c:pt>
                <c:pt idx="163">
                  <c:v>29.2</c:v>
                </c:pt>
                <c:pt idx="164">
                  <c:v>29.1</c:v>
                </c:pt>
                <c:pt idx="165">
                  <c:v>27.9</c:v>
                </c:pt>
                <c:pt idx="166">
                  <c:v>27.6</c:v>
                </c:pt>
                <c:pt idx="167">
                  <c:v>28.7</c:v>
                </c:pt>
                <c:pt idx="168">
                  <c:v>30.1</c:v>
                </c:pt>
                <c:pt idx="169">
                  <c:v>30.5</c:v>
                </c:pt>
                <c:pt idx="170">
                  <c:v>27.2</c:v>
                </c:pt>
                <c:pt idx="171">
                  <c:v>28.7</c:v>
                </c:pt>
                <c:pt idx="172">
                  <c:v>27.9</c:v>
                </c:pt>
                <c:pt idx="173">
                  <c:v>30.5</c:v>
                </c:pt>
                <c:pt idx="174">
                  <c:v>25.8</c:v>
                </c:pt>
                <c:pt idx="175">
                  <c:v>31.5</c:v>
                </c:pt>
                <c:pt idx="176">
                  <c:v>27.6</c:v>
                </c:pt>
                <c:pt idx="177">
                  <c:v>28.8</c:v>
                </c:pt>
                <c:pt idx="178">
                  <c:v>28.6</c:v>
                </c:pt>
                <c:pt idx="179">
                  <c:v>26.8</c:v>
                </c:pt>
                <c:pt idx="180">
                  <c:v>31.2</c:v>
                </c:pt>
                <c:pt idx="181">
                  <c:v>30.5</c:v>
                </c:pt>
                <c:pt idx="182">
                  <c:v>26.2</c:v>
                </c:pt>
                <c:pt idx="183">
                  <c:v>29.1</c:v>
                </c:pt>
                <c:pt idx="184">
                  <c:v>26.1</c:v>
                </c:pt>
                <c:pt idx="185">
                  <c:v>28.5</c:v>
                </c:pt>
                <c:pt idx="186">
                  <c:v>26.9</c:v>
                </c:pt>
                <c:pt idx="187">
                  <c:v>29.6</c:v>
                </c:pt>
                <c:pt idx="188">
                  <c:v>29</c:v>
                </c:pt>
                <c:pt idx="189">
                  <c:v>28.5</c:v>
                </c:pt>
                <c:pt idx="190">
                  <c:v>29.4</c:v>
                </c:pt>
                <c:pt idx="191">
                  <c:v>31.6</c:v>
                </c:pt>
                <c:pt idx="192">
                  <c:v>26.8</c:v>
                </c:pt>
                <c:pt idx="193">
                  <c:v>27.1</c:v>
                </c:pt>
                <c:pt idx="194">
                  <c:v>28</c:v>
                </c:pt>
                <c:pt idx="195">
                  <c:v>26.6</c:v>
                </c:pt>
                <c:pt idx="196">
                  <c:v>26.7</c:v>
                </c:pt>
                <c:pt idx="197">
                  <c:v>27.4</c:v>
                </c:pt>
                <c:pt idx="198">
                  <c:v>27.9</c:v>
                </c:pt>
                <c:pt idx="199">
                  <c:v>27.8</c:v>
                </c:pt>
                <c:pt idx="200">
                  <c:v>29.2</c:v>
                </c:pt>
                <c:pt idx="201">
                  <c:v>27.6</c:v>
                </c:pt>
                <c:pt idx="202">
                  <c:v>26.7</c:v>
                </c:pt>
                <c:pt idx="203">
                  <c:v>27.5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'2024'!$Q$205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0-4C94-A5B4-4A5A4BE1F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43368"/>
        <c:axId val="102545416"/>
      </c:barChart>
      <c:catAx>
        <c:axId val="102543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5416"/>
        <c:crosses val="autoZero"/>
        <c:auto val="1"/>
        <c:lblAlgn val="ctr"/>
        <c:lblOffset val="100"/>
        <c:noMultiLvlLbl val="0"/>
      </c:catAx>
      <c:valAx>
        <c:axId val="10254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295275</xdr:colOff>
      <xdr:row>189</xdr:row>
      <xdr:rowOff>95250</xdr:rowOff>
    </xdr:from>
    <xdr:to>
      <xdr:col>19</xdr:col>
      <xdr:colOff>876300</xdr:colOff>
      <xdr:row>203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19C63B-C9A5-2713-FEC2-5E21E4F67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295275</xdr:colOff>
      <xdr:row>189</xdr:row>
      <xdr:rowOff>95250</xdr:rowOff>
    </xdr:from>
    <xdr:to>
      <xdr:col>19</xdr:col>
      <xdr:colOff>876300</xdr:colOff>
      <xdr:row>203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66D724-6DBC-4458-B5EF-0D309005B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1.530353472219" createdVersion="8" refreshedVersion="8" minRefreshableVersion="3" recordCount="204" xr:uid="{4B0C56E8-D20D-4FDA-A828-CB3852511189}">
  <cacheSource type="worksheet">
    <worksheetSource name="Tabela2"/>
  </cacheSource>
  <cacheFields count="43">
    <cacheField name="ano_campeonato" numFmtId="0">
      <sharedItems containsSemiMixedTypes="0" containsString="0" containsNumber="1" containsInteger="1" minValue="2024" maxValue="2024"/>
    </cacheField>
    <cacheField name="data" numFmtId="14">
      <sharedItems containsSemiMixedTypes="0" containsNonDate="0" containsDate="1" containsString="0" minDate="2024-04-13T00:00:00" maxDate="2024-10-27T00:00:00"/>
    </cacheField>
    <cacheField name="rodada" numFmtId="0">
      <sharedItems containsSemiMixedTypes="0" containsString="0" containsNumber="1" containsInteger="1" minValue="1" maxValue="31"/>
    </cacheField>
    <cacheField name="publico" numFmtId="0">
      <sharedItems containsSemiMixedTypes="0" containsString="0" containsNumber="1" containsInteger="1" minValue="3102" maxValue="65700"/>
    </cacheField>
    <cacheField name="publico_max" numFmtId="0">
      <sharedItems containsSemiMixedTypes="0" containsString="0" containsNumber="1" containsInteger="1" minValue="13000" maxValue="82238"/>
    </cacheField>
    <cacheField name="faixa" numFmtId="0">
      <sharedItems count="6">
        <s v="&gt;=30.000"/>
        <s v="20.000-29.999"/>
        <s v="10.000-14.999"/>
        <s v="15.000-19.999"/>
        <s v="5.000-9.999"/>
        <s v="0-4.999"/>
      </sharedItems>
    </cacheField>
    <cacheField name="porc_publico" numFmtId="0">
      <sharedItems containsSemiMixedTypes="0" containsString="0" containsNumber="1" minValue="8.4109104449823127E-2" maxValue="0.99444507242398306"/>
    </cacheField>
    <cacheField name="time_mandante" numFmtId="0">
      <sharedItems/>
    </cacheField>
    <cacheField name="time_visitante" numFmtId="0">
      <sharedItems/>
    </cacheField>
    <cacheField name="colocacao_mandante" numFmtId="0">
      <sharedItems containsSemiMixedTypes="0" containsString="0" containsNumber="1" containsInteger="1" minValue="1" maxValue="20"/>
    </cacheField>
    <cacheField name="faixa_posição" numFmtId="0">
      <sharedItems/>
    </cacheField>
    <cacheField name="colocacao_visitante" numFmtId="0">
      <sharedItems containsSemiMixedTypes="0" containsString="0" containsNumber="1" containsInteger="1" minValue="1" maxValue="20"/>
    </cacheField>
    <cacheField name="posição_relativa" numFmtId="0">
      <sharedItems containsString="0" containsBlank="1" containsNumber="1" containsInteger="1" minValue="-18" maxValue="19"/>
    </cacheField>
    <cacheField name="valor_equipe_titular_mandante" numFmtId="0">
      <sharedItems containsSemiMixedTypes="0" containsString="0" containsNumber="1" containsInteger="1" minValue="563" maxValue="13600"/>
    </cacheField>
    <cacheField name="faixa valor" numFmtId="0">
      <sharedItems count="4">
        <s v="3.501–7.000 (intermediário)"/>
        <s v="1–1.500 (rebaixamento)"/>
        <s v="1.501–3.500 (mediano)"/>
        <s v="7.001+ (elite)"/>
      </sharedItems>
    </cacheField>
    <cacheField name="valor_equipe_titular_visitante" numFmtId="0">
      <sharedItems containsSemiMixedTypes="0" containsString="0" containsNumber="1" containsInteger="1" minValue="443" maxValue="13670"/>
    </cacheField>
    <cacheField name="idade_media_titular_mandante" numFmtId="0">
      <sharedItems containsMixedTypes="1" containsNumber="1" containsInteger="1" minValue="24" maxValue="32"/>
    </cacheField>
    <cacheField name="idade_media_titular_visitante" numFmtId="0">
      <sharedItems containsMixedTypes="1" containsNumber="1" containsInteger="1" minValue="25" maxValue="31"/>
    </cacheField>
    <cacheField name="gols_mandante" numFmtId="0">
      <sharedItems containsSemiMixedTypes="0" containsString="0" containsNumber="1" containsInteger="1" minValue="0" maxValue="5"/>
    </cacheField>
    <cacheField name="gols_visitante" numFmtId="0">
      <sharedItems containsSemiMixedTypes="0" containsString="0" containsNumber="1" containsInteger="1" minValue="0" maxValue="6"/>
    </cacheField>
    <cacheField name="gols_1_tempo_mandante" numFmtId="0">
      <sharedItems containsSemiMixedTypes="0" containsString="0" containsNumber="1" containsInteger="1" minValue="0" maxValue="4"/>
    </cacheField>
    <cacheField name="gols_1_tempo_visitante" numFmtId="0">
      <sharedItems containsSemiMixedTypes="0" containsString="0" containsNumber="1" containsInteger="1" minValue="0" maxValue="3"/>
    </cacheField>
    <cacheField name="escanteios_mandante" numFmtId="0">
      <sharedItems containsSemiMixedTypes="0" containsString="0" containsNumber="1" containsInteger="1" minValue="0" maxValue="14" count="15">
        <n v="6"/>
        <n v="0"/>
        <n v="13"/>
        <n v="11"/>
        <n v="7"/>
        <n v="4"/>
        <n v="3"/>
        <n v="9"/>
        <n v="8"/>
        <n v="2"/>
        <n v="5"/>
        <n v="10"/>
        <n v="12"/>
        <n v="1"/>
        <n v="14"/>
      </sharedItems>
    </cacheField>
    <cacheField name="escanteios_visitante" numFmtId="0">
      <sharedItems containsSemiMixedTypes="0" containsString="0" containsNumber="1" containsInteger="1" minValue="0" maxValue="12"/>
    </cacheField>
    <cacheField name="faltas_mandante" numFmtId="0">
      <sharedItems containsSemiMixedTypes="0" containsString="0" containsNumber="1" containsInteger="1" minValue="6" maxValue="26"/>
    </cacheField>
    <cacheField name="faltas_visitante" numFmtId="0">
      <sharedItems containsSemiMixedTypes="0" containsString="0" containsNumber="1" containsInteger="1" minValue="5" maxValue="23"/>
    </cacheField>
    <cacheField name="chutes_bola_parada_mandante" numFmtId="0">
      <sharedItems containsSemiMixedTypes="0" containsString="0" containsNumber="1" containsInteger="1" minValue="4" maxValue="21" count="18">
        <n v="13"/>
        <n v="15"/>
        <n v="11"/>
        <n v="19"/>
        <n v="14"/>
        <n v="9"/>
        <n v="12"/>
        <n v="10"/>
        <n v="20"/>
        <n v="21"/>
        <n v="18"/>
        <n v="5"/>
        <n v="17"/>
        <n v="16"/>
        <n v="7"/>
        <n v="6"/>
        <n v="8"/>
        <n v="4"/>
      </sharedItems>
    </cacheField>
    <cacheField name="chutes_bola_parada_visitante" numFmtId="0">
      <sharedItems containsSemiMixedTypes="0" containsString="0" containsNumber="1" containsInteger="1" minValue="5" maxValue="25"/>
    </cacheField>
    <cacheField name="defesas_mandante" numFmtId="0">
      <sharedItems containsSemiMixedTypes="0" containsString="0" containsNumber="1" containsInteger="1" minValue="0" maxValue="12"/>
    </cacheField>
    <cacheField name="defesas_visitante" numFmtId="0">
      <sharedItems containsSemiMixedTypes="0" containsString="0" containsNumber="1" containsInteger="1" minValue="0" maxValue="9"/>
    </cacheField>
    <cacheField name="impedimentos_mandante" numFmtId="0">
      <sharedItems containsSemiMixedTypes="0" containsString="0" containsNumber="1" containsInteger="1" minValue="0" maxValue="6"/>
    </cacheField>
    <cacheField name="impedimentos_visitante" numFmtId="0">
      <sharedItems containsSemiMixedTypes="0" containsString="0" containsNumber="1" containsInteger="1" minValue="0" maxValue="7"/>
    </cacheField>
    <cacheField name="chutes_mandante" numFmtId="0">
      <sharedItems containsSemiMixedTypes="0" containsString="0" containsNumber="1" containsInteger="1" minValue="2" maxValue="30"/>
    </cacheField>
    <cacheField name="chutes_visitante" numFmtId="0">
      <sharedItems containsSemiMixedTypes="0" containsString="0" containsNumber="1" containsInteger="1" minValue="1" maxValue="30"/>
    </cacheField>
    <cacheField name="chutes_fora_mandante" numFmtId="0">
      <sharedItems containsSemiMixedTypes="0" containsString="0" containsNumber="1" containsInteger="1" minValue="0" maxValue="14"/>
    </cacheField>
    <cacheField name="chutes_fora_visitante" numFmtId="0">
      <sharedItems containsSemiMixedTypes="0" containsString="0" containsNumber="1" containsInteger="1" minValue="0" maxValue="12"/>
    </cacheField>
    <cacheField name="saldo_mandante" numFmtId="0">
      <sharedItems containsSemiMixedTypes="0" containsString="0" containsNumber="1" containsInteger="1" minValue="-5" maxValue="5"/>
    </cacheField>
    <cacheField name="vitoria" numFmtId="0">
      <sharedItems containsSemiMixedTypes="0" containsString="0" containsNumber="1" containsInteger="1" minValue="0" maxValue="1" count="2">
        <n v="1"/>
        <n v="0"/>
      </sharedItems>
    </cacheField>
    <cacheField name="empate" numFmtId="0">
      <sharedItems containsSemiMixedTypes="0" containsString="0" containsNumber="1" containsInteger="1" minValue="0" maxValue="1" count="2">
        <n v="0"/>
        <n v="1"/>
      </sharedItems>
    </cacheField>
    <cacheField name="vitoria2" numFmtId="0">
      <sharedItems containsSemiMixedTypes="0" containsString="0" containsNumber="1" containsInteger="1" minValue="0" maxValue="1"/>
    </cacheField>
    <cacheField name="derrota" numFmtId="0">
      <sharedItems containsSemiMixedTypes="0" containsString="0" containsNumber="1" containsInteger="1" minValue="0" maxValue="1" count="2">
        <n v="0"/>
        <n v="1"/>
      </sharedItems>
    </cacheField>
    <cacheField name="xg_mandante" numFmtId="0">
      <sharedItems/>
    </cacheField>
    <cacheField name="cartão_vermelho_mandant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2024"/>
    <d v="2024-04-13T00:00:00"/>
    <n v="1"/>
    <n v="22045"/>
    <n v="50848"/>
    <x v="0"/>
    <n v="0.4335470421648836"/>
    <s v="Internacional"/>
    <s v="EC Bahia"/>
    <n v="5"/>
    <s v="1-5 (elite)"/>
    <n v="16"/>
    <m/>
    <n v="5840"/>
    <x v="0"/>
    <n v="3010"/>
    <s v="27.6"/>
    <n v="29"/>
    <n v="2"/>
    <n v="1"/>
    <n v="0"/>
    <n v="0"/>
    <x v="0"/>
    <n v="3"/>
    <n v="20"/>
    <n v="13"/>
    <x v="0"/>
    <n v="19"/>
    <n v="3"/>
    <n v="6"/>
    <n v="3"/>
    <n v="2"/>
    <n v="17"/>
    <n v="9"/>
    <n v="7"/>
    <n v="3"/>
    <n v="1"/>
    <x v="0"/>
    <x v="0"/>
    <n v="1"/>
    <x v="0"/>
    <s v="1.89"/>
    <n v="0"/>
  </r>
  <r>
    <n v="2024"/>
    <d v="2024-04-13T00:00:00"/>
    <n v="1"/>
    <n v="12408"/>
    <n v="19225"/>
    <x v="1"/>
    <n v="0.6454096228868661"/>
    <s v="CriciÃºma EC"/>
    <s v="Juventude"/>
    <n v="10"/>
    <s v="6-10 (intermediário)"/>
    <n v="11"/>
    <n v="1"/>
    <n v="563"/>
    <x v="1"/>
    <n v="730"/>
    <s v="31.1"/>
    <s v="30.4"/>
    <n v="1"/>
    <n v="1"/>
    <n v="1"/>
    <n v="0"/>
    <x v="1"/>
    <n v="4"/>
    <n v="11"/>
    <n v="15"/>
    <x v="1"/>
    <n v="9"/>
    <n v="3"/>
    <n v="2"/>
    <n v="3"/>
    <n v="4"/>
    <n v="10"/>
    <n v="15"/>
    <n v="4"/>
    <n v="7"/>
    <n v="0"/>
    <x v="1"/>
    <x v="1"/>
    <n v="0"/>
    <x v="0"/>
    <s v="0.71"/>
    <n v="0"/>
  </r>
  <r>
    <n v="2024"/>
    <d v="2024-04-14T00:00:00"/>
    <n v="1"/>
    <n v="36661"/>
    <n v="61927"/>
    <x v="2"/>
    <n v="0.59200348797778024"/>
    <s v="Cruzeiro"/>
    <s v="Botafogo"/>
    <n v="2"/>
    <s v="1-5 (elite)"/>
    <n v="14"/>
    <n v="12"/>
    <n v="2425"/>
    <x v="2"/>
    <n v="3435"/>
    <n v="29"/>
    <n v="29"/>
    <n v="3"/>
    <n v="2"/>
    <n v="1"/>
    <n v="1"/>
    <x v="0"/>
    <n v="3"/>
    <n v="12"/>
    <n v="11"/>
    <x v="2"/>
    <n v="10"/>
    <n v="1"/>
    <n v="2"/>
    <n v="2"/>
    <n v="0"/>
    <n v="15"/>
    <n v="6"/>
    <n v="4"/>
    <n v="3"/>
    <n v="1"/>
    <x v="0"/>
    <x v="0"/>
    <n v="1"/>
    <x v="0"/>
    <s v="1.65"/>
    <n v="0"/>
  </r>
  <r>
    <n v="2024"/>
    <d v="2024-04-14T00:00:00"/>
    <n v="1"/>
    <n v="17645"/>
    <n v="82238"/>
    <x v="0"/>
    <n v="0.21456017899267979"/>
    <s v="Fluminense"/>
    <s v="RB Bragantino"/>
    <n v="9"/>
    <s v="6-10 (intermediário)"/>
    <n v="8"/>
    <n v="-1"/>
    <n v="5955"/>
    <x v="0"/>
    <n v="2860"/>
    <s v="31.4"/>
    <s v="24.5"/>
    <n v="2"/>
    <n v="2"/>
    <n v="1"/>
    <n v="0"/>
    <x v="2"/>
    <n v="6"/>
    <n v="8"/>
    <n v="19"/>
    <x v="3"/>
    <n v="8"/>
    <n v="6"/>
    <n v="9"/>
    <n v="0"/>
    <n v="0"/>
    <n v="26"/>
    <n v="16"/>
    <n v="10"/>
    <n v="7"/>
    <n v="0"/>
    <x v="1"/>
    <x v="1"/>
    <n v="0"/>
    <x v="0"/>
    <s v="1.76"/>
    <n v="0"/>
  </r>
  <r>
    <n v="2024"/>
    <d v="2024-04-14T00:00:00"/>
    <n v="1"/>
    <n v="35055"/>
    <n v="72039"/>
    <x v="3"/>
    <n v="0.48661141881480863"/>
    <s v="SÃ£o Paulo"/>
    <s v="Fortaleza"/>
    <n v="18"/>
    <s v="16-20 (rebaixamento)"/>
    <n v="4"/>
    <n v="-14"/>
    <n v="4010"/>
    <x v="0"/>
    <n v="1315"/>
    <s v="28.3"/>
    <s v="31.2"/>
    <n v="1"/>
    <n v="2"/>
    <n v="0"/>
    <n v="0"/>
    <x v="3"/>
    <n v="4"/>
    <n v="10"/>
    <n v="14"/>
    <x v="4"/>
    <n v="10"/>
    <n v="0"/>
    <n v="4"/>
    <n v="2"/>
    <n v="1"/>
    <n v="14"/>
    <n v="6"/>
    <n v="5"/>
    <n v="3"/>
    <n v="-1"/>
    <x v="1"/>
    <x v="0"/>
    <n v="0"/>
    <x v="1"/>
    <s v="0.53"/>
    <n v="0"/>
  </r>
  <r>
    <n v="2024"/>
    <d v="2024-04-14T00:00:00"/>
    <n v="1"/>
    <n v="22169"/>
    <n v="42372"/>
    <x v="0"/>
    <n v="0.52319928254507697"/>
    <s v="Athletico-PR"/>
    <s v="CuiabÃ¡-MT"/>
    <n v="1"/>
    <s v="1-5 (elite)"/>
    <n v="20"/>
    <n v="19"/>
    <n v="3405"/>
    <x v="2"/>
    <n v="935"/>
    <s v="27.7"/>
    <s v="29.2"/>
    <n v="4"/>
    <n v="0"/>
    <n v="3"/>
    <n v="0"/>
    <x v="4"/>
    <n v="0"/>
    <n v="16"/>
    <n v="9"/>
    <x v="5"/>
    <n v="16"/>
    <n v="0"/>
    <n v="5"/>
    <n v="2"/>
    <n v="1"/>
    <n v="20"/>
    <n v="1"/>
    <n v="6"/>
    <n v="1"/>
    <n v="4"/>
    <x v="0"/>
    <x v="0"/>
    <n v="1"/>
    <x v="0"/>
    <s v="1.96"/>
    <n v="0"/>
  </r>
  <r>
    <n v="2024"/>
    <d v="2024-04-14T00:00:00"/>
    <n v="1"/>
    <n v="35195"/>
    <n v="50000"/>
    <x v="1"/>
    <n v="0.70389999999999997"/>
    <s v="AtlÃ©tico-GO"/>
    <s v="Flamengo"/>
    <n v="15"/>
    <s v="11-15 (mediano)"/>
    <n v="3"/>
    <n v="-12"/>
    <n v="790"/>
    <x v="1"/>
    <n v="10250"/>
    <s v="26.2"/>
    <n v="28"/>
    <n v="1"/>
    <n v="2"/>
    <n v="0"/>
    <n v="1"/>
    <x v="5"/>
    <n v="4"/>
    <n v="12"/>
    <n v="12"/>
    <x v="6"/>
    <n v="11"/>
    <n v="0"/>
    <n v="3"/>
    <n v="2"/>
    <n v="1"/>
    <n v="11"/>
    <n v="15"/>
    <n v="5"/>
    <n v="8"/>
    <n v="-1"/>
    <x v="1"/>
    <x v="0"/>
    <n v="0"/>
    <x v="1"/>
    <s v="1.62"/>
    <n v="1"/>
  </r>
  <r>
    <n v="2024"/>
    <d v="2024-04-14T00:00:00"/>
    <n v="1"/>
    <n v="18055"/>
    <n v="24584"/>
    <x v="0"/>
    <n v="0.73442076147087532"/>
    <s v="Vasco da Gama"/>
    <s v="GrÃªmio"/>
    <n v="6"/>
    <s v="6-10 (intermediário)"/>
    <n v="17"/>
    <n v="11"/>
    <n v="2545"/>
    <x v="2"/>
    <n v="4110"/>
    <s v="28.3"/>
    <s v="28.9"/>
    <n v="2"/>
    <n v="1"/>
    <n v="2"/>
    <n v="0"/>
    <x v="6"/>
    <n v="5"/>
    <n v="19"/>
    <n v="10"/>
    <x v="7"/>
    <n v="18"/>
    <n v="1"/>
    <n v="1"/>
    <n v="1"/>
    <n v="1"/>
    <n v="15"/>
    <n v="9"/>
    <n v="7"/>
    <n v="5"/>
    <n v="1"/>
    <x v="0"/>
    <x v="0"/>
    <n v="1"/>
    <x v="0"/>
    <s v="0.90"/>
    <n v="0"/>
  </r>
  <r>
    <n v="2024"/>
    <d v="2024-04-14T00:00:00"/>
    <n v="1"/>
    <n v="44597"/>
    <n v="49205"/>
    <x v="3"/>
    <n v="0.90635098059140329"/>
    <s v="Corinthians"/>
    <s v="AtlÃ©tico-MG"/>
    <n v="13"/>
    <s v="11-15 (mediano)"/>
    <n v="12"/>
    <n v="-1"/>
    <n v="4130"/>
    <x v="0"/>
    <n v="5520"/>
    <n v="28"/>
    <s v="29.7"/>
    <n v="0"/>
    <n v="0"/>
    <n v="0"/>
    <n v="0"/>
    <x v="6"/>
    <n v="3"/>
    <n v="16"/>
    <n v="12"/>
    <x v="6"/>
    <n v="16"/>
    <n v="3"/>
    <n v="1"/>
    <n v="0"/>
    <n v="2"/>
    <n v="13"/>
    <n v="8"/>
    <n v="7"/>
    <n v="2"/>
    <n v="0"/>
    <x v="1"/>
    <x v="1"/>
    <n v="0"/>
    <x v="0"/>
    <s v="0.46"/>
    <n v="0"/>
  </r>
  <r>
    <n v="2024"/>
    <d v="2024-04-17T00:00:00"/>
    <n v="2"/>
    <n v="23080"/>
    <n v="47364"/>
    <x v="0"/>
    <n v="0.48728992483742928"/>
    <s v="EC Bahia"/>
    <s v="Fluminense"/>
    <n v="9"/>
    <s v="6-10 (intermediário)"/>
    <n v="15"/>
    <n v="6"/>
    <n v="3060"/>
    <x v="2"/>
    <n v="5895"/>
    <s v="28.7"/>
    <s v="30.4"/>
    <n v="2"/>
    <n v="1"/>
    <n v="1"/>
    <n v="1"/>
    <x v="5"/>
    <n v="3"/>
    <n v="15"/>
    <n v="23"/>
    <x v="8"/>
    <n v="13"/>
    <n v="2"/>
    <n v="3"/>
    <n v="3"/>
    <n v="2"/>
    <n v="12"/>
    <n v="9"/>
    <n v="5"/>
    <n v="3"/>
    <n v="1"/>
    <x v="0"/>
    <x v="0"/>
    <n v="1"/>
    <x v="0"/>
    <s v="1.08"/>
    <n v="0"/>
  </r>
  <r>
    <n v="2024"/>
    <d v="2024-04-18T00:00:00"/>
    <n v="2"/>
    <n v="24613"/>
    <n v="46000"/>
    <x v="1"/>
    <n v="0.5350652173913043"/>
    <s v="AtlÃ©tico-MG"/>
    <s v="CriciÃºma EC"/>
    <n v="14"/>
    <s v="11-15 (mediano)"/>
    <n v="13"/>
    <n v="-1"/>
    <n v="4800"/>
    <x v="0"/>
    <n v="628"/>
    <s v="28.9"/>
    <s v="31.2"/>
    <n v="1"/>
    <n v="1"/>
    <n v="1"/>
    <n v="0"/>
    <x v="7"/>
    <n v="2"/>
    <n v="12"/>
    <n v="10"/>
    <x v="7"/>
    <n v="10"/>
    <n v="0"/>
    <n v="5"/>
    <n v="2"/>
    <n v="0"/>
    <n v="22"/>
    <n v="5"/>
    <n v="8"/>
    <n v="4"/>
    <n v="0"/>
    <x v="1"/>
    <x v="1"/>
    <n v="0"/>
    <x v="0"/>
    <s v="1.04"/>
    <n v="0"/>
  </r>
  <r>
    <n v="2024"/>
    <d v="2024-04-18T00:00:00"/>
    <n v="2"/>
    <n v="13541"/>
    <n v="60540"/>
    <x v="1"/>
    <n v="0.22367030062768417"/>
    <s v="GrÃªmio"/>
    <s v="Athletico-PR"/>
    <n v="8"/>
    <s v="6-10 (intermediário)"/>
    <n v="7"/>
    <n v="-1"/>
    <n v="3760"/>
    <x v="0"/>
    <n v="3195"/>
    <s v="29.2"/>
    <n v="28"/>
    <n v="2"/>
    <n v="0"/>
    <n v="1"/>
    <n v="0"/>
    <x v="7"/>
    <n v="2"/>
    <n v="7"/>
    <n v="13"/>
    <x v="0"/>
    <n v="7"/>
    <n v="0"/>
    <n v="5"/>
    <n v="0"/>
    <n v="1"/>
    <n v="14"/>
    <n v="4"/>
    <n v="4"/>
    <n v="3"/>
    <n v="2"/>
    <x v="0"/>
    <x v="0"/>
    <n v="1"/>
    <x v="0"/>
    <s v="1.13"/>
    <n v="0"/>
  </r>
  <r>
    <n v="2024"/>
    <d v="2024-04-18T00:00:00"/>
    <n v="2"/>
    <n v="13541"/>
    <n v="32713"/>
    <x v="2"/>
    <n v="0.41393329868859474"/>
    <s v="Palmeiras"/>
    <s v="Internacional"/>
    <n v="12"/>
    <s v="11-15 (mediano)"/>
    <n v="2"/>
    <n v="-10"/>
    <n v="13100"/>
    <x v="3"/>
    <n v="5825"/>
    <s v="26.6"/>
    <s v="29.1"/>
    <n v="0"/>
    <n v="1"/>
    <n v="0"/>
    <n v="1"/>
    <x v="0"/>
    <n v="2"/>
    <n v="14"/>
    <n v="21"/>
    <x v="9"/>
    <n v="11"/>
    <n v="1"/>
    <n v="3"/>
    <n v="4"/>
    <n v="1"/>
    <n v="18"/>
    <n v="5"/>
    <n v="11"/>
    <n v="3"/>
    <n v="-1"/>
    <x v="1"/>
    <x v="0"/>
    <n v="0"/>
    <x v="1"/>
    <s v="1.45"/>
    <n v="0"/>
  </r>
  <r>
    <n v="2024"/>
    <d v="2024-04-18T00:00:00"/>
    <n v="2"/>
    <n v="48103"/>
    <n v="78838"/>
    <x v="2"/>
    <n v="0.61014992769984022"/>
    <s v="Flamengo"/>
    <s v="SÃ£o Paulo"/>
    <n v="1"/>
    <s v="1-5 (elite)"/>
    <n v="19"/>
    <n v="18"/>
    <n v="8470"/>
    <x v="3"/>
    <n v="3710"/>
    <s v="28.7"/>
    <s v="28.2"/>
    <n v="2"/>
    <n v="1"/>
    <n v="1"/>
    <n v="0"/>
    <x v="7"/>
    <n v="1"/>
    <n v="19"/>
    <n v="19"/>
    <x v="10"/>
    <n v="17"/>
    <n v="2"/>
    <n v="4"/>
    <n v="1"/>
    <n v="2"/>
    <n v="12"/>
    <n v="10"/>
    <n v="4"/>
    <n v="3"/>
    <n v="1"/>
    <x v="0"/>
    <x v="0"/>
    <n v="1"/>
    <x v="0"/>
    <s v="1.3"/>
    <n v="0"/>
  </r>
  <r>
    <n v="2024"/>
    <d v="2024-04-18T00:00:00"/>
    <n v="2"/>
    <n v="22131"/>
    <n v="60326"/>
    <x v="0"/>
    <n v="0.36685674501873156"/>
    <s v="Fortaleza"/>
    <s v="Cruzeiro"/>
    <n v="6"/>
    <s v="6-10 (intermediário)"/>
    <n v="5"/>
    <n v="-1"/>
    <n v="1515"/>
    <x v="2"/>
    <n v="2225"/>
    <s v="30.6"/>
    <s v="28.7"/>
    <n v="1"/>
    <n v="1"/>
    <n v="1"/>
    <n v="0"/>
    <x v="4"/>
    <n v="5"/>
    <n v="13"/>
    <n v="10"/>
    <x v="5"/>
    <n v="13"/>
    <n v="4"/>
    <n v="2"/>
    <n v="0"/>
    <n v="2"/>
    <n v="14"/>
    <n v="14"/>
    <n v="6"/>
    <n v="6"/>
    <n v="0"/>
    <x v="1"/>
    <x v="1"/>
    <n v="0"/>
    <x v="0"/>
    <s v="0.64"/>
    <n v="0"/>
  </r>
  <r>
    <n v="2024"/>
    <d v="2024-04-18T00:00:00"/>
    <n v="2"/>
    <n v="7478"/>
    <n v="23726"/>
    <x v="1"/>
    <n v="0.31518165725364578"/>
    <s v="Juventude"/>
    <s v="Corinthians"/>
    <n v="3"/>
    <s v="1-5 (elite)"/>
    <n v="17"/>
    <n v="14"/>
    <n v="855"/>
    <x v="1"/>
    <n v="4080"/>
    <s v="29.5"/>
    <s v="28.7"/>
    <n v="2"/>
    <n v="0"/>
    <n v="0"/>
    <n v="0"/>
    <x v="0"/>
    <n v="7"/>
    <n v="16"/>
    <n v="10"/>
    <x v="7"/>
    <n v="15"/>
    <n v="2"/>
    <n v="6"/>
    <n v="1"/>
    <n v="2"/>
    <n v="16"/>
    <n v="17"/>
    <n v="4"/>
    <n v="11"/>
    <n v="2"/>
    <x v="0"/>
    <x v="0"/>
    <n v="1"/>
    <x v="0"/>
    <s v="1.63"/>
    <n v="1"/>
  </r>
  <r>
    <n v="2024"/>
    <d v="2024-04-18T00:00:00"/>
    <n v="2"/>
    <n v="5532"/>
    <n v="15010"/>
    <x v="4"/>
    <n v="0.36855429713524318"/>
    <s v="RB Bragantino"/>
    <s v="Vasco da Gama"/>
    <n v="4"/>
    <s v="1-5 (elite)"/>
    <n v="11"/>
    <n v="7"/>
    <n v="2260"/>
    <x v="2"/>
    <n v="2995"/>
    <s v="24.1"/>
    <s v="27.4"/>
    <n v="2"/>
    <n v="1"/>
    <n v="1"/>
    <n v="0"/>
    <x v="5"/>
    <n v="6"/>
    <n v="14"/>
    <n v="15"/>
    <x v="4"/>
    <n v="12"/>
    <n v="2"/>
    <n v="3"/>
    <n v="0"/>
    <n v="3"/>
    <n v="17"/>
    <n v="13"/>
    <n v="9"/>
    <n v="8"/>
    <n v="1"/>
    <x v="0"/>
    <x v="0"/>
    <n v="1"/>
    <x v="0"/>
    <s v="0.95"/>
    <n v="0"/>
  </r>
  <r>
    <n v="2024"/>
    <d v="2024-04-19T00:00:00"/>
    <n v="2"/>
    <n v="8508"/>
    <n v="46931"/>
    <x v="4"/>
    <n v="0.18128742195989858"/>
    <s v="Botafogo"/>
    <s v="AtlÃ©tico-GO"/>
    <n v="10"/>
    <s v="6-10 (intermediário)"/>
    <n v="20"/>
    <n v="10"/>
    <n v="3900"/>
    <x v="0"/>
    <n v="930"/>
    <s v="26.9"/>
    <s v="26.8"/>
    <n v="1"/>
    <n v="0"/>
    <n v="1"/>
    <n v="0"/>
    <x v="8"/>
    <n v="8"/>
    <n v="13"/>
    <n v="11"/>
    <x v="2"/>
    <n v="13"/>
    <n v="3"/>
    <n v="3"/>
    <n v="1"/>
    <n v="2"/>
    <n v="13"/>
    <n v="12"/>
    <n v="6"/>
    <n v="4"/>
    <n v="1"/>
    <x v="0"/>
    <x v="0"/>
    <n v="1"/>
    <x v="0"/>
    <s v="0.76"/>
    <n v="0"/>
  </r>
  <r>
    <n v="2024"/>
    <d v="2024-06-06T00:00:00"/>
    <n v="2"/>
    <n v="3614"/>
    <n v="42968"/>
    <x v="4"/>
    <n v="8.4109104449823127E-2"/>
    <s v="CuiabÃ¡-MT"/>
    <s v="EC VitÃ³ria"/>
    <n v="18"/>
    <s v="16-20 (rebaixamento)"/>
    <n v="16"/>
    <n v="-2"/>
    <n v="1200"/>
    <x v="1"/>
    <n v="1433"/>
    <s v="27.5"/>
    <s v="27.5"/>
    <n v="0"/>
    <n v="0"/>
    <n v="0"/>
    <n v="0"/>
    <x v="5"/>
    <n v="3"/>
    <n v="19"/>
    <n v="14"/>
    <x v="0"/>
    <n v="17"/>
    <n v="4"/>
    <n v="0"/>
    <n v="1"/>
    <n v="1"/>
    <n v="11"/>
    <n v="13"/>
    <n v="7"/>
    <n v="7"/>
    <n v="0"/>
    <x v="1"/>
    <x v="1"/>
    <n v="0"/>
    <x v="0"/>
    <s v="0.3"/>
    <n v="0"/>
  </r>
  <r>
    <n v="2024"/>
    <d v="2024-04-20T00:00:00"/>
    <n v="3"/>
    <n v="22904"/>
    <n v="60540"/>
    <x v="5"/>
    <n v="0.37832837793194585"/>
    <s v="GrÃªmio"/>
    <s v="CuiabÃ¡-MT"/>
    <n v="5"/>
    <s v="1-5 (elite)"/>
    <n v="19"/>
    <n v="14"/>
    <n v="4060"/>
    <x v="0"/>
    <n v="1360"/>
    <s v="26.5"/>
    <s v="28.8"/>
    <n v="1"/>
    <n v="0"/>
    <n v="1"/>
    <n v="0"/>
    <x v="6"/>
    <n v="4"/>
    <n v="10"/>
    <n v="5"/>
    <x v="11"/>
    <n v="10"/>
    <n v="3"/>
    <n v="3"/>
    <n v="0"/>
    <n v="0"/>
    <n v="7"/>
    <n v="14"/>
    <n v="3"/>
    <n v="8"/>
    <n v="1"/>
    <x v="0"/>
    <x v="0"/>
    <n v="1"/>
    <x v="0"/>
    <s v="0.63"/>
    <n v="0"/>
  </r>
  <r>
    <n v="2024"/>
    <d v="2024-04-20T00:00:00"/>
    <n v="3"/>
    <n v="25842"/>
    <n v="82238"/>
    <x v="1"/>
    <n v="0.31423429558111821"/>
    <s v="Fluminense"/>
    <s v="Vasco da Gama"/>
    <n v="10"/>
    <s v="6-10 (intermediário)"/>
    <n v="15"/>
    <n v="5"/>
    <n v="5685"/>
    <x v="0"/>
    <n v="2525"/>
    <n v="32"/>
    <s v="28.3"/>
    <n v="2"/>
    <n v="1"/>
    <n v="1"/>
    <n v="0"/>
    <x v="9"/>
    <n v="7"/>
    <n v="16"/>
    <n v="17"/>
    <x v="12"/>
    <n v="15"/>
    <n v="4"/>
    <n v="6"/>
    <n v="1"/>
    <n v="4"/>
    <n v="11"/>
    <n v="21"/>
    <n v="2"/>
    <n v="8"/>
    <n v="1"/>
    <x v="0"/>
    <x v="0"/>
    <n v="1"/>
    <x v="0"/>
    <s v="1.31"/>
    <n v="0"/>
  </r>
  <r>
    <n v="2024"/>
    <d v="2024-04-20T00:00:00"/>
    <n v="3"/>
    <n v="9613"/>
    <n v="15010"/>
    <x v="1"/>
    <n v="0.64043970686209195"/>
    <s v="RB Bragantino"/>
    <s v="Corinthians"/>
    <n v="1"/>
    <s v="1-5 (elite)"/>
    <n v="18"/>
    <n v="17"/>
    <n v="3610"/>
    <x v="0"/>
    <n v="4150"/>
    <n v="24"/>
    <s v="28.2"/>
    <n v="1"/>
    <n v="0"/>
    <n v="1"/>
    <n v="0"/>
    <x v="6"/>
    <n v="4"/>
    <n v="21"/>
    <n v="10"/>
    <x v="7"/>
    <n v="20"/>
    <n v="4"/>
    <n v="2"/>
    <n v="0"/>
    <n v="4"/>
    <n v="10"/>
    <n v="15"/>
    <n v="5"/>
    <n v="8"/>
    <n v="1"/>
    <x v="0"/>
    <x v="0"/>
    <n v="1"/>
    <x v="0"/>
    <s v="0.45"/>
    <n v="0"/>
  </r>
  <r>
    <n v="2024"/>
    <d v="2024-04-21T00:00:00"/>
    <n v="3"/>
    <n v="29956"/>
    <n v="43713"/>
    <x v="4"/>
    <n v="0.68528812938942651"/>
    <s v="Palmeiras"/>
    <s v="Flamengo"/>
    <n v="11"/>
    <s v="11-15 (mediano)"/>
    <n v="2"/>
    <n v="-9"/>
    <n v="13050"/>
    <x v="3"/>
    <n v="5820"/>
    <s v="27.4"/>
    <n v="29"/>
    <n v="0"/>
    <n v="0"/>
    <n v="0"/>
    <n v="0"/>
    <x v="10"/>
    <n v="5"/>
    <n v="23"/>
    <n v="14"/>
    <x v="0"/>
    <n v="23"/>
    <n v="3"/>
    <n v="1"/>
    <n v="3"/>
    <n v="0"/>
    <n v="11"/>
    <n v="8"/>
    <n v="7"/>
    <n v="3"/>
    <n v="0"/>
    <x v="1"/>
    <x v="1"/>
    <n v="0"/>
    <x v="0"/>
    <s v="0.4"/>
    <n v="0"/>
  </r>
  <r>
    <n v="2024"/>
    <d v="2024-04-21T00:00:00"/>
    <n v="3"/>
    <n v="13273"/>
    <n v="46931"/>
    <x v="1"/>
    <n v="0.28281945835375338"/>
    <s v="Botafogo"/>
    <s v="Juventude"/>
    <n v="3"/>
    <s v="1-5 (elite)"/>
    <n v="13"/>
    <n v="10"/>
    <n v="2720"/>
    <x v="2"/>
    <n v="840"/>
    <s v="28.1"/>
    <s v="28.5"/>
    <n v="5"/>
    <n v="1"/>
    <n v="2"/>
    <n v="0"/>
    <x v="10"/>
    <n v="4"/>
    <n v="22"/>
    <n v="10"/>
    <x v="7"/>
    <n v="20"/>
    <n v="0"/>
    <n v="1"/>
    <n v="1"/>
    <n v="1"/>
    <n v="13"/>
    <n v="12"/>
    <n v="5"/>
    <n v="5"/>
    <n v="4"/>
    <x v="0"/>
    <x v="0"/>
    <n v="1"/>
    <x v="0"/>
    <s v="2.96"/>
    <n v="0"/>
  </r>
  <r>
    <n v="2024"/>
    <d v="2024-04-21T00:00:00"/>
    <n v="3"/>
    <n v="27609"/>
    <n v="30618"/>
    <x v="2"/>
    <n v="0.90172447579854986"/>
    <s v="EC VitÃ³ria"/>
    <s v="EC Bahia"/>
    <n v="17"/>
    <s v="16-20 (rebaixamento)"/>
    <n v="9"/>
    <n v="-8"/>
    <n v="1158"/>
    <x v="1"/>
    <n v="3060"/>
    <s v="27.8"/>
    <s v="28.8"/>
    <n v="2"/>
    <n v="2"/>
    <n v="1"/>
    <n v="0"/>
    <x v="9"/>
    <n v="5"/>
    <n v="11"/>
    <n v="13"/>
    <x v="6"/>
    <n v="11"/>
    <n v="4"/>
    <n v="6"/>
    <n v="5"/>
    <n v="2"/>
    <n v="13"/>
    <n v="18"/>
    <n v="4"/>
    <n v="6"/>
    <n v="0"/>
    <x v="1"/>
    <x v="1"/>
    <n v="0"/>
    <x v="0"/>
    <s v="1.69"/>
    <n v="0"/>
  </r>
  <r>
    <n v="2024"/>
    <d v="2024-04-21T00:00:00"/>
    <n v="3"/>
    <n v="9017"/>
    <n v="13000"/>
    <x v="1"/>
    <n v="0.69361538461538463"/>
    <s v="AtlÃ©tico-GO"/>
    <s v="SÃ£o Paulo"/>
    <n v="20"/>
    <s v="16-20 (rebaixamento)"/>
    <n v="14"/>
    <n v="-6"/>
    <n v="1150"/>
    <x v="1"/>
    <n v="3960"/>
    <s v="26.2"/>
    <s v="28.3"/>
    <n v="0"/>
    <n v="3"/>
    <n v="0"/>
    <n v="1"/>
    <x v="5"/>
    <n v="3"/>
    <n v="13"/>
    <n v="9"/>
    <x v="5"/>
    <n v="12"/>
    <n v="4"/>
    <n v="1"/>
    <n v="0"/>
    <n v="2"/>
    <n v="9"/>
    <n v="19"/>
    <n v="4"/>
    <n v="4"/>
    <n v="-3"/>
    <x v="1"/>
    <x v="0"/>
    <n v="0"/>
    <x v="1"/>
    <s v="0.24"/>
    <n v="1"/>
  </r>
  <r>
    <n v="2024"/>
    <d v="2024-04-21T00:00:00"/>
    <n v="3"/>
    <n v="39541"/>
    <n v="46000"/>
    <x v="4"/>
    <n v="0.85958695652173911"/>
    <s v="AtlÃ©tico-MG"/>
    <s v="Cruzeiro"/>
    <n v="7"/>
    <s v="6-10 (intermediário)"/>
    <n v="12"/>
    <n v="5"/>
    <n v="5720"/>
    <x v="0"/>
    <n v="2005"/>
    <n v="30"/>
    <s v="28.6"/>
    <n v="3"/>
    <n v="0"/>
    <n v="3"/>
    <n v="0"/>
    <x v="5"/>
    <n v="4"/>
    <n v="15"/>
    <n v="17"/>
    <x v="13"/>
    <n v="15"/>
    <n v="2"/>
    <n v="1"/>
    <n v="1"/>
    <n v="2"/>
    <n v="9"/>
    <n v="10"/>
    <n v="3"/>
    <n v="1"/>
    <n v="3"/>
    <x v="0"/>
    <x v="0"/>
    <n v="1"/>
    <x v="0"/>
    <s v="1.13"/>
    <n v="0"/>
  </r>
  <r>
    <n v="2024"/>
    <d v="2024-04-27T00:00:00"/>
    <n v="4"/>
    <n v="6711"/>
    <n v="42968"/>
    <x v="0"/>
    <n v="0.15618599888288959"/>
    <s v="CuiabÃ¡-MT"/>
    <s v="AtlÃ©tico-MG"/>
    <n v="20"/>
    <s v="16-20 (rebaixamento)"/>
    <n v="2"/>
    <n v="-18"/>
    <n v="1380"/>
    <x v="1"/>
    <n v="4900"/>
    <n v="28"/>
    <s v="27.9"/>
    <n v="0"/>
    <n v="3"/>
    <n v="0"/>
    <n v="1"/>
    <x v="6"/>
    <n v="10"/>
    <n v="11"/>
    <n v="17"/>
    <x v="13"/>
    <n v="11"/>
    <n v="2"/>
    <n v="1"/>
    <n v="2"/>
    <n v="1"/>
    <n v="4"/>
    <n v="13"/>
    <n v="2"/>
    <n v="5"/>
    <n v="-3"/>
    <x v="1"/>
    <x v="0"/>
    <n v="0"/>
    <x v="1"/>
    <s v="0.25"/>
    <n v="0"/>
  </r>
  <r>
    <n v="2024"/>
    <d v="2024-04-27T00:00:00"/>
    <n v="4"/>
    <n v="17124"/>
    <n v="24584"/>
    <x v="4"/>
    <n v="0.69655060201757235"/>
    <s v="Vasco da Gama"/>
    <s v="CriciÃºma EC"/>
    <n v="17"/>
    <s v="16-20 (rebaixamento)"/>
    <n v="10"/>
    <n v="-7"/>
    <n v="3015"/>
    <x v="2"/>
    <n v="575"/>
    <s v="28.4"/>
    <s v="31.3"/>
    <n v="0"/>
    <n v="4"/>
    <n v="0"/>
    <n v="1"/>
    <x v="10"/>
    <n v="4"/>
    <n v="13"/>
    <n v="7"/>
    <x v="14"/>
    <n v="13"/>
    <n v="6"/>
    <n v="5"/>
    <n v="0"/>
    <n v="2"/>
    <n v="21"/>
    <n v="17"/>
    <n v="8"/>
    <n v="5"/>
    <n v="-4"/>
    <x v="1"/>
    <x v="0"/>
    <n v="0"/>
    <x v="1"/>
    <s v="2.02"/>
    <n v="0"/>
  </r>
  <r>
    <n v="2024"/>
    <d v="2024-04-28T00:00:00"/>
    <n v="4"/>
    <n v="20083"/>
    <n v="61927"/>
    <x v="3"/>
    <n v="0.32430119334054613"/>
    <s v="Cruzeiro"/>
    <s v="EC VitÃ³ria"/>
    <n v="7"/>
    <s v="6-10 (intermediário)"/>
    <n v="18"/>
    <n v="11"/>
    <n v="3065"/>
    <x v="2"/>
    <n v="1328"/>
    <s v="27.8"/>
    <s v="28.3"/>
    <n v="3"/>
    <n v="1"/>
    <n v="0"/>
    <n v="0"/>
    <x v="11"/>
    <n v="4"/>
    <n v="12"/>
    <n v="6"/>
    <x v="11"/>
    <n v="11"/>
    <n v="3"/>
    <n v="3"/>
    <n v="0"/>
    <n v="0"/>
    <n v="15"/>
    <n v="8"/>
    <n v="5"/>
    <n v="5"/>
    <n v="2"/>
    <x v="0"/>
    <x v="0"/>
    <n v="1"/>
    <x v="0"/>
    <s v="1.2"/>
    <n v="0"/>
  </r>
  <r>
    <n v="2024"/>
    <d v="2024-04-28T00:00:00"/>
    <n v="4"/>
    <n v="53683"/>
    <n v="78838"/>
    <x v="1"/>
    <n v="0.68092797889342704"/>
    <s v="Flamengo"/>
    <s v="Botafogo"/>
    <n v="8"/>
    <s v="6-10 (intermediário)"/>
    <n v="1"/>
    <n v="-7"/>
    <n v="8820"/>
    <x v="3"/>
    <n v="3275"/>
    <n v="29"/>
    <s v="28.7"/>
    <n v="0"/>
    <n v="2"/>
    <n v="0"/>
    <n v="0"/>
    <x v="8"/>
    <n v="3"/>
    <n v="12"/>
    <n v="15"/>
    <x v="1"/>
    <n v="12"/>
    <n v="1"/>
    <n v="0"/>
    <n v="2"/>
    <n v="1"/>
    <n v="15"/>
    <n v="9"/>
    <n v="11"/>
    <n v="1"/>
    <n v="-2"/>
    <x v="1"/>
    <x v="0"/>
    <n v="0"/>
    <x v="1"/>
    <s v="0.82"/>
    <n v="0"/>
  </r>
  <r>
    <n v="2024"/>
    <d v="2024-04-28T00:00:00"/>
    <n v="4"/>
    <n v="36066"/>
    <n v="47364"/>
    <x v="0"/>
    <n v="0.76146440334431209"/>
    <s v="EC Bahia"/>
    <s v="GrÃªmio"/>
    <n v="5"/>
    <s v="1-5 (elite)"/>
    <n v="9"/>
    <n v="4"/>
    <n v="3120"/>
    <x v="2"/>
    <n v="2950"/>
    <s v="28.3"/>
    <s v="30.5"/>
    <n v="1"/>
    <n v="0"/>
    <n v="1"/>
    <n v="0"/>
    <x v="5"/>
    <n v="0"/>
    <n v="10"/>
    <n v="15"/>
    <x v="0"/>
    <n v="10"/>
    <n v="2"/>
    <n v="3"/>
    <n v="1"/>
    <n v="2"/>
    <n v="14"/>
    <n v="3"/>
    <n v="5"/>
    <n v="1"/>
    <n v="1"/>
    <x v="0"/>
    <x v="0"/>
    <n v="1"/>
    <x v="0"/>
    <s v="1.16"/>
    <n v="0"/>
  </r>
  <r>
    <n v="2024"/>
    <d v="2024-04-28T00:00:00"/>
    <n v="4"/>
    <n v="18113"/>
    <n v="60326"/>
    <x v="0"/>
    <n v="0.30025196432715578"/>
    <s v="Fortaleza"/>
    <s v="RB Bragantino"/>
    <n v="11"/>
    <s v="11-15 (mediano)"/>
    <n v="3"/>
    <n v="-8"/>
    <n v="1115"/>
    <x v="1"/>
    <n v="3630"/>
    <s v="30.2"/>
    <s v="24.9"/>
    <n v="1"/>
    <n v="1"/>
    <n v="1"/>
    <n v="1"/>
    <x v="12"/>
    <n v="6"/>
    <n v="9"/>
    <n v="6"/>
    <x v="15"/>
    <n v="8"/>
    <n v="2"/>
    <n v="4"/>
    <n v="1"/>
    <n v="2"/>
    <n v="22"/>
    <n v="10"/>
    <n v="9"/>
    <n v="4"/>
    <n v="0"/>
    <x v="1"/>
    <x v="1"/>
    <n v="0"/>
    <x v="0"/>
    <s v="1.68"/>
    <n v="0"/>
  </r>
  <r>
    <n v="2024"/>
    <d v="2024-04-28T00:00:00"/>
    <n v="4"/>
    <n v="42119"/>
    <n v="49205"/>
    <x v="3"/>
    <n v="0.85599024489381159"/>
    <s v="Corinthians"/>
    <s v="Fluminense"/>
    <n v="15"/>
    <s v="11-15 (mediano)"/>
    <n v="16"/>
    <n v="1"/>
    <n v="2730"/>
    <x v="2"/>
    <n v="3795"/>
    <n v="27"/>
    <s v="31.8"/>
    <n v="3"/>
    <n v="0"/>
    <n v="2"/>
    <n v="0"/>
    <x v="0"/>
    <n v="8"/>
    <n v="15"/>
    <n v="15"/>
    <x v="1"/>
    <n v="14"/>
    <n v="2"/>
    <n v="4"/>
    <n v="1"/>
    <n v="2"/>
    <n v="17"/>
    <n v="13"/>
    <n v="4"/>
    <n v="5"/>
    <n v="3"/>
    <x v="0"/>
    <x v="0"/>
    <n v="1"/>
    <x v="0"/>
    <s v="1.23"/>
    <n v="0"/>
  </r>
  <r>
    <n v="2024"/>
    <d v="2024-04-28T00:00:00"/>
    <n v="4"/>
    <n v="5032"/>
    <n v="23726"/>
    <x v="0"/>
    <n v="0.21208800472055972"/>
    <s v="Juventude"/>
    <s v="Athletico-PR"/>
    <n v="13"/>
    <s v="11-15 (mediano)"/>
    <n v="4"/>
    <n v="-9"/>
    <n v="810"/>
    <x v="1"/>
    <n v="3745"/>
    <n v="29"/>
    <s v="26.4"/>
    <n v="1"/>
    <n v="1"/>
    <n v="1"/>
    <n v="0"/>
    <x v="5"/>
    <n v="6"/>
    <n v="12"/>
    <n v="17"/>
    <x v="12"/>
    <n v="12"/>
    <n v="6"/>
    <n v="4"/>
    <n v="1"/>
    <n v="3"/>
    <n v="15"/>
    <n v="15"/>
    <n v="6"/>
    <n v="5"/>
    <n v="0"/>
    <x v="1"/>
    <x v="1"/>
    <n v="0"/>
    <x v="0"/>
    <s v="1.17"/>
    <n v="0"/>
  </r>
  <r>
    <n v="2024"/>
    <d v="2024-04-29T00:00:00"/>
    <n v="4"/>
    <n v="23836"/>
    <n v="50848"/>
    <x v="4"/>
    <n v="0.46876966645689111"/>
    <s v="Internacional"/>
    <s v="AtlÃ©tico-GO"/>
    <n v="6"/>
    <s v="6-10 (intermediário)"/>
    <n v="19"/>
    <n v="13"/>
    <n v="5125"/>
    <x v="0"/>
    <n v="1020"/>
    <s v="28.3"/>
    <s v="26.7"/>
    <n v="1"/>
    <n v="1"/>
    <n v="0"/>
    <n v="0"/>
    <x v="2"/>
    <n v="0"/>
    <n v="13"/>
    <n v="12"/>
    <x v="6"/>
    <n v="13"/>
    <n v="1"/>
    <n v="4"/>
    <n v="1"/>
    <n v="5"/>
    <n v="22"/>
    <n v="4"/>
    <n v="9"/>
    <n v="0"/>
    <n v="0"/>
    <x v="1"/>
    <x v="1"/>
    <n v="0"/>
    <x v="0"/>
    <s v="1.92"/>
    <n v="0"/>
  </r>
  <r>
    <n v="2024"/>
    <d v="2024-04-30T00:00:00"/>
    <n v="4"/>
    <n v="55694"/>
    <n v="72039"/>
    <x v="1"/>
    <n v="0.77310901039714597"/>
    <s v="SÃ£o Paulo"/>
    <s v="Palmeiras"/>
    <n v="14"/>
    <s v="11-15 (mediano)"/>
    <n v="12"/>
    <n v="-2"/>
    <n v="2810"/>
    <x v="2"/>
    <n v="13620"/>
    <s v="28.4"/>
    <s v="26.5"/>
    <n v="0"/>
    <n v="0"/>
    <n v="0"/>
    <n v="0"/>
    <x v="0"/>
    <n v="4"/>
    <n v="10"/>
    <n v="20"/>
    <x v="12"/>
    <n v="10"/>
    <n v="2"/>
    <n v="1"/>
    <n v="2"/>
    <n v="3"/>
    <n v="16"/>
    <n v="9"/>
    <n v="8"/>
    <n v="3"/>
    <n v="0"/>
    <x v="1"/>
    <x v="1"/>
    <n v="0"/>
    <x v="0"/>
    <s v="0.87"/>
    <n v="0"/>
  </r>
  <r>
    <n v="2024"/>
    <d v="2024-05-04T00:00:00"/>
    <n v="5"/>
    <n v="14202"/>
    <n v="21238"/>
    <x v="0"/>
    <n v="0.66870703456069314"/>
    <s v="Fluminense"/>
    <s v="AtlÃ©tico-MG"/>
    <n v="16"/>
    <s v="16-20 (rebaixamento)"/>
    <n v="4"/>
    <n v="-12"/>
    <n v="3575"/>
    <x v="0"/>
    <n v="5720"/>
    <s v="32.5"/>
    <n v="30"/>
    <n v="2"/>
    <n v="2"/>
    <n v="1"/>
    <n v="0"/>
    <x v="5"/>
    <n v="10"/>
    <n v="11"/>
    <n v="18"/>
    <x v="13"/>
    <n v="11"/>
    <n v="5"/>
    <n v="3"/>
    <n v="0"/>
    <n v="3"/>
    <n v="10"/>
    <n v="19"/>
    <n v="3"/>
    <n v="6"/>
    <n v="0"/>
    <x v="1"/>
    <x v="1"/>
    <n v="0"/>
    <x v="0"/>
    <s v="1.81"/>
    <n v="0"/>
  </r>
  <r>
    <n v="2024"/>
    <d v="2024-05-05T00:00:00"/>
    <n v="5"/>
    <n v="22685"/>
    <n v="46931"/>
    <x v="2"/>
    <n v="0.48336920159382923"/>
    <s v="Botafogo"/>
    <s v="EC Bahia"/>
    <n v="3"/>
    <s v="1-5 (elite)"/>
    <n v="2"/>
    <n v="-1"/>
    <n v="3655"/>
    <x v="0"/>
    <n v="3120"/>
    <s v="27.8"/>
    <s v="28.4"/>
    <n v="1"/>
    <n v="2"/>
    <n v="0"/>
    <n v="1"/>
    <x v="10"/>
    <n v="1"/>
    <n v="10"/>
    <n v="5"/>
    <x v="11"/>
    <n v="8"/>
    <n v="2"/>
    <n v="4"/>
    <n v="6"/>
    <n v="0"/>
    <n v="16"/>
    <n v="10"/>
    <n v="10"/>
    <n v="5"/>
    <n v="-1"/>
    <x v="1"/>
    <x v="0"/>
    <n v="0"/>
    <x v="1"/>
    <s v="0.88"/>
    <n v="0"/>
  </r>
  <r>
    <n v="2024"/>
    <d v="2024-05-05T00:00:00"/>
    <n v="5"/>
    <n v="10781"/>
    <n v="42968"/>
    <x v="1"/>
    <n v="0.25090765220629307"/>
    <s v="CuiabÃ¡-MT"/>
    <s v="Palmeiras"/>
    <n v="20"/>
    <s v="16-20 (rebaixamento)"/>
    <n v="7"/>
    <n v="-13"/>
    <n v="1520"/>
    <x v="2"/>
    <n v="13670"/>
    <s v="26.9"/>
    <s v="26.5"/>
    <n v="0"/>
    <n v="2"/>
    <n v="0"/>
    <n v="1"/>
    <x v="0"/>
    <n v="6"/>
    <n v="10"/>
    <n v="11"/>
    <x v="5"/>
    <n v="10"/>
    <n v="4"/>
    <n v="1"/>
    <n v="2"/>
    <n v="1"/>
    <n v="9"/>
    <n v="15"/>
    <n v="6"/>
    <n v="6"/>
    <n v="-2"/>
    <x v="1"/>
    <x v="0"/>
    <n v="0"/>
    <x v="1"/>
    <s v="0.39"/>
    <n v="0"/>
  </r>
  <r>
    <n v="2024"/>
    <d v="2024-05-05T00:00:00"/>
    <n v="5"/>
    <n v="25739"/>
    <n v="30618"/>
    <x v="2"/>
    <n v="0.84064929126657517"/>
    <s v="EC VitÃ³ria"/>
    <s v="SÃ£o Paulo"/>
    <n v="18"/>
    <s v="16-20 (rebaixamento)"/>
    <n v="12"/>
    <n v="-6"/>
    <n v="688"/>
    <x v="1"/>
    <n v="3110"/>
    <s v="28.7"/>
    <s v="28.5"/>
    <n v="1"/>
    <n v="3"/>
    <n v="0"/>
    <n v="1"/>
    <x v="6"/>
    <n v="8"/>
    <n v="10"/>
    <n v="13"/>
    <x v="0"/>
    <n v="9"/>
    <n v="3"/>
    <n v="1"/>
    <n v="0"/>
    <n v="2"/>
    <n v="6"/>
    <n v="20"/>
    <n v="1"/>
    <n v="8"/>
    <n v="-2"/>
    <x v="1"/>
    <x v="0"/>
    <n v="0"/>
    <x v="1"/>
    <s v="0.25"/>
    <n v="1"/>
  </r>
  <r>
    <n v="2024"/>
    <d v="2024-05-05T00:00:00"/>
    <n v="5"/>
    <n v="31192"/>
    <n v="42372"/>
    <x v="1"/>
    <n v="0.73614651184744639"/>
    <s v="Athletico-PR"/>
    <s v="Vasco da Gama"/>
    <n v="1"/>
    <s v="1-5 (elite)"/>
    <n v="17"/>
    <n v="16"/>
    <n v="4065"/>
    <x v="0"/>
    <n v="2225"/>
    <s v="26.6"/>
    <s v="28.7"/>
    <n v="1"/>
    <n v="0"/>
    <n v="1"/>
    <n v="0"/>
    <x v="0"/>
    <n v="5"/>
    <n v="11"/>
    <n v="9"/>
    <x v="5"/>
    <n v="11"/>
    <n v="2"/>
    <n v="6"/>
    <n v="3"/>
    <n v="3"/>
    <n v="26"/>
    <n v="7"/>
    <n v="13"/>
    <n v="6"/>
    <n v="1"/>
    <x v="0"/>
    <x v="0"/>
    <n v="1"/>
    <x v="0"/>
    <s v="2.32"/>
    <n v="0"/>
  </r>
  <r>
    <n v="2024"/>
    <d v="2024-06-06T00:00:00"/>
    <n v="5"/>
    <n v="5123"/>
    <n v="23726"/>
    <x v="0"/>
    <n v="0.21592345949591166"/>
    <s v="Juventude"/>
    <s v="AtlÃ©tico-GO"/>
    <n v="11"/>
    <s v="11-15 (mediano)"/>
    <n v="19"/>
    <n v="8"/>
    <n v="810"/>
    <x v="1"/>
    <n v="750"/>
    <s v="29.1"/>
    <s v="28.1"/>
    <n v="1"/>
    <n v="0"/>
    <n v="1"/>
    <n v="0"/>
    <x v="5"/>
    <n v="7"/>
    <n v="13"/>
    <n v="12"/>
    <x v="2"/>
    <n v="12"/>
    <n v="5"/>
    <n v="1"/>
    <n v="1"/>
    <n v="1"/>
    <n v="8"/>
    <n v="22"/>
    <n v="5"/>
    <n v="9"/>
    <n v="1"/>
    <x v="0"/>
    <x v="0"/>
    <n v="1"/>
    <x v="0"/>
    <s v="1.25"/>
    <n v="1"/>
  </r>
  <r>
    <n v="2024"/>
    <d v="2024-08-29T00:00:00"/>
    <n v="5"/>
    <n v="35238"/>
    <n v="61927"/>
    <x v="4"/>
    <n v="0.56902481954559403"/>
    <s v="Cruzeiro"/>
    <s v="Internacional"/>
    <n v="9"/>
    <s v="6-10 (intermediário)"/>
    <n v="8"/>
    <n v="-1"/>
    <n v="4120"/>
    <x v="0"/>
    <n v="3045"/>
    <n v="28"/>
    <s v="27.1"/>
    <n v="0"/>
    <n v="0"/>
    <n v="0"/>
    <n v="0"/>
    <x v="11"/>
    <n v="3"/>
    <n v="12"/>
    <n v="13"/>
    <x v="6"/>
    <n v="11"/>
    <n v="0"/>
    <n v="4"/>
    <n v="1"/>
    <n v="1"/>
    <n v="19"/>
    <n v="1"/>
    <n v="12"/>
    <n v="1"/>
    <n v="0"/>
    <x v="1"/>
    <x v="1"/>
    <n v="0"/>
    <x v="0"/>
    <s v="1.25"/>
    <n v="0"/>
  </r>
  <r>
    <n v="2024"/>
    <d v="2024-09-26T00:00:00"/>
    <n v="5"/>
    <n v="18457"/>
    <n v="60540"/>
    <x v="0"/>
    <n v="0.30487281136438721"/>
    <s v="GrÃªmio"/>
    <s v="CriciÃºma EC"/>
    <n v="14"/>
    <s v="11-15 (mediano)"/>
    <n v="5"/>
    <n v="-9"/>
    <n v="4120"/>
    <x v="0"/>
    <n v="735"/>
    <s v="28.9"/>
    <s v="30.2"/>
    <n v="1"/>
    <n v="2"/>
    <n v="0"/>
    <n v="1"/>
    <x v="0"/>
    <n v="3"/>
    <n v="8"/>
    <n v="12"/>
    <x v="6"/>
    <n v="6"/>
    <n v="2"/>
    <n v="2"/>
    <n v="0"/>
    <n v="1"/>
    <n v="15"/>
    <n v="11"/>
    <n v="6"/>
    <n v="5"/>
    <n v="-1"/>
    <x v="1"/>
    <x v="0"/>
    <n v="0"/>
    <x v="1"/>
    <s v="1.5"/>
    <n v="0"/>
  </r>
  <r>
    <n v="2024"/>
    <d v="2024-05-11T00:00:00"/>
    <n v="6"/>
    <n v="56829"/>
    <n v="78838"/>
    <x v="3"/>
    <n v="0.72083259341941708"/>
    <s v="Flamengo"/>
    <s v="Corinthians"/>
    <n v="4"/>
    <s v="1-5 (elite)"/>
    <n v="16"/>
    <n v="12"/>
    <n v="9570"/>
    <x v="3"/>
    <n v="2590"/>
    <n v="27"/>
    <s v="27.6"/>
    <n v="2"/>
    <n v="0"/>
    <n v="1"/>
    <n v="0"/>
    <x v="2"/>
    <n v="6"/>
    <n v="12"/>
    <n v="16"/>
    <x v="13"/>
    <n v="11"/>
    <n v="3"/>
    <n v="8"/>
    <n v="1"/>
    <n v="1"/>
    <n v="18"/>
    <n v="13"/>
    <n v="4"/>
    <n v="5"/>
    <n v="2"/>
    <x v="0"/>
    <x v="0"/>
    <n v="1"/>
    <x v="0"/>
    <s v="1.7"/>
    <n v="0"/>
  </r>
  <r>
    <n v="2024"/>
    <d v="2024-05-12T00:00:00"/>
    <n v="6"/>
    <n v="15914"/>
    <n v="60326"/>
    <x v="0"/>
    <n v="0.26380001989192059"/>
    <s v="Fortaleza"/>
    <s v="Botafogo"/>
    <n v="13"/>
    <s v="11-15 (mediano)"/>
    <n v="7"/>
    <n v="-6"/>
    <n v="1495"/>
    <x v="1"/>
    <n v="3210"/>
    <s v="29.8"/>
    <s v="27.5"/>
    <n v="1"/>
    <n v="1"/>
    <n v="1"/>
    <n v="1"/>
    <x v="0"/>
    <n v="5"/>
    <n v="12"/>
    <n v="19"/>
    <x v="10"/>
    <n v="10"/>
    <n v="4"/>
    <n v="2"/>
    <n v="5"/>
    <n v="0"/>
    <n v="10"/>
    <n v="11"/>
    <n v="5"/>
    <n v="5"/>
    <n v="0"/>
    <x v="1"/>
    <x v="1"/>
    <n v="0"/>
    <x v="0"/>
    <s v="0.61"/>
    <n v="0"/>
  </r>
  <r>
    <n v="2024"/>
    <d v="2024-05-12T00:00:00"/>
    <n v="6"/>
    <n v="11084"/>
    <n v="24584"/>
    <x v="3"/>
    <n v="0.45086234949560688"/>
    <s v="Vasco da Gama"/>
    <s v="EC VitÃ³ria"/>
    <n v="15"/>
    <s v="11-15 (mediano)"/>
    <n v="19"/>
    <n v="4"/>
    <n v="3085"/>
    <x v="2"/>
    <n v="1250"/>
    <s v="29.5"/>
    <s v="26.7"/>
    <n v="2"/>
    <n v="1"/>
    <n v="0"/>
    <n v="0"/>
    <x v="5"/>
    <n v="4"/>
    <n v="12"/>
    <n v="12"/>
    <x v="6"/>
    <n v="12"/>
    <n v="4"/>
    <n v="6"/>
    <n v="1"/>
    <n v="0"/>
    <n v="17"/>
    <n v="13"/>
    <n v="3"/>
    <n v="5"/>
    <n v="1"/>
    <x v="0"/>
    <x v="0"/>
    <n v="1"/>
    <x v="0"/>
    <s v="1.69"/>
    <n v="0"/>
  </r>
  <r>
    <n v="2024"/>
    <d v="2024-05-12T00:00:00"/>
    <n v="6"/>
    <n v="12108"/>
    <n v="32713"/>
    <x v="2"/>
    <n v="0.37012808363647481"/>
    <s v="Palmeiras"/>
    <s v="Athletico-PR"/>
    <n v="11"/>
    <s v="11-15 (mediano)"/>
    <n v="1"/>
    <n v="-10"/>
    <n v="13600"/>
    <x v="3"/>
    <n v="3685"/>
    <s v="27.6"/>
    <s v="27.2"/>
    <n v="0"/>
    <n v="2"/>
    <n v="0"/>
    <n v="1"/>
    <x v="7"/>
    <n v="6"/>
    <n v="11"/>
    <n v="17"/>
    <x v="12"/>
    <n v="9"/>
    <n v="5"/>
    <n v="5"/>
    <n v="1"/>
    <n v="1"/>
    <n v="23"/>
    <n v="11"/>
    <n v="11"/>
    <n v="2"/>
    <n v="-2"/>
    <x v="1"/>
    <x v="0"/>
    <n v="0"/>
    <x v="1"/>
    <s v="1.99"/>
    <n v="0"/>
  </r>
  <r>
    <n v="2024"/>
    <d v="2024-05-12T00:00:00"/>
    <n v="6"/>
    <n v="7576"/>
    <n v="13000"/>
    <x v="2"/>
    <n v="0.58276923076923082"/>
    <s v="AtlÃ©tico-GO"/>
    <s v="Cruzeiro"/>
    <n v="20"/>
    <s v="16-20 (rebaixamento)"/>
    <n v="6"/>
    <n v="-14"/>
    <n v="840"/>
    <x v="1"/>
    <n v="2865"/>
    <s v="26.6"/>
    <s v="27.7"/>
    <n v="0"/>
    <n v="1"/>
    <n v="0"/>
    <n v="0"/>
    <x v="10"/>
    <n v="5"/>
    <n v="13"/>
    <n v="10"/>
    <x v="5"/>
    <n v="12"/>
    <n v="3"/>
    <n v="5"/>
    <n v="0"/>
    <n v="2"/>
    <n v="17"/>
    <n v="12"/>
    <n v="6"/>
    <n v="3"/>
    <n v="-1"/>
    <x v="1"/>
    <x v="0"/>
    <n v="0"/>
    <x v="1"/>
    <s v="1.48"/>
    <n v="0"/>
  </r>
  <r>
    <n v="2024"/>
    <d v="2024-05-12T00:00:00"/>
    <n v="6"/>
    <n v="36820"/>
    <n v="47364"/>
    <x v="4"/>
    <n v="0.7773836669200237"/>
    <s v="EC Bahia"/>
    <s v="RB Bragantino"/>
    <n v="2"/>
    <s v="1-5 (elite)"/>
    <n v="10"/>
    <n v="8"/>
    <n v="3120"/>
    <x v="2"/>
    <n v="4390"/>
    <s v="28.4"/>
    <s v="24.6"/>
    <n v="1"/>
    <n v="0"/>
    <n v="1"/>
    <n v="0"/>
    <x v="0"/>
    <n v="7"/>
    <n v="12"/>
    <n v="15"/>
    <x v="4"/>
    <n v="10"/>
    <n v="5"/>
    <n v="2"/>
    <n v="4"/>
    <n v="3"/>
    <n v="8"/>
    <n v="15"/>
    <n v="3"/>
    <n v="6"/>
    <n v="1"/>
    <x v="0"/>
    <x v="0"/>
    <n v="1"/>
    <x v="0"/>
    <s v="0.61"/>
    <n v="0"/>
  </r>
  <r>
    <n v="2024"/>
    <d v="2024-05-14T00:00:00"/>
    <n v="6"/>
    <n v="39515"/>
    <n v="72039"/>
    <x v="0"/>
    <n v="0.54852232818334512"/>
    <s v="SÃ£o Paulo"/>
    <s v="Fluminense"/>
    <n v="8"/>
    <s v="6-10 (intermediário)"/>
    <n v="17"/>
    <n v="9"/>
    <n v="2810"/>
    <x v="2"/>
    <n v="4595"/>
    <s v="27.4"/>
    <s v="28.4"/>
    <n v="2"/>
    <n v="1"/>
    <n v="1"/>
    <n v="1"/>
    <x v="4"/>
    <n v="4"/>
    <n v="15"/>
    <n v="12"/>
    <x v="2"/>
    <n v="13"/>
    <n v="2"/>
    <n v="6"/>
    <n v="4"/>
    <n v="0"/>
    <n v="15"/>
    <n v="7"/>
    <n v="4"/>
    <n v="4"/>
    <n v="1"/>
    <x v="0"/>
    <x v="0"/>
    <n v="1"/>
    <x v="0"/>
    <s v="1.77"/>
    <n v="0"/>
  </r>
  <r>
    <n v="2024"/>
    <d v="2024-08-15T00:00:00"/>
    <n v="6"/>
    <n v="11920"/>
    <n v="50848"/>
    <x v="0"/>
    <n v="0.23442416614222783"/>
    <s v="Internacional"/>
    <s v="Juventude"/>
    <n v="5"/>
    <s v="1-5 (elite)"/>
    <n v="12"/>
    <n v="7"/>
    <n v="2655"/>
    <x v="2"/>
    <n v="945"/>
    <s v="27.2"/>
    <s v="29.5"/>
    <n v="2"/>
    <n v="1"/>
    <n v="0"/>
    <n v="1"/>
    <x v="8"/>
    <n v="1"/>
    <n v="19"/>
    <n v="17"/>
    <x v="13"/>
    <n v="19"/>
    <n v="2"/>
    <n v="8"/>
    <n v="1"/>
    <n v="0"/>
    <n v="21"/>
    <n v="8"/>
    <n v="7"/>
    <n v="4"/>
    <n v="1"/>
    <x v="0"/>
    <x v="0"/>
    <n v="1"/>
    <x v="0"/>
    <s v="3.42"/>
    <n v="0"/>
  </r>
  <r>
    <n v="2024"/>
    <d v="2024-10-10T00:00:00"/>
    <n v="6"/>
    <n v="22053"/>
    <n v="46000"/>
    <x v="2"/>
    <n v="0.47941304347826086"/>
    <s v="AtlÃ©tico-MG"/>
    <s v="GrÃªmio"/>
    <n v="3"/>
    <s v="1-5 (elite)"/>
    <n v="14"/>
    <n v="11"/>
    <n v="4760"/>
    <x v="0"/>
    <n v="2910"/>
    <s v="29.4"/>
    <s v="29.8"/>
    <n v="2"/>
    <n v="1"/>
    <n v="2"/>
    <n v="1"/>
    <x v="5"/>
    <n v="10"/>
    <n v="15"/>
    <n v="7"/>
    <x v="15"/>
    <n v="14"/>
    <n v="3"/>
    <n v="3"/>
    <n v="0"/>
    <n v="1"/>
    <n v="14"/>
    <n v="14"/>
    <n v="7"/>
    <n v="5"/>
    <n v="1"/>
    <x v="0"/>
    <x v="0"/>
    <n v="1"/>
    <x v="0"/>
    <s v="1.83"/>
    <n v="0"/>
  </r>
  <r>
    <n v="2024"/>
    <d v="2024-06-01T00:00:00"/>
    <n v="7"/>
    <n v="7563"/>
    <n v="60540"/>
    <x v="1"/>
    <n v="0.12492566897918732"/>
    <s v="GrÃªmio"/>
    <s v="RB Bragantino"/>
    <n v="14"/>
    <s v="11-15 (mediano)"/>
    <n v="8"/>
    <n v="-6"/>
    <n v="2960"/>
    <x v="2"/>
    <n v="4550"/>
    <s v="27.5"/>
    <s v="25.1"/>
    <n v="0"/>
    <n v="2"/>
    <n v="0"/>
    <n v="1"/>
    <x v="0"/>
    <n v="0"/>
    <n v="16"/>
    <n v="19"/>
    <x v="3"/>
    <n v="15"/>
    <n v="2"/>
    <n v="1"/>
    <n v="0"/>
    <n v="1"/>
    <n v="9"/>
    <n v="14"/>
    <n v="4"/>
    <n v="7"/>
    <n v="-2"/>
    <x v="1"/>
    <x v="0"/>
    <n v="0"/>
    <x v="1"/>
    <s v="0.82"/>
    <n v="0"/>
  </r>
  <r>
    <n v="2024"/>
    <d v="2024-06-01T00:00:00"/>
    <n v="7"/>
    <n v="5747"/>
    <n v="42968"/>
    <x v="4"/>
    <n v="0.13375069819400484"/>
    <s v="CuiabÃ¡-MT"/>
    <s v="Internacional"/>
    <n v="19"/>
    <s v="16-20 (rebaixamento)"/>
    <n v="3"/>
    <n v="-16"/>
    <n v="1485"/>
    <x v="1"/>
    <n v="5615"/>
    <n v="28"/>
    <s v="29.1"/>
    <n v="0"/>
    <n v="1"/>
    <n v="0"/>
    <n v="0"/>
    <x v="1"/>
    <n v="2"/>
    <n v="12"/>
    <n v="21"/>
    <x v="9"/>
    <n v="11"/>
    <n v="1"/>
    <n v="3"/>
    <n v="4"/>
    <n v="1"/>
    <n v="8"/>
    <n v="9"/>
    <n v="4"/>
    <n v="3"/>
    <n v="-1"/>
    <x v="1"/>
    <x v="0"/>
    <n v="0"/>
    <x v="1"/>
    <s v="0.44"/>
    <n v="0"/>
  </r>
  <r>
    <n v="2024"/>
    <d v="2024-06-01T00:00:00"/>
    <n v="7"/>
    <n v="16008"/>
    <n v="30618"/>
    <x v="4"/>
    <n v="0.52282970801489315"/>
    <s v="EC VitÃ³ria"/>
    <s v="AtlÃ©tico-GO"/>
    <n v="20"/>
    <s v="16-20 (rebaixamento)"/>
    <n v="18"/>
    <n v="-2"/>
    <n v="1140"/>
    <x v="1"/>
    <n v="750"/>
    <s v="26.8"/>
    <s v="28.1"/>
    <n v="0"/>
    <n v="2"/>
    <n v="0"/>
    <n v="1"/>
    <x v="6"/>
    <n v="4"/>
    <n v="7"/>
    <n v="9"/>
    <x v="5"/>
    <n v="7"/>
    <n v="3"/>
    <n v="3"/>
    <n v="0"/>
    <n v="1"/>
    <n v="12"/>
    <n v="12"/>
    <n v="4"/>
    <n v="5"/>
    <n v="-2"/>
    <x v="1"/>
    <x v="0"/>
    <n v="0"/>
    <x v="1"/>
    <s v="0.58"/>
    <n v="1"/>
  </r>
  <r>
    <n v="2024"/>
    <d v="2024-06-01T00:00:00"/>
    <n v="7"/>
    <n v="21037"/>
    <n v="82238"/>
    <x v="3"/>
    <n v="0.25580631824703909"/>
    <s v="Fluminense"/>
    <s v="Juventude"/>
    <n v="16"/>
    <s v="16-20 (rebaixamento)"/>
    <n v="13"/>
    <n v="-3"/>
    <n v="4505"/>
    <x v="0"/>
    <n v="815"/>
    <s v="31.5"/>
    <s v="28.9"/>
    <n v="1"/>
    <n v="1"/>
    <n v="1"/>
    <n v="0"/>
    <x v="10"/>
    <n v="3"/>
    <n v="13"/>
    <n v="19"/>
    <x v="3"/>
    <n v="13"/>
    <n v="2"/>
    <n v="3"/>
    <n v="1"/>
    <n v="3"/>
    <n v="17"/>
    <n v="12"/>
    <n v="8"/>
    <n v="5"/>
    <n v="0"/>
    <x v="1"/>
    <x v="1"/>
    <n v="0"/>
    <x v="0"/>
    <s v="2.34"/>
    <n v="0"/>
  </r>
  <r>
    <n v="2024"/>
    <d v="2024-06-02T00:00:00"/>
    <n v="7"/>
    <n v="37994"/>
    <n v="46000"/>
    <x v="1"/>
    <n v="0.82595652173913048"/>
    <s v="AtlÃ©tico-MG"/>
    <s v="EC Bahia"/>
    <n v="7"/>
    <s v="6-10 (intermediário)"/>
    <n v="2"/>
    <n v="-5"/>
    <n v="5450"/>
    <x v="0"/>
    <n v="3120"/>
    <s v="28.5"/>
    <s v="28.4"/>
    <n v="1"/>
    <n v="1"/>
    <n v="0"/>
    <n v="0"/>
    <x v="10"/>
    <n v="4"/>
    <n v="13"/>
    <n v="9"/>
    <x v="16"/>
    <n v="13"/>
    <n v="1"/>
    <n v="3"/>
    <n v="6"/>
    <n v="0"/>
    <n v="20"/>
    <n v="9"/>
    <n v="11"/>
    <n v="4"/>
    <n v="0"/>
    <x v="1"/>
    <x v="1"/>
    <n v="0"/>
    <x v="0"/>
    <s v="1.02"/>
    <n v="0"/>
  </r>
  <r>
    <n v="2024"/>
    <d v="2024-06-02T00:00:00"/>
    <n v="7"/>
    <n v="44928"/>
    <n v="72039"/>
    <x v="0"/>
    <n v="0.62366218298421683"/>
    <s v="SÃ£o Paulo"/>
    <s v="Cruzeiro"/>
    <n v="5"/>
    <s v="1-5 (elite)"/>
    <n v="10"/>
    <n v="5"/>
    <n v="3310"/>
    <x v="2"/>
    <n v="3365"/>
    <s v="27.4"/>
    <s v="27.4"/>
    <n v="2"/>
    <n v="0"/>
    <n v="1"/>
    <n v="0"/>
    <x v="5"/>
    <n v="2"/>
    <n v="18"/>
    <n v="11"/>
    <x v="2"/>
    <n v="17"/>
    <n v="3"/>
    <n v="2"/>
    <n v="0"/>
    <n v="1"/>
    <n v="11"/>
    <n v="10"/>
    <n v="6"/>
    <n v="5"/>
    <n v="2"/>
    <x v="0"/>
    <x v="0"/>
    <n v="1"/>
    <x v="0"/>
    <s v="0.57"/>
    <n v="0"/>
  </r>
  <r>
    <n v="2024"/>
    <d v="2024-06-02T00:00:00"/>
    <n v="7"/>
    <n v="19027"/>
    <n v="19225"/>
    <x v="0"/>
    <n v="0.98970091027308194"/>
    <s v="CriciÃºma EC"/>
    <s v="Palmeiras"/>
    <n v="12"/>
    <s v="11-15 (mediano)"/>
    <n v="9"/>
    <n v="-3"/>
    <n v="580"/>
    <x v="1"/>
    <n v="8470"/>
    <s v="31.3"/>
    <s v="27.5"/>
    <n v="1"/>
    <n v="2"/>
    <n v="0"/>
    <n v="0"/>
    <x v="5"/>
    <n v="6"/>
    <n v="17"/>
    <n v="9"/>
    <x v="14"/>
    <n v="15"/>
    <n v="3"/>
    <n v="3"/>
    <n v="0"/>
    <n v="1"/>
    <n v="12"/>
    <n v="23"/>
    <n v="4"/>
    <n v="11"/>
    <n v="-1"/>
    <x v="1"/>
    <x v="0"/>
    <n v="0"/>
    <x v="1"/>
    <s v="1.25"/>
    <n v="0"/>
  </r>
  <r>
    <n v="2024"/>
    <d v="2024-06-02T00:00:00"/>
    <n v="7"/>
    <n v="62228"/>
    <n v="78584"/>
    <x v="3"/>
    <n v="0.79186602870813394"/>
    <s v="Vasco da Gama"/>
    <s v="Flamengo"/>
    <n v="15"/>
    <s v="11-15 (mediano)"/>
    <n v="1"/>
    <n v="-14"/>
    <n v="3545"/>
    <x v="0"/>
    <n v="10110"/>
    <s v="28.2"/>
    <n v="29"/>
    <n v="1"/>
    <n v="6"/>
    <n v="1"/>
    <n v="3"/>
    <x v="13"/>
    <n v="8"/>
    <n v="18"/>
    <n v="6"/>
    <x v="11"/>
    <n v="18"/>
    <n v="12"/>
    <n v="1"/>
    <n v="1"/>
    <n v="1"/>
    <n v="2"/>
    <n v="30"/>
    <n v="0"/>
    <n v="4"/>
    <n v="-5"/>
    <x v="1"/>
    <x v="0"/>
    <n v="0"/>
    <x v="1"/>
    <s v="0.09"/>
    <n v="1"/>
  </r>
  <r>
    <n v="2024"/>
    <d v="2024-06-02T00:00:00"/>
    <n v="7"/>
    <n v="12191"/>
    <n v="20326"/>
    <x v="0"/>
    <n v="0.59977368887139626"/>
    <s v="Fortaleza"/>
    <s v="Athletico-PR"/>
    <n v="11"/>
    <s v="11-15 (mediano)"/>
    <n v="6"/>
    <n v="-5"/>
    <n v="1755"/>
    <x v="2"/>
    <n v="3445"/>
    <s v="28.3"/>
    <s v="27.6"/>
    <n v="1"/>
    <n v="0"/>
    <n v="1"/>
    <n v="0"/>
    <x v="9"/>
    <n v="4"/>
    <n v="12"/>
    <n v="17"/>
    <x v="1"/>
    <n v="11"/>
    <n v="2"/>
    <n v="3"/>
    <n v="0"/>
    <n v="2"/>
    <n v="11"/>
    <n v="14"/>
    <n v="4"/>
    <n v="8"/>
    <n v="1"/>
    <x v="0"/>
    <x v="0"/>
    <n v="1"/>
    <x v="0"/>
    <s v="1.27"/>
    <n v="0"/>
  </r>
  <r>
    <n v="2024"/>
    <d v="2024-06-02T00:00:00"/>
    <n v="7"/>
    <n v="40937"/>
    <n v="49205"/>
    <x v="2"/>
    <n v="0.83196829590488774"/>
    <s v="Corinthians"/>
    <s v="Botafogo"/>
    <n v="17"/>
    <s v="16-20 (rebaixamento)"/>
    <n v="4"/>
    <n v="-13"/>
    <n v="4770"/>
    <x v="0"/>
    <n v="3285"/>
    <s v="25.1"/>
    <s v="28.5"/>
    <n v="0"/>
    <n v="1"/>
    <n v="0"/>
    <n v="0"/>
    <x v="9"/>
    <n v="5"/>
    <n v="7"/>
    <n v="16"/>
    <x v="1"/>
    <n v="7"/>
    <n v="1"/>
    <n v="7"/>
    <n v="3"/>
    <n v="2"/>
    <n v="16"/>
    <n v="9"/>
    <n v="7"/>
    <n v="3"/>
    <n v="-1"/>
    <x v="1"/>
    <x v="0"/>
    <n v="0"/>
    <x v="1"/>
    <s v="0.77"/>
    <n v="0"/>
  </r>
  <r>
    <n v="2024"/>
    <d v="2024-06-12T00:00:00"/>
    <n v="8"/>
    <n v="27239"/>
    <n v="46931"/>
    <x v="0"/>
    <n v="0.58040527583047452"/>
    <s v="Botafogo"/>
    <s v="Fluminense"/>
    <n v="3"/>
    <s v="1-5 (elite)"/>
    <n v="17"/>
    <n v="14"/>
    <n v="3185"/>
    <x v="2"/>
    <n v="3470"/>
    <s v="29.7"/>
    <s v="31.1"/>
    <n v="1"/>
    <n v="0"/>
    <n v="0"/>
    <n v="0"/>
    <x v="14"/>
    <n v="2"/>
    <n v="22"/>
    <n v="14"/>
    <x v="4"/>
    <n v="22"/>
    <n v="0"/>
    <n v="5"/>
    <n v="4"/>
    <n v="0"/>
    <n v="19"/>
    <n v="6"/>
    <n v="9"/>
    <n v="5"/>
    <n v="1"/>
    <x v="0"/>
    <x v="0"/>
    <n v="1"/>
    <x v="0"/>
    <s v="1.75"/>
    <n v="0"/>
  </r>
  <r>
    <n v="2024"/>
    <d v="2024-06-12T00:00:00"/>
    <n v="8"/>
    <n v="12089"/>
    <n v="13000"/>
    <x v="1"/>
    <n v="0.92992307692307696"/>
    <s v="AtlÃ©tico-GO"/>
    <s v="Corinthians"/>
    <n v="18"/>
    <s v="16-20 (rebaixamento)"/>
    <n v="16"/>
    <n v="-2"/>
    <n v="860"/>
    <x v="1"/>
    <n v="4290"/>
    <s v="26.7"/>
    <s v="25.5"/>
    <n v="2"/>
    <n v="2"/>
    <n v="0"/>
    <n v="1"/>
    <x v="6"/>
    <n v="4"/>
    <n v="12"/>
    <n v="13"/>
    <x v="6"/>
    <n v="12"/>
    <n v="1"/>
    <n v="6"/>
    <n v="1"/>
    <n v="0"/>
    <n v="22"/>
    <n v="7"/>
    <n v="8"/>
    <n v="3"/>
    <n v="0"/>
    <x v="1"/>
    <x v="1"/>
    <n v="0"/>
    <x v="0"/>
    <s v="3.08"/>
    <n v="0"/>
  </r>
  <r>
    <n v="2024"/>
    <d v="2024-06-12T00:00:00"/>
    <n v="8"/>
    <n v="6186"/>
    <n v="23726"/>
    <x v="2"/>
    <n v="0.26072662901458316"/>
    <s v="Juventude"/>
    <s v="EC VitÃ³ria"/>
    <n v="12"/>
    <s v="11-15 (mediano)"/>
    <n v="20"/>
    <n v="8"/>
    <n v="690"/>
    <x v="1"/>
    <n v="1433"/>
    <s v="29.1"/>
    <s v="27.5"/>
    <n v="1"/>
    <n v="1"/>
    <n v="1"/>
    <n v="1"/>
    <x v="10"/>
    <n v="4"/>
    <n v="16"/>
    <n v="8"/>
    <x v="14"/>
    <n v="16"/>
    <n v="3"/>
    <n v="1"/>
    <n v="1"/>
    <n v="1"/>
    <n v="12"/>
    <n v="18"/>
    <n v="8"/>
    <n v="9"/>
    <n v="0"/>
    <x v="1"/>
    <x v="1"/>
    <n v="0"/>
    <x v="0"/>
    <s v="0.68"/>
    <n v="0"/>
  </r>
  <r>
    <n v="2024"/>
    <d v="2024-06-12T00:00:00"/>
    <n v="8"/>
    <n v="4516"/>
    <n v="15010"/>
    <x v="4"/>
    <n v="0.30086608927381747"/>
    <s v="RB Bragantino"/>
    <s v="AtlÃ©tico-MG"/>
    <n v="10"/>
    <s v="6-10 (intermediário)"/>
    <n v="5"/>
    <n v="-5"/>
    <n v="4340"/>
    <x v="0"/>
    <n v="4465"/>
    <n v="25"/>
    <s v="26.2"/>
    <n v="1"/>
    <n v="2"/>
    <n v="1"/>
    <n v="2"/>
    <x v="8"/>
    <n v="5"/>
    <n v="17"/>
    <n v="18"/>
    <x v="12"/>
    <n v="17"/>
    <n v="2"/>
    <n v="4"/>
    <n v="1"/>
    <n v="2"/>
    <n v="15"/>
    <n v="10"/>
    <n v="7"/>
    <n v="2"/>
    <n v="-1"/>
    <x v="1"/>
    <x v="0"/>
    <n v="0"/>
    <x v="1"/>
    <s v="1.18"/>
    <n v="1"/>
  </r>
  <r>
    <n v="2024"/>
    <d v="2024-06-14T00:00:00"/>
    <n v="8"/>
    <n v="51785"/>
    <n v="78838"/>
    <x v="5"/>
    <n v="0.65685329409675541"/>
    <s v="Flamengo"/>
    <s v="GrÃªmio"/>
    <n v="1"/>
    <s v="1-5 (elite)"/>
    <n v="14"/>
    <n v="13"/>
    <n v="7990"/>
    <x v="3"/>
    <n v="3030"/>
    <s v="26.7"/>
    <s v="30.1"/>
    <n v="2"/>
    <n v="1"/>
    <n v="1"/>
    <n v="0"/>
    <x v="5"/>
    <n v="6"/>
    <n v="9"/>
    <n v="10"/>
    <x v="7"/>
    <n v="7"/>
    <n v="4"/>
    <n v="4"/>
    <n v="0"/>
    <n v="0"/>
    <n v="16"/>
    <n v="15"/>
    <n v="8"/>
    <n v="6"/>
    <n v="1"/>
    <x v="0"/>
    <x v="0"/>
    <n v="1"/>
    <x v="0"/>
    <s v="0.96"/>
    <n v="0"/>
  </r>
  <r>
    <n v="2024"/>
    <d v="2024-06-14T00:00:00"/>
    <n v="8"/>
    <n v="26595"/>
    <n v="61927"/>
    <x v="0"/>
    <n v="0.42945726419816882"/>
    <s v="Cruzeiro"/>
    <s v="CuiabÃ¡-MT"/>
    <n v="9"/>
    <s v="6-10 (intermediário)"/>
    <n v="19"/>
    <n v="10"/>
    <n v="3015"/>
    <x v="2"/>
    <n v="1185"/>
    <s v="26.9"/>
    <n v="28"/>
    <n v="2"/>
    <n v="1"/>
    <n v="1"/>
    <n v="0"/>
    <x v="0"/>
    <n v="4"/>
    <n v="9"/>
    <n v="12"/>
    <x v="6"/>
    <n v="9"/>
    <n v="4"/>
    <n v="4"/>
    <n v="0"/>
    <n v="1"/>
    <n v="12"/>
    <n v="16"/>
    <n v="5"/>
    <n v="5"/>
    <n v="1"/>
    <x v="0"/>
    <x v="0"/>
    <n v="1"/>
    <x v="0"/>
    <s v="1.01"/>
    <n v="0"/>
  </r>
  <r>
    <n v="2024"/>
    <d v="2024-06-14T00:00:00"/>
    <n v="8"/>
    <n v="37641"/>
    <n v="43713"/>
    <x v="1"/>
    <n v="0.86109395374373754"/>
    <s v="Palmeiras"/>
    <s v="Vasco da Gama"/>
    <n v="8"/>
    <s v="6-10 (intermediário)"/>
    <n v="15"/>
    <n v="7"/>
    <n v="8070"/>
    <x v="3"/>
    <n v="2695"/>
    <s v="27.4"/>
    <s v="29.2"/>
    <n v="2"/>
    <n v="0"/>
    <n v="1"/>
    <n v="0"/>
    <x v="11"/>
    <n v="6"/>
    <n v="10"/>
    <n v="14"/>
    <x v="0"/>
    <n v="10"/>
    <n v="2"/>
    <n v="4"/>
    <n v="1"/>
    <n v="1"/>
    <n v="28"/>
    <n v="9"/>
    <n v="13"/>
    <n v="6"/>
    <n v="2"/>
    <x v="0"/>
    <x v="0"/>
    <n v="1"/>
    <x v="0"/>
    <s v="2.36"/>
    <n v="0"/>
  </r>
  <r>
    <n v="2024"/>
    <d v="2024-06-14T00:00:00"/>
    <n v="8"/>
    <n v="23424"/>
    <n v="42372"/>
    <x v="0"/>
    <n v="0.55281789861229114"/>
    <s v="Athletico-PR"/>
    <s v="CriciÃºma EC"/>
    <n v="4"/>
    <s v="1-5 (elite)"/>
    <n v="13"/>
    <n v="9"/>
    <n v="2845"/>
    <x v="2"/>
    <n v="688"/>
    <s v="28.1"/>
    <s v="30.9"/>
    <n v="3"/>
    <n v="1"/>
    <n v="1"/>
    <n v="1"/>
    <x v="10"/>
    <n v="3"/>
    <n v="9"/>
    <n v="12"/>
    <x v="7"/>
    <n v="9"/>
    <n v="3"/>
    <n v="4"/>
    <n v="2"/>
    <n v="3"/>
    <n v="23"/>
    <n v="12"/>
    <n v="10"/>
    <n v="5"/>
    <n v="2"/>
    <x v="0"/>
    <x v="0"/>
    <n v="1"/>
    <x v="0"/>
    <s v="2.69"/>
    <n v="0"/>
  </r>
  <r>
    <n v="2024"/>
    <d v="2024-06-14T00:00:00"/>
    <n v="8"/>
    <n v="17987"/>
    <n v="19848"/>
    <x v="1"/>
    <n v="0.90623740427247079"/>
    <s v="Internacional"/>
    <s v="SÃ£o Paulo"/>
    <n v="6"/>
    <s v="6-10 (intermediário)"/>
    <n v="7"/>
    <n v="1"/>
    <n v="3580"/>
    <x v="0"/>
    <n v="3485"/>
    <s v="30.6"/>
    <s v="29.1"/>
    <n v="0"/>
    <n v="0"/>
    <n v="0"/>
    <n v="0"/>
    <x v="10"/>
    <n v="3"/>
    <n v="15"/>
    <n v="18"/>
    <x v="13"/>
    <n v="15"/>
    <n v="5"/>
    <n v="0"/>
    <n v="1"/>
    <n v="3"/>
    <n v="7"/>
    <n v="9"/>
    <n v="6"/>
    <n v="3"/>
    <n v="0"/>
    <x v="1"/>
    <x v="1"/>
    <n v="0"/>
    <x v="0"/>
    <s v="0.2"/>
    <n v="0"/>
  </r>
  <r>
    <n v="2024"/>
    <d v="2024-06-14T00:00:00"/>
    <n v="8"/>
    <n v="30048"/>
    <n v="47364"/>
    <x v="3"/>
    <n v="0.6344058778819357"/>
    <s v="EC Bahia"/>
    <s v="Fortaleza"/>
    <n v="2"/>
    <s v="1-5 (elite)"/>
    <n v="11"/>
    <n v="9"/>
    <n v="3000"/>
    <x v="2"/>
    <n v="1565"/>
    <s v="28.6"/>
    <s v="29.9"/>
    <n v="1"/>
    <n v="0"/>
    <n v="0"/>
    <n v="0"/>
    <x v="10"/>
    <n v="9"/>
    <n v="14"/>
    <n v="9"/>
    <x v="5"/>
    <n v="12"/>
    <n v="6"/>
    <n v="2"/>
    <n v="0"/>
    <n v="6"/>
    <n v="12"/>
    <n v="21"/>
    <n v="6"/>
    <n v="8"/>
    <n v="1"/>
    <x v="0"/>
    <x v="0"/>
    <n v="1"/>
    <x v="0"/>
    <s v="1.43"/>
    <n v="0"/>
  </r>
  <r>
    <n v="2024"/>
    <d v="2024-06-15T00:00:00"/>
    <n v="9"/>
    <n v="3338"/>
    <n v="15010"/>
    <x v="0"/>
    <n v="0.22238507661558959"/>
    <s v="RB Bragantino"/>
    <s v="Juventude"/>
    <n v="8"/>
    <s v="6-10 (intermediário)"/>
    <n v="13"/>
    <n v="5"/>
    <n v="4190"/>
    <x v="0"/>
    <n v="765"/>
    <s v="24.8"/>
    <s v="27.9"/>
    <n v="2"/>
    <n v="1"/>
    <n v="1"/>
    <n v="1"/>
    <x v="13"/>
    <n v="1"/>
    <n v="12"/>
    <n v="12"/>
    <x v="6"/>
    <n v="12"/>
    <n v="5"/>
    <n v="0"/>
    <n v="0"/>
    <n v="5"/>
    <n v="6"/>
    <n v="14"/>
    <n v="1"/>
    <n v="5"/>
    <n v="1"/>
    <x v="0"/>
    <x v="0"/>
    <n v="1"/>
    <x v="0"/>
    <s v="0.48"/>
    <n v="1"/>
  </r>
  <r>
    <n v="2024"/>
    <d v="2024-06-16T00:00:00"/>
    <n v="9"/>
    <n v="15811"/>
    <n v="21540"/>
    <x v="5"/>
    <n v="0.73402971216341695"/>
    <s v="GrÃªmio"/>
    <s v="Botafogo"/>
    <n v="18"/>
    <s v="16-20 (rebaixamento)"/>
    <n v="1"/>
    <n v="-17"/>
    <n v="2910"/>
    <x v="2"/>
    <n v="3135"/>
    <s v="28.1"/>
    <s v="29.1"/>
    <n v="1"/>
    <n v="2"/>
    <n v="1"/>
    <n v="1"/>
    <x v="4"/>
    <n v="4"/>
    <n v="12"/>
    <n v="11"/>
    <x v="2"/>
    <n v="12"/>
    <n v="3"/>
    <n v="2"/>
    <n v="0"/>
    <n v="0"/>
    <n v="15"/>
    <n v="14"/>
    <n v="5"/>
    <n v="5"/>
    <n v="-1"/>
    <x v="1"/>
    <x v="0"/>
    <n v="0"/>
    <x v="1"/>
    <s v="1.03"/>
    <n v="0"/>
  </r>
  <r>
    <n v="2024"/>
    <d v="2024-06-16T00:00:00"/>
    <n v="9"/>
    <n v="4474"/>
    <n v="42968"/>
    <x v="3"/>
    <n v="0.10412399925525972"/>
    <s v="CuiabÃ¡-MT"/>
    <s v="Fortaleza"/>
    <n v="15"/>
    <s v="11-15 (mediano)"/>
    <n v="11"/>
    <n v="-4"/>
    <n v="1340"/>
    <x v="1"/>
    <n v="1425"/>
    <s v="28.2"/>
    <s v="30.8"/>
    <n v="5"/>
    <n v="0"/>
    <n v="4"/>
    <n v="0"/>
    <x v="10"/>
    <n v="1"/>
    <n v="9"/>
    <n v="6"/>
    <x v="17"/>
    <n v="9"/>
    <n v="0"/>
    <n v="8"/>
    <n v="1"/>
    <n v="1"/>
    <n v="21"/>
    <n v="2"/>
    <n v="5"/>
    <n v="2"/>
    <n v="5"/>
    <x v="0"/>
    <x v="0"/>
    <n v="1"/>
    <x v="0"/>
    <s v="3.59"/>
    <n v="0"/>
  </r>
  <r>
    <n v="2024"/>
    <d v="2024-06-16T00:00:00"/>
    <n v="9"/>
    <n v="14485"/>
    <n v="82238"/>
    <x v="5"/>
    <n v="0.17613512001751017"/>
    <s v="Fluminense"/>
    <s v="AtlÃ©tico-GO"/>
    <n v="19"/>
    <s v="16-20 (rebaixamento)"/>
    <n v="14"/>
    <n v="-5"/>
    <n v="2845"/>
    <x v="2"/>
    <n v="960"/>
    <s v="32.7"/>
    <s v="27.1"/>
    <n v="1"/>
    <n v="2"/>
    <n v="1"/>
    <n v="0"/>
    <x v="6"/>
    <n v="3"/>
    <n v="10"/>
    <n v="12"/>
    <x v="2"/>
    <n v="10"/>
    <n v="5"/>
    <n v="4"/>
    <n v="1"/>
    <n v="1"/>
    <n v="9"/>
    <n v="17"/>
    <n v="4"/>
    <n v="7"/>
    <n v="-1"/>
    <x v="1"/>
    <x v="0"/>
    <n v="0"/>
    <x v="1"/>
    <s v="0.57"/>
    <n v="0"/>
  </r>
  <r>
    <n v="2024"/>
    <d v="2024-06-16T00:00:00"/>
    <n v="9"/>
    <n v="46129"/>
    <n v="49205"/>
    <x v="2"/>
    <n v="0.93748602784269897"/>
    <s v="Corinthians"/>
    <s v="SÃ£o Paulo"/>
    <n v="17"/>
    <s v="16-20 (rebaixamento)"/>
    <n v="7"/>
    <n v="-10"/>
    <n v="5300"/>
    <x v="0"/>
    <n v="3435"/>
    <s v="24.9"/>
    <s v="29.5"/>
    <n v="2"/>
    <n v="2"/>
    <n v="2"/>
    <n v="2"/>
    <x v="7"/>
    <n v="5"/>
    <n v="15"/>
    <n v="10"/>
    <x v="7"/>
    <n v="15"/>
    <n v="6"/>
    <n v="6"/>
    <n v="1"/>
    <n v="1"/>
    <n v="16"/>
    <n v="12"/>
    <n v="4"/>
    <n v="2"/>
    <n v="0"/>
    <x v="1"/>
    <x v="1"/>
    <n v="0"/>
    <x v="0"/>
    <s v="1.02"/>
    <n v="1"/>
  </r>
  <r>
    <n v="2024"/>
    <d v="2024-06-16T00:00:00"/>
    <n v="9"/>
    <n v="8661"/>
    <n v="19225"/>
    <x v="0"/>
    <n v="0.45050715214564369"/>
    <s v="CriciÃºma EC"/>
    <s v="EC Bahia"/>
    <n v="12"/>
    <s v="11-15 (mediano)"/>
    <n v="3"/>
    <n v="-9"/>
    <n v="645"/>
    <x v="1"/>
    <n v="2880"/>
    <s v="30.3"/>
    <s v="29.1"/>
    <n v="2"/>
    <n v="2"/>
    <n v="1"/>
    <n v="0"/>
    <x v="0"/>
    <n v="7"/>
    <n v="14"/>
    <n v="13"/>
    <x v="2"/>
    <n v="14"/>
    <n v="4"/>
    <n v="3"/>
    <n v="4"/>
    <n v="1"/>
    <n v="17"/>
    <n v="22"/>
    <n v="6"/>
    <n v="10"/>
    <n v="0"/>
    <x v="1"/>
    <x v="1"/>
    <n v="0"/>
    <x v="0"/>
    <s v="1.92"/>
    <n v="1"/>
  </r>
  <r>
    <n v="2024"/>
    <d v="2024-06-16T00:00:00"/>
    <n v="9"/>
    <n v="14251"/>
    <n v="30618"/>
    <x v="4"/>
    <n v="0.46544516297602717"/>
    <s v="EC VitÃ³ria"/>
    <s v="Internacional"/>
    <n v="20"/>
    <s v="16-20 (rebaixamento)"/>
    <n v="9"/>
    <n v="-11"/>
    <n v="1323"/>
    <x v="1"/>
    <n v="3965"/>
    <s v="27.3"/>
    <s v="30.1"/>
    <n v="2"/>
    <n v="1"/>
    <n v="1"/>
    <n v="0"/>
    <x v="5"/>
    <n v="2"/>
    <n v="6"/>
    <n v="16"/>
    <x v="13"/>
    <n v="5"/>
    <n v="4"/>
    <n v="2"/>
    <n v="3"/>
    <n v="2"/>
    <n v="11"/>
    <n v="15"/>
    <n v="5"/>
    <n v="8"/>
    <n v="1"/>
    <x v="0"/>
    <x v="0"/>
    <n v="1"/>
    <x v="0"/>
    <s v="1.48"/>
    <n v="0"/>
  </r>
  <r>
    <n v="2024"/>
    <d v="2024-06-16T00:00:00"/>
    <n v="9"/>
    <n v="38641"/>
    <n v="42372"/>
    <x v="2"/>
    <n v="0.91194656848862454"/>
    <s v="Athletico-PR"/>
    <s v="Flamengo"/>
    <n v="4"/>
    <s v="1-5 (elite)"/>
    <n v="2"/>
    <n v="-2"/>
    <n v="2005"/>
    <x v="2"/>
    <n v="7390"/>
    <s v="28.4"/>
    <s v="27.8"/>
    <n v="1"/>
    <n v="1"/>
    <n v="0"/>
    <n v="0"/>
    <x v="10"/>
    <n v="9"/>
    <n v="11"/>
    <n v="11"/>
    <x v="7"/>
    <n v="11"/>
    <n v="5"/>
    <n v="2"/>
    <n v="0"/>
    <n v="2"/>
    <n v="14"/>
    <n v="9"/>
    <n v="6"/>
    <n v="1"/>
    <n v="0"/>
    <x v="1"/>
    <x v="1"/>
    <n v="0"/>
    <x v="0"/>
    <s v="1.79"/>
    <n v="0"/>
  </r>
  <r>
    <n v="2024"/>
    <d v="2024-06-16T00:00:00"/>
    <n v="9"/>
    <n v="11275"/>
    <n v="24584"/>
    <x v="0"/>
    <n v="0.45863163032866905"/>
    <s v="Vasco da Gama"/>
    <s v="Cruzeiro"/>
    <n v="16"/>
    <s v="16-20 (rebaixamento)"/>
    <n v="10"/>
    <n v="-6"/>
    <n v="1915"/>
    <x v="2"/>
    <n v="2565"/>
    <s v="28.6"/>
    <s v="27.3"/>
    <n v="0"/>
    <n v="0"/>
    <n v="0"/>
    <n v="0"/>
    <x v="10"/>
    <n v="5"/>
    <n v="11"/>
    <n v="11"/>
    <x v="7"/>
    <n v="11"/>
    <n v="2"/>
    <n v="4"/>
    <n v="0"/>
    <n v="3"/>
    <n v="14"/>
    <n v="8"/>
    <n v="7"/>
    <n v="3"/>
    <n v="0"/>
    <x v="1"/>
    <x v="1"/>
    <n v="0"/>
    <x v="0"/>
    <s v="1.06"/>
    <n v="0"/>
  </r>
  <r>
    <n v="2024"/>
    <d v="2024-06-18T00:00:00"/>
    <n v="9"/>
    <n v="31448"/>
    <n v="46000"/>
    <x v="2"/>
    <n v="0.68365217391304345"/>
    <s v="AtlÃ©tico-MG"/>
    <s v="Palmeiras"/>
    <n v="6"/>
    <s v="6-10 (intermediário)"/>
    <n v="5"/>
    <n v="-1"/>
    <n v="4760"/>
    <x v="0"/>
    <n v="10060"/>
    <s v="26.8"/>
    <s v="27.4"/>
    <n v="0"/>
    <n v="4"/>
    <n v="0"/>
    <n v="1"/>
    <x v="6"/>
    <n v="6"/>
    <n v="16"/>
    <n v="16"/>
    <x v="13"/>
    <n v="15"/>
    <n v="5"/>
    <n v="3"/>
    <n v="1"/>
    <n v="2"/>
    <n v="11"/>
    <n v="22"/>
    <n v="5"/>
    <n v="8"/>
    <n v="-4"/>
    <x v="1"/>
    <x v="0"/>
    <n v="0"/>
    <x v="1"/>
    <s v="0.37"/>
    <n v="1"/>
  </r>
  <r>
    <n v="2024"/>
    <d v="2024-06-27T00:00:00"/>
    <n v="12"/>
    <n v="26465"/>
    <n v="61927"/>
    <x v="0"/>
    <n v="0.42735801831188336"/>
    <s v="Cruzeiro"/>
    <s v="Athletico-PR"/>
    <n v="6"/>
    <s v="6-10 (intermediário)"/>
    <n v="8"/>
    <n v="2"/>
    <n v="3150"/>
    <x v="2"/>
    <n v="2600"/>
    <n v="27"/>
    <s v="28.2"/>
    <n v="2"/>
    <n v="0"/>
    <n v="1"/>
    <n v="0"/>
    <x v="4"/>
    <n v="12"/>
    <n v="8"/>
    <n v="6"/>
    <x v="15"/>
    <n v="7"/>
    <n v="3"/>
    <n v="5"/>
    <n v="1"/>
    <n v="0"/>
    <n v="22"/>
    <n v="14"/>
    <n v="8"/>
    <n v="6"/>
    <n v="2"/>
    <x v="0"/>
    <x v="0"/>
    <n v="1"/>
    <x v="0"/>
    <s v="1.88"/>
    <n v="0"/>
  </r>
  <r>
    <n v="2024"/>
    <d v="2024-06-27T00:00:00"/>
    <n v="12"/>
    <n v="8838"/>
    <n v="13000"/>
    <x v="1"/>
    <n v="0.67984615384615388"/>
    <s v="AtlÃ©tico-GO"/>
    <s v="GrÃªmio"/>
    <n v="17"/>
    <s v="16-20 (rebaixamento)"/>
    <n v="19"/>
    <n v="2"/>
    <n v="1120"/>
    <x v="1"/>
    <n v="3230"/>
    <s v="27.3"/>
    <s v="29.5"/>
    <n v="1"/>
    <n v="1"/>
    <n v="0"/>
    <n v="0"/>
    <x v="10"/>
    <n v="8"/>
    <n v="13"/>
    <n v="11"/>
    <x v="7"/>
    <n v="12"/>
    <n v="3"/>
    <n v="4"/>
    <n v="2"/>
    <n v="0"/>
    <n v="16"/>
    <n v="11"/>
    <n v="8"/>
    <n v="5"/>
    <n v="0"/>
    <x v="1"/>
    <x v="1"/>
    <n v="0"/>
    <x v="0"/>
    <s v="1.69"/>
    <n v="0"/>
  </r>
  <r>
    <n v="2024"/>
    <d v="2024-06-27T00:00:00"/>
    <n v="12"/>
    <n v="9978"/>
    <n v="19848"/>
    <x v="4"/>
    <n v="0.50272067714631197"/>
    <s v="Internacional"/>
    <s v="AtlÃ©tico-MG"/>
    <n v="5"/>
    <s v="1-5 (elite)"/>
    <n v="7"/>
    <n v="2"/>
    <n v="4450"/>
    <x v="0"/>
    <n v="4355"/>
    <s v="29.4"/>
    <s v="28.3"/>
    <n v="1"/>
    <n v="2"/>
    <n v="0"/>
    <n v="0"/>
    <x v="10"/>
    <n v="9"/>
    <n v="17"/>
    <n v="10"/>
    <x v="7"/>
    <n v="16"/>
    <n v="3"/>
    <n v="6"/>
    <n v="3"/>
    <n v="0"/>
    <n v="13"/>
    <n v="16"/>
    <n v="3"/>
    <n v="5"/>
    <n v="-1"/>
    <x v="1"/>
    <x v="0"/>
    <n v="0"/>
    <x v="1"/>
    <s v="1.72"/>
    <n v="0"/>
  </r>
  <r>
    <n v="2024"/>
    <d v="2024-06-27T00:00:00"/>
    <n v="12"/>
    <n v="13333"/>
    <n v="46931"/>
    <x v="4"/>
    <n v="0.28409793100509256"/>
    <s v="Botafogo"/>
    <s v="RB Bragantino"/>
    <n v="3"/>
    <s v="1-5 (elite)"/>
    <n v="10"/>
    <n v="7"/>
    <n v="3005"/>
    <x v="2"/>
    <n v="4640"/>
    <s v="30.8"/>
    <s v="25.6"/>
    <n v="2"/>
    <n v="1"/>
    <n v="1"/>
    <n v="1"/>
    <x v="4"/>
    <n v="4"/>
    <n v="13"/>
    <n v="12"/>
    <x v="6"/>
    <n v="12"/>
    <n v="5"/>
    <n v="2"/>
    <n v="1"/>
    <n v="1"/>
    <n v="12"/>
    <n v="13"/>
    <n v="7"/>
    <n v="4"/>
    <n v="1"/>
    <x v="0"/>
    <x v="0"/>
    <n v="1"/>
    <x v="0"/>
    <s v="0.55"/>
    <n v="0"/>
  </r>
  <r>
    <n v="2024"/>
    <d v="2024-06-27T00:00:00"/>
    <n v="12"/>
    <n v="38318"/>
    <n v="47364"/>
    <x v="2"/>
    <n v="0.80901106325479266"/>
    <s v="EC Bahia"/>
    <s v="Vasco da Gama"/>
    <n v="2"/>
    <s v="1-5 (elite)"/>
    <n v="16"/>
    <n v="14"/>
    <n v="3795"/>
    <x v="0"/>
    <n v="2830"/>
    <s v="28.4"/>
    <s v="27.2"/>
    <n v="2"/>
    <n v="1"/>
    <n v="1"/>
    <n v="1"/>
    <x v="4"/>
    <n v="0"/>
    <n v="14"/>
    <n v="15"/>
    <x v="0"/>
    <n v="14"/>
    <n v="2"/>
    <n v="6"/>
    <n v="4"/>
    <n v="1"/>
    <n v="17"/>
    <n v="9"/>
    <n v="6"/>
    <n v="6"/>
    <n v="1"/>
    <x v="0"/>
    <x v="0"/>
    <n v="1"/>
    <x v="0"/>
    <s v="2.48"/>
    <n v="0"/>
  </r>
  <r>
    <n v="2024"/>
    <d v="2024-06-27T00:00:00"/>
    <n v="12"/>
    <n v="38475"/>
    <n v="49205"/>
    <x v="0"/>
    <n v="0.7819327304135758"/>
    <s v="Corinthians"/>
    <s v="CuiabÃ¡-MT"/>
    <n v="18"/>
    <s v="16-20 (rebaixamento)"/>
    <n v="14"/>
    <n v="-4"/>
    <n v="4980"/>
    <x v="0"/>
    <n v="1490"/>
    <s v="24.3"/>
    <s v="28.9"/>
    <n v="1"/>
    <n v="1"/>
    <n v="0"/>
    <n v="1"/>
    <x v="2"/>
    <n v="1"/>
    <n v="10"/>
    <n v="13"/>
    <x v="6"/>
    <n v="10"/>
    <n v="3"/>
    <n v="6"/>
    <n v="2"/>
    <n v="1"/>
    <n v="24"/>
    <n v="13"/>
    <n v="9"/>
    <n v="3"/>
    <n v="0"/>
    <x v="1"/>
    <x v="1"/>
    <n v="0"/>
    <x v="0"/>
    <s v="1.13"/>
    <n v="0"/>
  </r>
  <r>
    <n v="2024"/>
    <d v="2024-06-27T00:00:00"/>
    <n v="12"/>
    <n v="28631"/>
    <n v="60326"/>
    <x v="0"/>
    <n v="0.47460464807877201"/>
    <s v="Fortaleza"/>
    <s v="Palmeiras"/>
    <n v="11"/>
    <s v="11-15 (mediano)"/>
    <n v="4"/>
    <n v="-7"/>
    <n v="1650"/>
    <x v="2"/>
    <n v="6660"/>
    <n v="30"/>
    <s v="28.6"/>
    <n v="3"/>
    <n v="0"/>
    <n v="1"/>
    <n v="0"/>
    <x v="6"/>
    <n v="8"/>
    <n v="17"/>
    <n v="11"/>
    <x v="16"/>
    <n v="17"/>
    <n v="7"/>
    <n v="3"/>
    <n v="0"/>
    <n v="2"/>
    <n v="12"/>
    <n v="17"/>
    <n v="2"/>
    <n v="6"/>
    <n v="3"/>
    <x v="0"/>
    <x v="0"/>
    <n v="1"/>
    <x v="0"/>
    <s v="1.02"/>
    <n v="0"/>
  </r>
  <r>
    <n v="2024"/>
    <d v="2024-06-27T00:00:00"/>
    <n v="12"/>
    <n v="12675"/>
    <n v="23726"/>
    <x v="1"/>
    <n v="0.53422405799544803"/>
    <s v="Juventude"/>
    <s v="Flamengo"/>
    <n v="13"/>
    <s v="11-15 (mediano)"/>
    <n v="1"/>
    <n v="-12"/>
    <n v="965"/>
    <x v="1"/>
    <n v="9900"/>
    <s v="29.2"/>
    <s v="25.7"/>
    <n v="2"/>
    <n v="1"/>
    <n v="1"/>
    <n v="1"/>
    <x v="4"/>
    <n v="8"/>
    <n v="9"/>
    <n v="10"/>
    <x v="7"/>
    <n v="9"/>
    <n v="3"/>
    <n v="7"/>
    <n v="4"/>
    <n v="2"/>
    <n v="15"/>
    <n v="9"/>
    <n v="6"/>
    <n v="2"/>
    <n v="1"/>
    <x v="0"/>
    <x v="0"/>
    <n v="1"/>
    <x v="0"/>
    <s v="2.45"/>
    <n v="0"/>
  </r>
  <r>
    <n v="2024"/>
    <d v="2024-06-28T00:00:00"/>
    <n v="12"/>
    <n v="26569"/>
    <n v="82238"/>
    <x v="2"/>
    <n v="0.32307449111116515"/>
    <s v="Fluminense"/>
    <s v="EC VitÃ³ria"/>
    <n v="20"/>
    <s v="16-20 (rebaixamento)"/>
    <n v="15"/>
    <n v="-5"/>
    <n v="2225"/>
    <x v="2"/>
    <n v="1233"/>
    <s v="33.6"/>
    <s v="27.4"/>
    <n v="0"/>
    <n v="1"/>
    <n v="0"/>
    <n v="0"/>
    <x v="0"/>
    <n v="2"/>
    <n v="14"/>
    <n v="12"/>
    <x v="2"/>
    <n v="14"/>
    <n v="5"/>
    <n v="5"/>
    <n v="2"/>
    <n v="0"/>
    <n v="12"/>
    <n v="9"/>
    <n v="4"/>
    <n v="1"/>
    <n v="-1"/>
    <x v="1"/>
    <x v="0"/>
    <n v="0"/>
    <x v="1"/>
    <s v="0.34"/>
    <n v="0"/>
  </r>
  <r>
    <n v="2024"/>
    <d v="2024-06-28T00:00:00"/>
    <n v="12"/>
    <n v="28008"/>
    <n v="72039"/>
    <x v="1"/>
    <n v="0.3887894057385583"/>
    <s v="SÃ£o Paulo"/>
    <s v="CriciÃºma EC"/>
    <n v="9"/>
    <s v="6-10 (intermediário)"/>
    <n v="12"/>
    <n v="3"/>
    <n v="2895"/>
    <x v="2"/>
    <n v="443"/>
    <s v="30.1"/>
    <s v="31.5"/>
    <n v="2"/>
    <n v="1"/>
    <n v="2"/>
    <n v="0"/>
    <x v="9"/>
    <n v="2"/>
    <n v="10"/>
    <n v="22"/>
    <x v="9"/>
    <n v="9"/>
    <n v="0"/>
    <n v="4"/>
    <n v="1"/>
    <n v="0"/>
    <n v="13"/>
    <n v="10"/>
    <n v="4"/>
    <n v="6"/>
    <n v="1"/>
    <x v="0"/>
    <x v="0"/>
    <n v="1"/>
    <x v="0"/>
    <s v="0.47"/>
    <n v="0"/>
  </r>
  <r>
    <n v="2024"/>
    <d v="2024-06-29T00:00:00"/>
    <n v="13"/>
    <n v="16121"/>
    <n v="24584"/>
    <x v="1"/>
    <n v="0.65575170842824604"/>
    <s v="Vasco da Gama"/>
    <s v="Botafogo"/>
    <n v="16"/>
    <s v="16-20 (rebaixamento)"/>
    <n v="3"/>
    <n v="-13"/>
    <n v="2660"/>
    <x v="2"/>
    <n v="3145"/>
    <s v="27.1"/>
    <s v="29.7"/>
    <n v="1"/>
    <n v="1"/>
    <n v="0"/>
    <n v="0"/>
    <x v="1"/>
    <n v="5"/>
    <n v="13"/>
    <n v="23"/>
    <x v="8"/>
    <n v="12"/>
    <n v="5"/>
    <n v="1"/>
    <n v="0"/>
    <n v="0"/>
    <n v="10"/>
    <n v="13"/>
    <n v="6"/>
    <n v="4"/>
    <n v="0"/>
    <x v="1"/>
    <x v="1"/>
    <n v="0"/>
    <x v="0"/>
    <s v="1.82"/>
    <n v="0"/>
  </r>
  <r>
    <n v="2024"/>
    <d v="2024-06-29T00:00:00"/>
    <n v="13"/>
    <n v="5024"/>
    <n v="42968"/>
    <x v="3"/>
    <n v="0.11692422267734127"/>
    <s v="CuiabÃ¡-MT"/>
    <s v="RB Bragantino"/>
    <n v="14"/>
    <s v="11-15 (mediano)"/>
    <n v="11"/>
    <n v="-3"/>
    <n v="1410"/>
    <x v="1"/>
    <n v="4470"/>
    <s v="27.9"/>
    <s v="25.3"/>
    <n v="1"/>
    <n v="1"/>
    <n v="1"/>
    <n v="1"/>
    <x v="6"/>
    <n v="11"/>
    <n v="13"/>
    <n v="16"/>
    <x v="13"/>
    <n v="12"/>
    <n v="4"/>
    <n v="1"/>
    <n v="2"/>
    <n v="1"/>
    <n v="5"/>
    <n v="15"/>
    <n v="3"/>
    <n v="6"/>
    <n v="0"/>
    <x v="1"/>
    <x v="1"/>
    <n v="0"/>
    <x v="0"/>
    <s v="0.25"/>
    <n v="1"/>
  </r>
  <r>
    <n v="2024"/>
    <d v="2024-06-30T00:00:00"/>
    <n v="13"/>
    <n v="39767"/>
    <n v="46000"/>
    <x v="4"/>
    <n v="0.86450000000000005"/>
    <s v="AtlÃ©tico-MG"/>
    <s v="AtlÃ©tico-GO"/>
    <n v="9"/>
    <s v="6-10 (intermediário)"/>
    <n v="17"/>
    <n v="8"/>
    <n v="2920"/>
    <x v="2"/>
    <n v="1250"/>
    <s v="26.8"/>
    <s v="26.6"/>
    <n v="1"/>
    <n v="1"/>
    <n v="1"/>
    <n v="1"/>
    <x v="10"/>
    <n v="8"/>
    <n v="10"/>
    <n v="11"/>
    <x v="5"/>
    <n v="10"/>
    <n v="4"/>
    <n v="5"/>
    <n v="0"/>
    <n v="2"/>
    <n v="15"/>
    <n v="12"/>
    <n v="4"/>
    <n v="4"/>
    <n v="0"/>
    <x v="1"/>
    <x v="1"/>
    <n v="0"/>
    <x v="0"/>
    <s v="0.75"/>
    <n v="0"/>
  </r>
  <r>
    <n v="2024"/>
    <d v="2024-07-02T00:00:00"/>
    <n v="13"/>
    <n v="41175"/>
    <n v="43713"/>
    <x v="0"/>
    <n v="0.94193946880790613"/>
    <s v="Palmeiras"/>
    <s v="Corinthians"/>
    <n v="2"/>
    <s v="1-5 (elite)"/>
    <n v="19"/>
    <n v="17"/>
    <n v="9010"/>
    <x v="3"/>
    <n v="4630"/>
    <n v="26"/>
    <s v="24.4"/>
    <n v="2"/>
    <n v="0"/>
    <n v="0"/>
    <n v="0"/>
    <x v="4"/>
    <n v="3"/>
    <n v="18"/>
    <n v="10"/>
    <x v="7"/>
    <n v="18"/>
    <n v="4"/>
    <n v="8"/>
    <n v="2"/>
    <n v="0"/>
    <n v="19"/>
    <n v="13"/>
    <n v="3"/>
    <n v="8"/>
    <n v="2"/>
    <x v="0"/>
    <x v="0"/>
    <n v="1"/>
    <x v="0"/>
    <s v="1.02"/>
    <n v="1"/>
  </r>
  <r>
    <n v="2024"/>
    <d v="2024-07-04T00:00:00"/>
    <n v="14"/>
    <n v="12352"/>
    <n v="19225"/>
    <x v="0"/>
    <n v="0.64249674902470744"/>
    <s v="CriciÃºma EC"/>
    <s v="Cruzeiro"/>
    <n v="12"/>
    <s v="11-15 (mediano)"/>
    <n v="9"/>
    <n v="-3"/>
    <n v="673"/>
    <x v="1"/>
    <n v="2950"/>
    <n v="31"/>
    <s v="27.2"/>
    <n v="1"/>
    <n v="0"/>
    <n v="0"/>
    <n v="0"/>
    <x v="4"/>
    <n v="10"/>
    <n v="11"/>
    <n v="7"/>
    <x v="15"/>
    <n v="11"/>
    <n v="6"/>
    <n v="5"/>
    <n v="2"/>
    <n v="1"/>
    <n v="13"/>
    <n v="17"/>
    <n v="5"/>
    <n v="10"/>
    <n v="1"/>
    <x v="0"/>
    <x v="0"/>
    <n v="1"/>
    <x v="0"/>
    <s v="1.59"/>
    <n v="1"/>
  </r>
  <r>
    <n v="2024"/>
    <d v="2024-07-04T00:00:00"/>
    <n v="14"/>
    <n v="14384"/>
    <n v="24584"/>
    <x v="2"/>
    <n v="0.58509599739668072"/>
    <s v="Vasco da Gama"/>
    <s v="Fortaleza"/>
    <n v="14"/>
    <s v="11-15 (mediano)"/>
    <n v="11"/>
    <n v="-3"/>
    <n v="2780"/>
    <x v="2"/>
    <n v="1340"/>
    <s v="29.1"/>
    <s v="31.2"/>
    <n v="2"/>
    <n v="0"/>
    <n v="1"/>
    <n v="0"/>
    <x v="4"/>
    <n v="3"/>
    <n v="21"/>
    <n v="12"/>
    <x v="6"/>
    <n v="21"/>
    <n v="4"/>
    <n v="7"/>
    <n v="2"/>
    <n v="1"/>
    <n v="19"/>
    <n v="10"/>
    <n v="5"/>
    <n v="4"/>
    <n v="2"/>
    <x v="0"/>
    <x v="0"/>
    <n v="1"/>
    <x v="0"/>
    <s v="1.82"/>
    <n v="0"/>
  </r>
  <r>
    <n v="2024"/>
    <d v="2024-07-04T00:00:00"/>
    <n v="14"/>
    <n v="28632"/>
    <n v="42372"/>
    <x v="2"/>
    <n v="0.67572925516850746"/>
    <s v="Athletico-PR"/>
    <s v="SÃ£o Paulo"/>
    <n v="7"/>
    <s v="6-10 (intermediário)"/>
    <n v="5"/>
    <n v="-2"/>
    <n v="2980"/>
    <x v="2"/>
    <n v="2765"/>
    <s v="27.4"/>
    <s v="30.2"/>
    <n v="1"/>
    <n v="2"/>
    <n v="1"/>
    <n v="1"/>
    <x v="0"/>
    <n v="2"/>
    <n v="19"/>
    <n v="8"/>
    <x v="14"/>
    <n v="18"/>
    <n v="6"/>
    <n v="3"/>
    <n v="1"/>
    <n v="2"/>
    <n v="12"/>
    <n v="13"/>
    <n v="6"/>
    <n v="1"/>
    <n v="-1"/>
    <x v="1"/>
    <x v="0"/>
    <n v="0"/>
    <x v="1"/>
    <s v="0.4"/>
    <n v="1"/>
  </r>
  <r>
    <n v="2024"/>
    <d v="2024-07-04T00:00:00"/>
    <n v="14"/>
    <n v="39993"/>
    <n v="46000"/>
    <x v="1"/>
    <n v="0.86941304347826087"/>
    <s v="AtlÃ©tico-MG"/>
    <s v="Flamengo"/>
    <n v="10"/>
    <s v="6-10 (intermediário)"/>
    <n v="1"/>
    <n v="-9"/>
    <n v="3995"/>
    <x v="0"/>
    <n v="5970"/>
    <s v="26.5"/>
    <s v="28.6"/>
    <n v="2"/>
    <n v="4"/>
    <n v="0"/>
    <n v="2"/>
    <x v="5"/>
    <n v="4"/>
    <n v="12"/>
    <n v="11"/>
    <x v="7"/>
    <n v="12"/>
    <n v="4"/>
    <n v="2"/>
    <n v="1"/>
    <n v="2"/>
    <n v="11"/>
    <n v="14"/>
    <n v="3"/>
    <n v="3"/>
    <n v="-2"/>
    <x v="1"/>
    <x v="0"/>
    <n v="0"/>
    <x v="1"/>
    <s v="2.3"/>
    <n v="1"/>
  </r>
  <r>
    <n v="2024"/>
    <d v="2024-07-04T00:00:00"/>
    <n v="14"/>
    <n v="3102"/>
    <n v="15010"/>
    <x v="0"/>
    <n v="0.2066622251832112"/>
    <s v="RB Bragantino"/>
    <s v="AtlÃ©tico-GO"/>
    <n v="8"/>
    <s v="6-10 (intermediário)"/>
    <n v="19"/>
    <n v="11"/>
    <n v="4080"/>
    <x v="0"/>
    <n v="1280"/>
    <s v="25.9"/>
    <s v="26.8"/>
    <n v="3"/>
    <n v="1"/>
    <n v="3"/>
    <n v="1"/>
    <x v="6"/>
    <n v="8"/>
    <n v="15"/>
    <n v="9"/>
    <x v="5"/>
    <n v="15"/>
    <n v="5"/>
    <n v="2"/>
    <n v="1"/>
    <n v="3"/>
    <n v="13"/>
    <n v="13"/>
    <n v="5"/>
    <n v="6"/>
    <n v="2"/>
    <x v="0"/>
    <x v="0"/>
    <n v="1"/>
    <x v="0"/>
    <s v="1.54"/>
    <n v="0"/>
  </r>
  <r>
    <n v="2024"/>
    <d v="2024-07-04T00:00:00"/>
    <n v="14"/>
    <n v="7849"/>
    <n v="42968"/>
    <x v="5"/>
    <n v="0.18267082479985106"/>
    <s v="CuiabÃ¡-MT"/>
    <s v="Botafogo"/>
    <n v="15"/>
    <s v="11-15 (mediano)"/>
    <n v="2"/>
    <n v="-13"/>
    <n v="1410"/>
    <x v="1"/>
    <n v="3110"/>
    <s v="29.3"/>
    <s v="28.2"/>
    <n v="1"/>
    <n v="2"/>
    <n v="1"/>
    <n v="1"/>
    <x v="4"/>
    <n v="5"/>
    <n v="8"/>
    <n v="15"/>
    <x v="4"/>
    <n v="8"/>
    <n v="2"/>
    <n v="5"/>
    <n v="2"/>
    <n v="7"/>
    <n v="11"/>
    <n v="6"/>
    <n v="4"/>
    <n v="0"/>
    <n v="-1"/>
    <x v="1"/>
    <x v="0"/>
    <n v="0"/>
    <x v="1"/>
    <s v="1.57"/>
    <n v="0"/>
  </r>
  <r>
    <n v="2024"/>
    <d v="2024-09-06T00:00:00"/>
    <n v="16"/>
    <n v="4826"/>
    <n v="42968"/>
    <x v="4"/>
    <n v="0.11231614224539192"/>
    <s v="CuiabÃ¡-MT"/>
    <s v="Juventude"/>
    <n v="16"/>
    <s v="16-20 (rebaixamento)"/>
    <n v="14"/>
    <n v="-2"/>
    <n v="1125"/>
    <x v="1"/>
    <n v="1040"/>
    <s v="28.2"/>
    <s v="29.8"/>
    <n v="0"/>
    <n v="0"/>
    <n v="0"/>
    <n v="0"/>
    <x v="6"/>
    <n v="3"/>
    <n v="17"/>
    <n v="11"/>
    <x v="7"/>
    <n v="16"/>
    <n v="3"/>
    <n v="3"/>
    <n v="0"/>
    <n v="2"/>
    <n v="12"/>
    <n v="9"/>
    <n v="4"/>
    <n v="6"/>
    <n v="0"/>
    <x v="1"/>
    <x v="1"/>
    <n v="0"/>
    <x v="0"/>
    <s v="0.4"/>
    <n v="0"/>
  </r>
  <r>
    <n v="2024"/>
    <d v="2024-09-26T00:00:00"/>
    <n v="16"/>
    <n v="3871"/>
    <n v="15010"/>
    <x v="5"/>
    <n v="0.25789473684210529"/>
    <s v="RB Bragantino"/>
    <s v="Internacional"/>
    <n v="11"/>
    <s v="11-15 (mediano)"/>
    <n v="9"/>
    <n v="-2"/>
    <n v="4080"/>
    <x v="0"/>
    <n v="4210"/>
    <s v="25.9"/>
    <s v="27.3"/>
    <n v="2"/>
    <n v="2"/>
    <n v="1"/>
    <n v="1"/>
    <x v="13"/>
    <n v="9"/>
    <n v="13"/>
    <n v="13"/>
    <x v="0"/>
    <n v="11"/>
    <n v="9"/>
    <n v="2"/>
    <n v="1"/>
    <n v="2"/>
    <n v="11"/>
    <n v="24"/>
    <n v="4"/>
    <n v="9"/>
    <n v="0"/>
    <x v="1"/>
    <x v="1"/>
    <n v="0"/>
    <x v="0"/>
    <s v="0.4"/>
    <n v="0"/>
  </r>
  <r>
    <n v="2024"/>
    <d v="2024-10-23T00:00:00"/>
    <n v="17"/>
    <n v="39465"/>
    <n v="82238"/>
    <x v="5"/>
    <n v="0.47988764318198401"/>
    <s v="Fluminense"/>
    <s v="Athletico-PR"/>
    <n v="20"/>
    <s v="16-20 (rebaixamento)"/>
    <n v="8"/>
    <n v="-12"/>
    <n v="3875"/>
    <x v="0"/>
    <n v="1525"/>
    <s v="30.4"/>
    <s v="27.2"/>
    <n v="1"/>
    <n v="0"/>
    <n v="0"/>
    <n v="0"/>
    <x v="10"/>
    <n v="3"/>
    <n v="9"/>
    <n v="15"/>
    <x v="6"/>
    <n v="9"/>
    <n v="2"/>
    <n v="4"/>
    <n v="1"/>
    <n v="1"/>
    <n v="14"/>
    <n v="6"/>
    <n v="4"/>
    <n v="3"/>
    <n v="1"/>
    <x v="0"/>
    <x v="0"/>
    <n v="1"/>
    <x v="0"/>
    <s v="0.95"/>
    <n v="0"/>
  </r>
  <r>
    <n v="2024"/>
    <d v="2024-08-29T00:00:00"/>
    <n v="19"/>
    <n v="11849"/>
    <n v="19225"/>
    <x v="0"/>
    <n v="0.61633289986996098"/>
    <s v="CriciÃºma EC"/>
    <s v="RB Bragantino"/>
    <n v="13"/>
    <s v="11-15 (mediano)"/>
    <n v="12"/>
    <n v="-1"/>
    <n v="873"/>
    <x v="1"/>
    <n v="3150"/>
    <s v="29.1"/>
    <s v="25.3"/>
    <n v="1"/>
    <n v="0"/>
    <n v="1"/>
    <n v="0"/>
    <x v="0"/>
    <n v="8"/>
    <n v="17"/>
    <n v="15"/>
    <x v="1"/>
    <n v="17"/>
    <n v="6"/>
    <n v="1"/>
    <n v="0"/>
    <n v="1"/>
    <n v="14"/>
    <n v="15"/>
    <n v="6"/>
    <n v="9"/>
    <n v="1"/>
    <x v="0"/>
    <x v="0"/>
    <n v="1"/>
    <x v="0"/>
    <s v="2.1"/>
    <n v="0"/>
  </r>
  <r>
    <n v="2024"/>
    <d v="2024-09-12T00:00:00"/>
    <n v="19"/>
    <n v="26441"/>
    <n v="50848"/>
    <x v="2"/>
    <n v="0.52000078665827565"/>
    <s v="Internacional"/>
    <s v="Fortaleza"/>
    <n v="9"/>
    <s v="6-10 (intermediário)"/>
    <n v="5"/>
    <n v="-4"/>
    <n v="2985"/>
    <x v="2"/>
    <n v="1465"/>
    <s v="27.9"/>
    <s v="31.2"/>
    <n v="2"/>
    <n v="1"/>
    <n v="1"/>
    <n v="1"/>
    <x v="8"/>
    <n v="3"/>
    <n v="19"/>
    <n v="9"/>
    <x v="15"/>
    <n v="18"/>
    <n v="0"/>
    <n v="6"/>
    <n v="4"/>
    <n v="2"/>
    <n v="16"/>
    <n v="12"/>
    <n v="3"/>
    <n v="8"/>
    <n v="1"/>
    <x v="0"/>
    <x v="0"/>
    <n v="1"/>
    <x v="0"/>
    <s v="0.87"/>
    <n v="0"/>
  </r>
  <r>
    <n v="2024"/>
    <d v="2024-10-25T00:00:00"/>
    <n v="19"/>
    <n v="16696"/>
    <n v="24584"/>
    <x v="1"/>
    <n v="0.67914090465343313"/>
    <s v="Vasco da Gama"/>
    <s v="CuiabÃ¡-MT"/>
    <n v="11"/>
    <s v="11-15 (mediano)"/>
    <n v="16"/>
    <n v="5"/>
    <n v="3105"/>
    <x v="2"/>
    <n v="1745"/>
    <s v="27.5"/>
    <s v="29.7"/>
    <n v="1"/>
    <n v="0"/>
    <n v="0"/>
    <n v="0"/>
    <x v="6"/>
    <n v="2"/>
    <n v="16"/>
    <n v="14"/>
    <x v="0"/>
    <n v="15"/>
    <n v="2"/>
    <n v="1"/>
    <n v="0"/>
    <n v="1"/>
    <n v="13"/>
    <n v="13"/>
    <n v="4"/>
    <n v="10"/>
    <n v="1"/>
    <x v="0"/>
    <x v="0"/>
    <n v="1"/>
    <x v="0"/>
    <s v="1.22"/>
    <n v="0"/>
  </r>
  <r>
    <n v="2024"/>
    <d v="2024-08-06T00:00:00"/>
    <n v="21"/>
    <n v="20000"/>
    <n v="21150"/>
    <x v="3"/>
    <n v="0.94562647754137119"/>
    <s v="Cruzeiro"/>
    <s v="Fortaleza"/>
    <n v="5"/>
    <s v="1-5 (elite)"/>
    <n v="3"/>
    <n v="-2"/>
    <n v="4230"/>
    <x v="0"/>
    <n v="1120"/>
    <s v="27.6"/>
    <s v="30.9"/>
    <n v="1"/>
    <n v="2"/>
    <n v="1"/>
    <n v="2"/>
    <x v="10"/>
    <n v="1"/>
    <n v="18"/>
    <n v="17"/>
    <x v="1"/>
    <n v="18"/>
    <n v="2"/>
    <n v="6"/>
    <n v="1"/>
    <n v="2"/>
    <n v="15"/>
    <n v="11"/>
    <n v="5"/>
    <n v="3"/>
    <n v="-1"/>
    <x v="1"/>
    <x v="0"/>
    <n v="0"/>
    <x v="1"/>
    <s v="0.31"/>
    <n v="0"/>
  </r>
  <r>
    <n v="2024"/>
    <d v="2024-08-10T00:00:00"/>
    <n v="22"/>
    <n v="40311"/>
    <n v="60326"/>
    <x v="1"/>
    <n v="0.66821934157742935"/>
    <s v="Fortaleza"/>
    <s v="CriciÃºma EC"/>
    <n v="3"/>
    <s v="1-5 (elite)"/>
    <n v="12"/>
    <n v="9"/>
    <n v="1145"/>
    <x v="1"/>
    <n v="630"/>
    <n v="30"/>
    <s v="30.8"/>
    <n v="1"/>
    <n v="0"/>
    <n v="0"/>
    <n v="0"/>
    <x v="5"/>
    <n v="6"/>
    <n v="16"/>
    <n v="13"/>
    <x v="0"/>
    <n v="16"/>
    <n v="2"/>
    <n v="3"/>
    <n v="2"/>
    <n v="1"/>
    <n v="16"/>
    <n v="12"/>
    <n v="7"/>
    <n v="7"/>
    <n v="1"/>
    <x v="0"/>
    <x v="0"/>
    <n v="1"/>
    <x v="0"/>
    <s v="1.9"/>
    <n v="0"/>
  </r>
  <r>
    <n v="2024"/>
    <d v="2024-08-11T00:00:00"/>
    <n v="22"/>
    <n v="45972"/>
    <n v="47364"/>
    <x v="0"/>
    <n v="0.97061059032176333"/>
    <s v="EC Bahia"/>
    <s v="EC VitÃ³ria"/>
    <n v="7"/>
    <s v="6-10 (intermediário)"/>
    <n v="17"/>
    <n v="10"/>
    <n v="3745"/>
    <x v="0"/>
    <n v="1218"/>
    <s v="28.6"/>
    <s v="27.9"/>
    <n v="2"/>
    <n v="0"/>
    <n v="1"/>
    <n v="0"/>
    <x v="6"/>
    <n v="7"/>
    <n v="10"/>
    <n v="12"/>
    <x v="2"/>
    <n v="9"/>
    <n v="5"/>
    <n v="1"/>
    <n v="2"/>
    <n v="0"/>
    <n v="7"/>
    <n v="13"/>
    <n v="2"/>
    <n v="3"/>
    <n v="2"/>
    <x v="0"/>
    <x v="0"/>
    <n v="1"/>
    <x v="0"/>
    <s v="0.64"/>
    <n v="0"/>
  </r>
  <r>
    <n v="2024"/>
    <d v="2024-08-11T00:00:00"/>
    <n v="22"/>
    <n v="5288"/>
    <n v="23726"/>
    <x v="0"/>
    <n v="0.22287785551715417"/>
    <s v="Juventude"/>
    <s v="Botafogo"/>
    <n v="14"/>
    <s v="11-15 (mediano)"/>
    <n v="1"/>
    <n v="-13"/>
    <n v="690"/>
    <x v="1"/>
    <n v="5380"/>
    <s v="27.3"/>
    <n v="26"/>
    <n v="3"/>
    <n v="2"/>
    <n v="2"/>
    <n v="0"/>
    <x v="0"/>
    <n v="12"/>
    <n v="10"/>
    <n v="14"/>
    <x v="4"/>
    <n v="9"/>
    <n v="7"/>
    <n v="4"/>
    <n v="1"/>
    <n v="0"/>
    <n v="16"/>
    <n v="24"/>
    <n v="3"/>
    <n v="8"/>
    <n v="1"/>
    <x v="0"/>
    <x v="0"/>
    <n v="1"/>
    <x v="0"/>
    <s v="1.85"/>
    <n v="0"/>
  </r>
  <r>
    <n v="2024"/>
    <d v="2024-08-11T00:00:00"/>
    <n v="22"/>
    <n v="9853"/>
    <n v="42968"/>
    <x v="4"/>
    <n v="0.22931018432321729"/>
    <s v="CuiabÃ¡-MT"/>
    <s v="GrÃªmio"/>
    <n v="19"/>
    <s v="16-20 (rebaixamento)"/>
    <n v="15"/>
    <n v="-4"/>
    <n v="1245"/>
    <x v="1"/>
    <n v="3780"/>
    <s v="28.6"/>
    <s v="26.9"/>
    <n v="1"/>
    <n v="3"/>
    <n v="0"/>
    <n v="1"/>
    <x v="10"/>
    <n v="5"/>
    <n v="15"/>
    <n v="7"/>
    <x v="15"/>
    <n v="12"/>
    <n v="3"/>
    <n v="3"/>
    <n v="3"/>
    <n v="1"/>
    <n v="15"/>
    <n v="10"/>
    <n v="6"/>
    <n v="4"/>
    <n v="-2"/>
    <x v="1"/>
    <x v="0"/>
    <n v="0"/>
    <x v="1"/>
    <s v="0.5"/>
    <n v="0"/>
  </r>
  <r>
    <n v="2024"/>
    <d v="2024-08-11T00:00:00"/>
    <n v="22"/>
    <n v="42018"/>
    <n v="49205"/>
    <x v="4"/>
    <n v="0.85393760796667006"/>
    <s v="Corinthians"/>
    <s v="RB Bragantino"/>
    <n v="18"/>
    <s v="16-20 (rebaixamento)"/>
    <n v="13"/>
    <n v="-5"/>
    <n v="2610"/>
    <x v="2"/>
    <n v="4000"/>
    <s v="27.9"/>
    <s v="24.9"/>
    <n v="1"/>
    <n v="1"/>
    <n v="0"/>
    <n v="1"/>
    <x v="0"/>
    <n v="6"/>
    <n v="11"/>
    <n v="18"/>
    <x v="10"/>
    <n v="11"/>
    <n v="5"/>
    <n v="4"/>
    <n v="3"/>
    <n v="1"/>
    <n v="19"/>
    <n v="11"/>
    <n v="9"/>
    <n v="3"/>
    <n v="0"/>
    <x v="1"/>
    <x v="1"/>
    <n v="0"/>
    <x v="0"/>
    <s v="1.38"/>
    <n v="0"/>
  </r>
  <r>
    <n v="2024"/>
    <d v="2024-08-11T00:00:00"/>
    <n v="22"/>
    <n v="20003"/>
    <n v="44584"/>
    <x v="0"/>
    <n v="0.44865871164543336"/>
    <s v="Vasco da Gama"/>
    <s v="Fluminense"/>
    <n v="11"/>
    <s v="11-15 (mediano)"/>
    <n v="16"/>
    <n v="5"/>
    <n v="2130"/>
    <x v="2"/>
    <n v="5535"/>
    <s v="29.8"/>
    <s v="30.2"/>
    <n v="2"/>
    <n v="0"/>
    <n v="1"/>
    <n v="0"/>
    <x v="0"/>
    <n v="3"/>
    <n v="23"/>
    <n v="12"/>
    <x v="2"/>
    <n v="23"/>
    <n v="3"/>
    <n v="1"/>
    <n v="2"/>
    <n v="1"/>
    <n v="8"/>
    <n v="12"/>
    <n v="3"/>
    <n v="9"/>
    <n v="2"/>
    <x v="0"/>
    <x v="0"/>
    <n v="1"/>
    <x v="0"/>
    <s v="1.22"/>
    <n v="0"/>
  </r>
  <r>
    <n v="2024"/>
    <d v="2024-08-11T00:00:00"/>
    <n v="22"/>
    <n v="61583"/>
    <n v="61927"/>
    <x v="1"/>
    <n v="0.99444507242398306"/>
    <s v="Cruzeiro"/>
    <s v="AtlÃ©tico-MG"/>
    <n v="6"/>
    <s v="6-10 (intermediário)"/>
    <n v="9"/>
    <n v="3"/>
    <n v="4210"/>
    <x v="0"/>
    <n v="6350"/>
    <s v="27.5"/>
    <s v="28.4"/>
    <n v="0"/>
    <n v="0"/>
    <n v="0"/>
    <n v="0"/>
    <x v="5"/>
    <n v="4"/>
    <n v="19"/>
    <n v="12"/>
    <x v="6"/>
    <n v="17"/>
    <n v="3"/>
    <n v="1"/>
    <n v="2"/>
    <n v="2"/>
    <n v="6"/>
    <n v="12"/>
    <n v="4"/>
    <n v="4"/>
    <n v="0"/>
    <x v="1"/>
    <x v="1"/>
    <n v="0"/>
    <x v="0"/>
    <s v="0.3"/>
    <n v="0"/>
  </r>
  <r>
    <n v="2024"/>
    <d v="2024-08-11T00:00:00"/>
    <n v="22"/>
    <n v="55051"/>
    <n v="78838"/>
    <x v="0"/>
    <n v="0.69828001725056443"/>
    <s v="Flamengo"/>
    <s v="Palmeiras"/>
    <n v="2"/>
    <s v="1-5 (elite)"/>
    <n v="4"/>
    <n v="2"/>
    <n v="11800"/>
    <x v="3"/>
    <n v="7500"/>
    <s v="27.7"/>
    <n v="25"/>
    <n v="1"/>
    <n v="1"/>
    <n v="0"/>
    <n v="0"/>
    <x v="5"/>
    <n v="2"/>
    <n v="15"/>
    <n v="21"/>
    <x v="8"/>
    <n v="14"/>
    <n v="5"/>
    <n v="6"/>
    <n v="1"/>
    <n v="2"/>
    <n v="11"/>
    <n v="9"/>
    <n v="2"/>
    <n v="2"/>
    <n v="0"/>
    <x v="1"/>
    <x v="1"/>
    <n v="0"/>
    <x v="0"/>
    <s v="0.3"/>
    <n v="0"/>
  </r>
  <r>
    <n v="2024"/>
    <d v="2024-08-12T00:00:00"/>
    <n v="22"/>
    <n v="17136"/>
    <n v="50848"/>
    <x v="0"/>
    <n v="0.33700440528634362"/>
    <s v="Internacional"/>
    <s v="Athletico-PR"/>
    <n v="10"/>
    <s v="6-10 (intermediário)"/>
    <n v="8"/>
    <n v="-2"/>
    <n v="3200"/>
    <x v="2"/>
    <n v="2145"/>
    <s v="26.4"/>
    <s v="26.8"/>
    <n v="2"/>
    <n v="2"/>
    <n v="1"/>
    <n v="1"/>
    <x v="7"/>
    <n v="0"/>
    <n v="18"/>
    <n v="13"/>
    <x v="0"/>
    <n v="17"/>
    <n v="3"/>
    <n v="1"/>
    <n v="0"/>
    <n v="2"/>
    <n v="23"/>
    <n v="12"/>
    <n v="8"/>
    <n v="4"/>
    <n v="0"/>
    <x v="1"/>
    <x v="1"/>
    <n v="0"/>
    <x v="0"/>
    <s v="1.0"/>
    <n v="0"/>
  </r>
  <r>
    <n v="2024"/>
    <d v="2024-08-17T00:00:00"/>
    <n v="23"/>
    <n v="36290"/>
    <n v="46000"/>
    <x v="3"/>
    <n v="0.78891304347826086"/>
    <s v="AtlÃ©tico-MG"/>
    <s v="CuiabÃ¡-MT"/>
    <n v="8"/>
    <s v="6-10 (intermediário)"/>
    <n v="19"/>
    <n v="11"/>
    <n v="2785"/>
    <x v="2"/>
    <n v="1365"/>
    <s v="28.3"/>
    <n v="28"/>
    <n v="1"/>
    <n v="1"/>
    <n v="1"/>
    <n v="1"/>
    <x v="8"/>
    <n v="6"/>
    <n v="13"/>
    <n v="14"/>
    <x v="6"/>
    <n v="13"/>
    <n v="4"/>
    <n v="3"/>
    <n v="3"/>
    <n v="0"/>
    <n v="13"/>
    <n v="11"/>
    <n v="7"/>
    <n v="2"/>
    <n v="0"/>
    <x v="1"/>
    <x v="1"/>
    <n v="0"/>
    <x v="0"/>
    <s v="1.87"/>
    <n v="0"/>
  </r>
  <r>
    <n v="2024"/>
    <d v="2024-08-17T00:00:00"/>
    <n v="23"/>
    <n v="56102"/>
    <n v="60540"/>
    <x v="0"/>
    <n v="0.92669309547406675"/>
    <s v="GrÃªmio"/>
    <s v="EC Bahia"/>
    <n v="15"/>
    <s v="11-15 (mediano)"/>
    <n v="5"/>
    <n v="-10"/>
    <n v="2700"/>
    <x v="2"/>
    <n v="3745"/>
    <s v="25.8"/>
    <s v="28.7"/>
    <n v="0"/>
    <n v="2"/>
    <n v="0"/>
    <n v="1"/>
    <x v="13"/>
    <n v="5"/>
    <n v="10"/>
    <n v="10"/>
    <x v="7"/>
    <n v="10"/>
    <n v="3"/>
    <n v="5"/>
    <n v="1"/>
    <n v="1"/>
    <n v="13"/>
    <n v="12"/>
    <n v="5"/>
    <n v="3"/>
    <n v="-2"/>
    <x v="1"/>
    <x v="0"/>
    <n v="0"/>
    <x v="1"/>
    <s v="1.2"/>
    <n v="0"/>
  </r>
  <r>
    <n v="2024"/>
    <d v="2024-08-17T00:00:00"/>
    <n v="23"/>
    <n v="3928"/>
    <n v="15010"/>
    <x v="0"/>
    <n v="0.26169220519653563"/>
    <s v="RB Bragantino"/>
    <s v="Fortaleza"/>
    <n v="14"/>
    <s v="11-15 (mediano)"/>
    <n v="2"/>
    <n v="-12"/>
    <n v="3045"/>
    <x v="2"/>
    <n v="1335"/>
    <s v="23.3"/>
    <s v="30.9"/>
    <n v="1"/>
    <n v="2"/>
    <n v="1"/>
    <n v="1"/>
    <x v="7"/>
    <n v="2"/>
    <n v="19"/>
    <n v="13"/>
    <x v="0"/>
    <n v="18"/>
    <n v="5"/>
    <n v="7"/>
    <n v="3"/>
    <n v="1"/>
    <n v="13"/>
    <n v="14"/>
    <n v="2"/>
    <n v="2"/>
    <n v="-1"/>
    <x v="1"/>
    <x v="0"/>
    <n v="0"/>
    <x v="1"/>
    <s v="2.2"/>
    <n v="0"/>
  </r>
  <r>
    <n v="2024"/>
    <d v="2024-08-18T00:00:00"/>
    <n v="23"/>
    <n v="23731"/>
    <n v="46931"/>
    <x v="5"/>
    <n v="0.50565724148217595"/>
    <s v="Botafogo"/>
    <s v="Flamengo"/>
    <n v="1"/>
    <s v="1-5 (elite)"/>
    <n v="3"/>
    <n v="2"/>
    <n v="6080"/>
    <x v="0"/>
    <n v="7070"/>
    <s v="26.6"/>
    <s v="28.9"/>
    <n v="4"/>
    <n v="1"/>
    <n v="1"/>
    <n v="1"/>
    <x v="10"/>
    <n v="2"/>
    <n v="17"/>
    <n v="7"/>
    <x v="14"/>
    <n v="17"/>
    <n v="2"/>
    <n v="5"/>
    <n v="3"/>
    <n v="0"/>
    <n v="19"/>
    <n v="10"/>
    <n v="7"/>
    <n v="4"/>
    <n v="3"/>
    <x v="0"/>
    <x v="0"/>
    <n v="1"/>
    <x v="0"/>
    <s v="3.3"/>
    <n v="0"/>
  </r>
  <r>
    <n v="2024"/>
    <d v="2024-08-18T00:00:00"/>
    <n v="23"/>
    <n v="5460"/>
    <n v="13000"/>
    <x v="1"/>
    <n v="0.42"/>
    <s v="AtlÃ©tico-GO"/>
    <s v="Internacional"/>
    <n v="20"/>
    <s v="16-20 (rebaixamento)"/>
    <n v="12"/>
    <n v="-8"/>
    <n v="855"/>
    <x v="1"/>
    <n v="2615"/>
    <s v="28.6"/>
    <s v="28.2"/>
    <n v="1"/>
    <n v="0"/>
    <n v="0"/>
    <n v="0"/>
    <x v="5"/>
    <n v="7"/>
    <n v="11"/>
    <n v="6"/>
    <x v="15"/>
    <n v="11"/>
    <n v="6"/>
    <n v="4"/>
    <n v="1"/>
    <n v="0"/>
    <n v="13"/>
    <n v="19"/>
    <n v="4"/>
    <n v="5"/>
    <n v="1"/>
    <x v="0"/>
    <x v="0"/>
    <n v="1"/>
    <x v="0"/>
    <s v="0.8"/>
    <n v="0"/>
  </r>
  <r>
    <n v="2024"/>
    <d v="2024-08-18T00:00:00"/>
    <n v="23"/>
    <n v="37244"/>
    <n v="43713"/>
    <x v="4"/>
    <n v="0.85201198728067162"/>
    <s v="Palmeiras"/>
    <s v="SÃ£o Paulo"/>
    <n v="4"/>
    <s v="1-5 (elite)"/>
    <n v="6"/>
    <n v="2"/>
    <n v="8560"/>
    <x v="3"/>
    <n v="3170"/>
    <n v="27"/>
    <s v="27.5"/>
    <n v="2"/>
    <n v="1"/>
    <n v="0"/>
    <n v="0"/>
    <x v="0"/>
    <n v="1"/>
    <n v="17"/>
    <n v="12"/>
    <x v="6"/>
    <n v="16"/>
    <n v="3"/>
    <n v="6"/>
    <n v="2"/>
    <n v="1"/>
    <n v="24"/>
    <n v="8"/>
    <n v="10"/>
    <n v="4"/>
    <n v="1"/>
    <x v="0"/>
    <x v="0"/>
    <n v="1"/>
    <x v="0"/>
    <s v="2.17"/>
    <n v="0"/>
  </r>
  <r>
    <n v="2024"/>
    <d v="2024-08-18T00:00:00"/>
    <n v="23"/>
    <n v="22926"/>
    <n v="42372"/>
    <x v="0"/>
    <n v="0.54106485414896632"/>
    <s v="Athletico-PR"/>
    <s v="Juventude"/>
    <n v="9"/>
    <s v="6-10 (intermediário)"/>
    <n v="13"/>
    <n v="4"/>
    <n v="2145"/>
    <x v="2"/>
    <n v="710"/>
    <s v="25.6"/>
    <s v="29.2"/>
    <n v="1"/>
    <n v="2"/>
    <n v="1"/>
    <n v="1"/>
    <x v="11"/>
    <n v="4"/>
    <n v="17"/>
    <n v="10"/>
    <x v="5"/>
    <n v="16"/>
    <n v="3"/>
    <n v="6"/>
    <n v="1"/>
    <n v="1"/>
    <n v="23"/>
    <n v="8"/>
    <n v="10"/>
    <n v="2"/>
    <n v="-1"/>
    <x v="1"/>
    <x v="0"/>
    <n v="0"/>
    <x v="1"/>
    <s v="1.6"/>
    <n v="0"/>
  </r>
  <r>
    <n v="2024"/>
    <d v="2024-08-18T00:00:00"/>
    <n v="23"/>
    <n v="18403"/>
    <n v="19225"/>
    <x v="1"/>
    <n v="0.95724317295188555"/>
    <s v="CriciÃºma EC"/>
    <s v="Vasco da Gama"/>
    <n v="11"/>
    <s v="11-15 (mediano)"/>
    <n v="10"/>
    <n v="-1"/>
    <n v="620"/>
    <x v="1"/>
    <n v="3780"/>
    <s v="31.2"/>
    <s v="26.7"/>
    <n v="2"/>
    <n v="2"/>
    <n v="1"/>
    <n v="2"/>
    <x v="7"/>
    <n v="10"/>
    <n v="15"/>
    <n v="7"/>
    <x v="11"/>
    <n v="15"/>
    <n v="2"/>
    <n v="6"/>
    <n v="4"/>
    <n v="1"/>
    <n v="19"/>
    <n v="13"/>
    <n v="10"/>
    <n v="5"/>
    <n v="0"/>
    <x v="1"/>
    <x v="1"/>
    <n v="0"/>
    <x v="0"/>
    <s v="1.09"/>
    <n v="0"/>
  </r>
  <r>
    <n v="2024"/>
    <d v="2024-08-18T00:00:00"/>
    <n v="23"/>
    <n v="30475"/>
    <n v="82238"/>
    <x v="3"/>
    <n v="0.37057078236338431"/>
    <s v="Fluminense"/>
    <s v="Corinthians"/>
    <n v="16"/>
    <s v="16-20 (rebaixamento)"/>
    <n v="18"/>
    <n v="2"/>
    <n v="4750"/>
    <x v="0"/>
    <n v="3530"/>
    <s v="26.9"/>
    <n v="26"/>
    <n v="0"/>
    <n v="0"/>
    <n v="0"/>
    <n v="0"/>
    <x v="0"/>
    <n v="2"/>
    <n v="10"/>
    <n v="17"/>
    <x v="13"/>
    <n v="9"/>
    <n v="2"/>
    <n v="4"/>
    <n v="0"/>
    <n v="3"/>
    <n v="16"/>
    <n v="8"/>
    <n v="6"/>
    <n v="4"/>
    <n v="0"/>
    <x v="1"/>
    <x v="1"/>
    <n v="0"/>
    <x v="0"/>
    <s v="0.57"/>
    <n v="0"/>
  </r>
  <r>
    <n v="2024"/>
    <d v="2024-08-20T00:00:00"/>
    <n v="23"/>
    <n v="17062"/>
    <n v="30618"/>
    <x v="0"/>
    <n v="0.55725390293291532"/>
    <s v="EC VitÃ³ria"/>
    <s v="Cruzeiro"/>
    <n v="17"/>
    <s v="16-20 (rebaixamento)"/>
    <n v="7"/>
    <n v="-10"/>
    <n v="1308"/>
    <x v="1"/>
    <n v="3420"/>
    <n v="28"/>
    <s v="28.3"/>
    <n v="2"/>
    <n v="2"/>
    <n v="2"/>
    <n v="0"/>
    <x v="5"/>
    <n v="7"/>
    <n v="10"/>
    <n v="13"/>
    <x v="2"/>
    <n v="9"/>
    <n v="10"/>
    <n v="3"/>
    <n v="0"/>
    <n v="0"/>
    <n v="14"/>
    <n v="25"/>
    <n v="5"/>
    <n v="8"/>
    <n v="0"/>
    <x v="1"/>
    <x v="1"/>
    <n v="0"/>
    <x v="0"/>
    <s v="1.23"/>
    <n v="1"/>
  </r>
  <r>
    <n v="2024"/>
    <d v="2024-08-24T00:00:00"/>
    <n v="24"/>
    <n v="30956"/>
    <n v="43713"/>
    <x v="3"/>
    <n v="0.70816461922082674"/>
    <s v="Palmeiras"/>
    <s v="CuiabÃ¡-MT"/>
    <n v="4"/>
    <s v="1-5 (elite)"/>
    <n v="19"/>
    <n v="15"/>
    <n v="9850"/>
    <x v="3"/>
    <n v="1225"/>
    <s v="26.3"/>
    <n v="27"/>
    <n v="5"/>
    <n v="0"/>
    <n v="4"/>
    <n v="0"/>
    <x v="4"/>
    <n v="1"/>
    <n v="16"/>
    <n v="6"/>
    <x v="15"/>
    <n v="16"/>
    <n v="3"/>
    <n v="4"/>
    <n v="1"/>
    <n v="2"/>
    <n v="14"/>
    <n v="10"/>
    <n v="3"/>
    <n v="4"/>
    <n v="5"/>
    <x v="0"/>
    <x v="0"/>
    <n v="1"/>
    <x v="0"/>
    <s v="2.61"/>
    <n v="0"/>
  </r>
  <r>
    <n v="2024"/>
    <d v="2024-08-24T00:00:00"/>
    <n v="24"/>
    <n v="4407"/>
    <n v="13000"/>
    <x v="0"/>
    <n v="0.33900000000000002"/>
    <s v="AtlÃ©tico-GO"/>
    <s v="Juventude"/>
    <n v="20"/>
    <s v="16-20 (rebaixamento)"/>
    <n v="13"/>
    <n v="-7"/>
    <n v="785"/>
    <x v="1"/>
    <n v="800"/>
    <s v="28.3"/>
    <s v="29.5"/>
    <n v="2"/>
    <n v="1"/>
    <n v="0"/>
    <n v="0"/>
    <x v="5"/>
    <n v="5"/>
    <n v="17"/>
    <n v="10"/>
    <x v="7"/>
    <n v="16"/>
    <n v="2"/>
    <n v="5"/>
    <n v="0"/>
    <n v="2"/>
    <n v="18"/>
    <n v="13"/>
    <n v="7"/>
    <n v="5"/>
    <n v="1"/>
    <x v="0"/>
    <x v="0"/>
    <n v="1"/>
    <x v="0"/>
    <s v="2.43"/>
    <n v="1"/>
  </r>
  <r>
    <n v="2024"/>
    <d v="2024-08-25T00:00:00"/>
    <n v="24"/>
    <n v="32712"/>
    <n v="72039"/>
    <x v="5"/>
    <n v="0.45408736934160665"/>
    <s v="SÃ£o Paulo"/>
    <s v="EC VitÃ³ria"/>
    <n v="5"/>
    <s v="1-5 (elite)"/>
    <n v="17"/>
    <n v="12"/>
    <n v="2215"/>
    <x v="2"/>
    <n v="1248"/>
    <s v="28.7"/>
    <n v="28"/>
    <n v="2"/>
    <n v="1"/>
    <n v="2"/>
    <n v="0"/>
    <x v="5"/>
    <n v="3"/>
    <n v="7"/>
    <n v="8"/>
    <x v="16"/>
    <n v="7"/>
    <n v="3"/>
    <n v="1"/>
    <n v="1"/>
    <n v="0"/>
    <n v="12"/>
    <n v="10"/>
    <n v="5"/>
    <n v="4"/>
    <n v="1"/>
    <x v="0"/>
    <x v="0"/>
    <n v="1"/>
    <x v="0"/>
    <s v="0.65"/>
    <n v="0"/>
  </r>
  <r>
    <n v="2024"/>
    <d v="2024-08-25T00:00:00"/>
    <n v="24"/>
    <n v="32068"/>
    <n v="46000"/>
    <x v="0"/>
    <n v="0.69713043478260872"/>
    <s v="AtlÃ©tico-MG"/>
    <s v="Fluminense"/>
    <n v="10"/>
    <s v="6-10 (intermediário)"/>
    <n v="16"/>
    <n v="6"/>
    <n v="3550"/>
    <x v="0"/>
    <n v="5840"/>
    <s v="29.2"/>
    <s v="30.8"/>
    <n v="0"/>
    <n v="2"/>
    <n v="0"/>
    <n v="1"/>
    <x v="10"/>
    <n v="2"/>
    <n v="19"/>
    <n v="7"/>
    <x v="14"/>
    <n v="19"/>
    <n v="5"/>
    <n v="0"/>
    <n v="1"/>
    <n v="0"/>
    <n v="19"/>
    <n v="8"/>
    <n v="14"/>
    <n v="1"/>
    <n v="-2"/>
    <x v="1"/>
    <x v="0"/>
    <n v="0"/>
    <x v="1"/>
    <s v="0.5"/>
    <n v="0"/>
  </r>
  <r>
    <n v="2024"/>
    <d v="2024-08-25T00:00:00"/>
    <n v="24"/>
    <n v="40198"/>
    <n v="47364"/>
    <x v="0"/>
    <n v="0.84870365678574444"/>
    <s v="EC Bahia"/>
    <s v="Botafogo"/>
    <n v="6"/>
    <s v="6-10 (intermediário)"/>
    <n v="2"/>
    <n v="-4"/>
    <n v="3745"/>
    <x v="0"/>
    <n v="6220"/>
    <s v="28.7"/>
    <s v="27.8"/>
    <n v="0"/>
    <n v="0"/>
    <n v="0"/>
    <n v="0"/>
    <x v="5"/>
    <n v="7"/>
    <n v="19"/>
    <n v="21"/>
    <x v="9"/>
    <n v="19"/>
    <n v="5"/>
    <n v="7"/>
    <n v="3"/>
    <n v="2"/>
    <n v="17"/>
    <n v="14"/>
    <n v="9"/>
    <n v="4"/>
    <n v="0"/>
    <x v="1"/>
    <x v="1"/>
    <n v="0"/>
    <x v="0"/>
    <s v="0.92"/>
    <n v="0"/>
  </r>
  <r>
    <n v="2024"/>
    <d v="2024-08-25T00:00:00"/>
    <n v="24"/>
    <n v="51297"/>
    <n v="60326"/>
    <x v="0"/>
    <n v="0.85032987434936846"/>
    <s v="Fortaleza"/>
    <s v="Corinthians"/>
    <n v="1"/>
    <s v="1-5 (elite)"/>
    <n v="18"/>
    <n v="17"/>
    <n v="1605"/>
    <x v="2"/>
    <n v="3530"/>
    <s v="30.3"/>
    <n v="26"/>
    <n v="1"/>
    <n v="0"/>
    <n v="0"/>
    <n v="0"/>
    <x v="6"/>
    <n v="9"/>
    <n v="14"/>
    <n v="16"/>
    <x v="1"/>
    <n v="14"/>
    <n v="3"/>
    <n v="4"/>
    <n v="2"/>
    <n v="2"/>
    <n v="8"/>
    <n v="12"/>
    <n v="3"/>
    <n v="2"/>
    <n v="1"/>
    <x v="0"/>
    <x v="0"/>
    <n v="1"/>
    <x v="0"/>
    <s v="1.04"/>
    <n v="0"/>
  </r>
  <r>
    <n v="2024"/>
    <d v="2024-08-25T00:00:00"/>
    <n v="24"/>
    <n v="17377"/>
    <n v="19225"/>
    <x v="0"/>
    <n v="0.90387516254876465"/>
    <s v="CriciÃºma EC"/>
    <s v="GrÃªmio"/>
    <n v="12"/>
    <s v="11-15 (mediano)"/>
    <n v="15"/>
    <n v="3"/>
    <n v="805"/>
    <x v="1"/>
    <n v="4190"/>
    <n v="31"/>
    <s v="29.7"/>
    <n v="0"/>
    <n v="1"/>
    <n v="0"/>
    <n v="0"/>
    <x v="0"/>
    <n v="9"/>
    <n v="15"/>
    <n v="8"/>
    <x v="16"/>
    <n v="15"/>
    <n v="3"/>
    <n v="4"/>
    <n v="3"/>
    <n v="4"/>
    <n v="19"/>
    <n v="14"/>
    <n v="9"/>
    <n v="3"/>
    <n v="-1"/>
    <x v="1"/>
    <x v="0"/>
    <n v="0"/>
    <x v="1"/>
    <s v="0.86"/>
    <n v="0"/>
  </r>
  <r>
    <n v="2024"/>
    <d v="2024-08-26T00:00:00"/>
    <n v="24"/>
    <n v="26634"/>
    <n v="50848"/>
    <x v="3"/>
    <n v="0.52379641283826306"/>
    <s v="Internacional"/>
    <s v="Cruzeiro"/>
    <n v="9"/>
    <s v="6-10 (intermediário)"/>
    <n v="7"/>
    <n v="-2"/>
    <n v="3315"/>
    <x v="2"/>
    <n v="3660"/>
    <s v="27.9"/>
    <s v="29.1"/>
    <n v="1"/>
    <n v="0"/>
    <n v="0"/>
    <n v="0"/>
    <x v="12"/>
    <n v="3"/>
    <n v="12"/>
    <n v="9"/>
    <x v="5"/>
    <n v="12"/>
    <n v="3"/>
    <n v="8"/>
    <n v="0"/>
    <n v="0"/>
    <n v="19"/>
    <n v="5"/>
    <n v="8"/>
    <n v="2"/>
    <n v="1"/>
    <x v="0"/>
    <x v="0"/>
    <n v="1"/>
    <x v="0"/>
    <s v="2.66"/>
    <n v="0"/>
  </r>
  <r>
    <n v="2024"/>
    <d v="2024-08-26T00:00:00"/>
    <n v="24"/>
    <n v="28159"/>
    <n v="78838"/>
    <x v="1"/>
    <n v="0.35717547375631042"/>
    <s v="Flamengo"/>
    <s v="RB Bragantino"/>
    <n v="3"/>
    <s v="1-5 (elite)"/>
    <n v="14"/>
    <n v="11"/>
    <n v="6520"/>
    <x v="0"/>
    <n v="3150"/>
    <s v="29.1"/>
    <s v="24.5"/>
    <n v="2"/>
    <n v="1"/>
    <n v="1"/>
    <n v="0"/>
    <x v="0"/>
    <n v="10"/>
    <n v="13"/>
    <n v="12"/>
    <x v="6"/>
    <n v="13"/>
    <n v="1"/>
    <n v="6"/>
    <n v="1"/>
    <n v="1"/>
    <n v="13"/>
    <n v="12"/>
    <n v="2"/>
    <n v="9"/>
    <n v="1"/>
    <x v="0"/>
    <x v="0"/>
    <n v="1"/>
    <x v="0"/>
    <s v="1.26"/>
    <n v="0"/>
  </r>
  <r>
    <n v="2024"/>
    <d v="2024-08-27T00:00:00"/>
    <n v="24"/>
    <n v="16775"/>
    <n v="24584"/>
    <x v="1"/>
    <n v="0.68235437683045885"/>
    <s v="Vasco da Gama"/>
    <s v="Athletico-PR"/>
    <n v="8"/>
    <s v="6-10 (intermediário)"/>
    <n v="11"/>
    <n v="3"/>
    <n v="2980"/>
    <x v="2"/>
    <n v="2820"/>
    <s v="28.5"/>
    <s v="26.9"/>
    <n v="2"/>
    <n v="1"/>
    <n v="0"/>
    <n v="1"/>
    <x v="5"/>
    <n v="5"/>
    <n v="10"/>
    <n v="11"/>
    <x v="2"/>
    <n v="9"/>
    <n v="3"/>
    <n v="2"/>
    <n v="4"/>
    <n v="1"/>
    <n v="7"/>
    <n v="9"/>
    <n v="1"/>
    <n v="4"/>
    <n v="1"/>
    <x v="0"/>
    <x v="0"/>
    <n v="1"/>
    <x v="0"/>
    <s v="0.65"/>
    <n v="0"/>
  </r>
  <r>
    <n v="2024"/>
    <d v="2024-08-31T00:00:00"/>
    <n v="25"/>
    <n v="4095"/>
    <n v="42968"/>
    <x v="3"/>
    <n v="9.5303481660770809E-2"/>
    <s v="CuiabÃ¡-MT"/>
    <s v="CriciÃºma EC"/>
    <n v="19"/>
    <s v="16-20 (rebaixamento)"/>
    <n v="13"/>
    <n v="-6"/>
    <n v="1355"/>
    <x v="1"/>
    <n v="763"/>
    <s v="27.5"/>
    <s v="29.9"/>
    <n v="2"/>
    <n v="1"/>
    <n v="0"/>
    <n v="1"/>
    <x v="10"/>
    <n v="5"/>
    <n v="16"/>
    <n v="9"/>
    <x v="16"/>
    <n v="16"/>
    <n v="3"/>
    <n v="1"/>
    <n v="0"/>
    <n v="3"/>
    <n v="22"/>
    <n v="12"/>
    <n v="12"/>
    <n v="6"/>
    <n v="1"/>
    <x v="0"/>
    <x v="0"/>
    <n v="1"/>
    <x v="0"/>
    <s v="1.22"/>
    <n v="0"/>
  </r>
  <r>
    <n v="2024"/>
    <d v="2024-09-01T00:00:00"/>
    <n v="25"/>
    <n v="32564"/>
    <n v="46931"/>
    <x v="5"/>
    <n v="0.69386972363682853"/>
    <s v="Botafogo"/>
    <s v="Fortaleza"/>
    <n v="1"/>
    <s v="1-5 (elite)"/>
    <n v="2"/>
    <n v="1"/>
    <n v="6080"/>
    <x v="0"/>
    <n v="1480"/>
    <s v="26.6"/>
    <s v="30.5"/>
    <n v="2"/>
    <n v="0"/>
    <n v="0"/>
    <n v="0"/>
    <x v="7"/>
    <n v="6"/>
    <n v="13"/>
    <n v="8"/>
    <x v="16"/>
    <n v="12"/>
    <n v="1"/>
    <n v="5"/>
    <n v="2"/>
    <n v="0"/>
    <n v="22"/>
    <n v="10"/>
    <n v="8"/>
    <n v="5"/>
    <n v="2"/>
    <x v="0"/>
    <x v="0"/>
    <n v="1"/>
    <x v="0"/>
    <s v="1.9"/>
    <n v="0"/>
  </r>
  <r>
    <n v="2024"/>
    <d v="2024-09-01T00:00:00"/>
    <n v="25"/>
    <n v="45759"/>
    <n v="82238"/>
    <x v="0"/>
    <n v="0.55642160558379339"/>
    <s v="Fluminense"/>
    <s v="SÃ£o Paulo"/>
    <n v="14"/>
    <s v="11-15 (mediano)"/>
    <n v="6"/>
    <n v="-8"/>
    <n v="2585"/>
    <x v="2"/>
    <n v="1975"/>
    <s v="31.3"/>
    <s v="30.2"/>
    <n v="2"/>
    <n v="0"/>
    <n v="1"/>
    <n v="0"/>
    <x v="10"/>
    <n v="4"/>
    <n v="13"/>
    <n v="16"/>
    <x v="13"/>
    <n v="12"/>
    <n v="2"/>
    <n v="3"/>
    <n v="0"/>
    <n v="0"/>
    <n v="10"/>
    <n v="15"/>
    <n v="3"/>
    <n v="6"/>
    <n v="2"/>
    <x v="0"/>
    <x v="0"/>
    <n v="1"/>
    <x v="0"/>
    <s v="0.54"/>
    <n v="0"/>
  </r>
  <r>
    <n v="2024"/>
    <d v="2024-09-01T00:00:00"/>
    <n v="25"/>
    <n v="45635"/>
    <n v="49205"/>
    <x v="0"/>
    <n v="0.92744639772380855"/>
    <s v="Corinthians"/>
    <s v="Flamengo"/>
    <n v="17"/>
    <s v="16-20 (rebaixamento)"/>
    <n v="4"/>
    <n v="-13"/>
    <n v="3250"/>
    <x v="2"/>
    <n v="7890"/>
    <n v="28"/>
    <n v="30"/>
    <n v="2"/>
    <n v="1"/>
    <n v="1"/>
    <n v="1"/>
    <x v="10"/>
    <n v="2"/>
    <n v="18"/>
    <n v="18"/>
    <x v="13"/>
    <n v="17"/>
    <n v="2"/>
    <n v="2"/>
    <n v="3"/>
    <n v="0"/>
    <n v="13"/>
    <n v="10"/>
    <n v="6"/>
    <n v="5"/>
    <n v="1"/>
    <x v="0"/>
    <x v="0"/>
    <n v="1"/>
    <x v="0"/>
    <s v="1.59"/>
    <n v="1"/>
  </r>
  <r>
    <n v="2024"/>
    <d v="2024-09-01T00:00:00"/>
    <n v="25"/>
    <n v="10721"/>
    <n v="23726"/>
    <x v="0"/>
    <n v="0.45186714996206695"/>
    <s v="Juventude"/>
    <s v="Internacional"/>
    <n v="15"/>
    <s v="11-15 (mediano)"/>
    <n v="9"/>
    <n v="-6"/>
    <n v="990"/>
    <x v="1"/>
    <n v="4070"/>
    <s v="29.3"/>
    <s v="25.3"/>
    <n v="1"/>
    <n v="3"/>
    <n v="0"/>
    <n v="2"/>
    <x v="0"/>
    <n v="4"/>
    <n v="13"/>
    <n v="17"/>
    <x v="4"/>
    <n v="13"/>
    <n v="4"/>
    <n v="4"/>
    <n v="0"/>
    <n v="1"/>
    <n v="14"/>
    <n v="18"/>
    <n v="6"/>
    <n v="8"/>
    <n v="-2"/>
    <x v="1"/>
    <x v="0"/>
    <n v="0"/>
    <x v="1"/>
    <s v="0.62"/>
    <n v="1"/>
  </r>
  <r>
    <n v="2024"/>
    <d v="2024-09-01T00:00:00"/>
    <n v="25"/>
    <n v="3921"/>
    <n v="15010"/>
    <x v="2"/>
    <n v="0.26122584943371085"/>
    <s v="RB Bragantino"/>
    <s v="EC Bahia"/>
    <n v="12"/>
    <s v="11-15 (mediano)"/>
    <n v="7"/>
    <n v="-5"/>
    <n v="4130"/>
    <x v="0"/>
    <n v="3745"/>
    <n v="26"/>
    <s v="28.7"/>
    <n v="2"/>
    <n v="1"/>
    <n v="0"/>
    <n v="0"/>
    <x v="10"/>
    <n v="10"/>
    <n v="8"/>
    <n v="13"/>
    <x v="0"/>
    <n v="7"/>
    <n v="5"/>
    <n v="4"/>
    <n v="3"/>
    <n v="1"/>
    <n v="15"/>
    <n v="16"/>
    <n v="7"/>
    <n v="7"/>
    <n v="1"/>
    <x v="0"/>
    <x v="0"/>
    <n v="1"/>
    <x v="0"/>
    <s v="0.62"/>
    <n v="0"/>
  </r>
  <r>
    <n v="2024"/>
    <d v="2024-09-01T00:00:00"/>
    <n v="25"/>
    <n v="20923"/>
    <n v="30618"/>
    <x v="5"/>
    <n v="0.68335619570187467"/>
    <s v="EC VitÃ³ria"/>
    <s v="Vasco da Gama"/>
    <n v="18"/>
    <s v="16-20 (rebaixamento)"/>
    <n v="8"/>
    <n v="-10"/>
    <n v="1218"/>
    <x v="1"/>
    <n v="3550"/>
    <s v="28.7"/>
    <s v="27.3"/>
    <n v="0"/>
    <n v="1"/>
    <n v="0"/>
    <n v="0"/>
    <x v="11"/>
    <n v="3"/>
    <n v="7"/>
    <n v="7"/>
    <x v="14"/>
    <n v="7"/>
    <n v="5"/>
    <n v="5"/>
    <n v="1"/>
    <n v="2"/>
    <n v="21"/>
    <n v="9"/>
    <n v="9"/>
    <n v="2"/>
    <n v="-1"/>
    <x v="1"/>
    <x v="0"/>
    <n v="0"/>
    <x v="1"/>
    <s v="1.36"/>
    <n v="0"/>
  </r>
  <r>
    <n v="2024"/>
    <d v="2024-09-01T00:00:00"/>
    <n v="25"/>
    <n v="28334"/>
    <n v="42372"/>
    <x v="1"/>
    <n v="0.66869630888322473"/>
    <s v="Athletico-PR"/>
    <s v="Palmeiras"/>
    <n v="11"/>
    <s v="11-15 (mediano)"/>
    <n v="3"/>
    <n v="-8"/>
    <n v="3830"/>
    <x v="0"/>
    <n v="10160"/>
    <s v="25.2"/>
    <s v="27.5"/>
    <n v="0"/>
    <n v="2"/>
    <n v="0"/>
    <n v="1"/>
    <x v="5"/>
    <n v="4"/>
    <n v="10"/>
    <n v="9"/>
    <x v="14"/>
    <n v="10"/>
    <n v="8"/>
    <n v="9"/>
    <n v="0"/>
    <n v="2"/>
    <n v="15"/>
    <n v="19"/>
    <n v="4"/>
    <n v="3"/>
    <n v="-2"/>
    <x v="1"/>
    <x v="0"/>
    <n v="0"/>
    <x v="1"/>
    <s v="0.9"/>
    <n v="0"/>
  </r>
  <r>
    <n v="2024"/>
    <d v="2024-09-01T00:00:00"/>
    <n v="25"/>
    <n v="27442"/>
    <n v="60540"/>
    <x v="1"/>
    <n v="0.45328708292038322"/>
    <s v="GrÃªmio"/>
    <s v="AtlÃ©tico-MG"/>
    <n v="16"/>
    <s v="16-20 (rebaixamento)"/>
    <n v="10"/>
    <n v="-6"/>
    <n v="4100"/>
    <x v="0"/>
    <n v="4930"/>
    <s v="29.1"/>
    <s v="30.4"/>
    <n v="2"/>
    <n v="3"/>
    <n v="2"/>
    <n v="0"/>
    <x v="10"/>
    <n v="9"/>
    <n v="11"/>
    <n v="17"/>
    <x v="1"/>
    <n v="9"/>
    <n v="10"/>
    <n v="2"/>
    <n v="0"/>
    <n v="3"/>
    <n v="11"/>
    <n v="27"/>
    <n v="5"/>
    <n v="8"/>
    <n v="-1"/>
    <x v="1"/>
    <x v="0"/>
    <n v="0"/>
    <x v="1"/>
    <s v="2.01"/>
    <n v="1"/>
  </r>
  <r>
    <n v="2024"/>
    <d v="2024-09-01T00:00:00"/>
    <n v="25"/>
    <n v="50000"/>
    <n v="61927"/>
    <x v="1"/>
    <n v="0.80740226395594816"/>
    <s v="Cruzeiro"/>
    <s v="AtlÃ©tico-GO"/>
    <n v="5"/>
    <s v="1-5 (elite)"/>
    <n v="20"/>
    <n v="15"/>
    <n v="4710"/>
    <x v="0"/>
    <n v="935"/>
    <s v="27.9"/>
    <s v="28.9"/>
    <n v="3"/>
    <n v="1"/>
    <n v="2"/>
    <n v="1"/>
    <x v="8"/>
    <n v="3"/>
    <n v="13"/>
    <n v="7"/>
    <x v="15"/>
    <n v="13"/>
    <n v="3"/>
    <n v="3"/>
    <n v="0"/>
    <n v="3"/>
    <n v="11"/>
    <n v="17"/>
    <n v="3"/>
    <n v="11"/>
    <n v="2"/>
    <x v="0"/>
    <x v="0"/>
    <n v="1"/>
    <x v="0"/>
    <s v="1.75"/>
    <n v="0"/>
  </r>
  <r>
    <n v="2024"/>
    <d v="2024-09-14T00:00:00"/>
    <n v="26"/>
    <n v="31551"/>
    <n v="42372"/>
    <x v="0"/>
    <n v="0.74461908807703203"/>
    <s v="Athletico-PR"/>
    <s v="Fortaleza"/>
    <n v="11"/>
    <s v="11-15 (mediano)"/>
    <n v="3"/>
    <n v="-8"/>
    <n v="3130"/>
    <x v="2"/>
    <n v="1725"/>
    <s v="24.8"/>
    <s v="28.4"/>
    <n v="1"/>
    <n v="1"/>
    <n v="1"/>
    <n v="1"/>
    <x v="2"/>
    <n v="4"/>
    <n v="12"/>
    <n v="10"/>
    <x v="14"/>
    <n v="11"/>
    <n v="2"/>
    <n v="7"/>
    <n v="3"/>
    <n v="0"/>
    <n v="30"/>
    <n v="10"/>
    <n v="11"/>
    <n v="5"/>
    <n v="0"/>
    <x v="1"/>
    <x v="1"/>
    <n v="0"/>
    <x v="0"/>
    <s v="2.96"/>
    <n v="0"/>
  </r>
  <r>
    <n v="2024"/>
    <d v="2024-09-14T00:00:00"/>
    <n v="26"/>
    <n v="4938"/>
    <n v="13000"/>
    <x v="0"/>
    <n v="0.37984615384615383"/>
    <s v="AtlÃ©tico-GO"/>
    <s v="EC VitÃ³ria"/>
    <n v="20"/>
    <s v="16-20 (rebaixamento)"/>
    <n v="17"/>
    <n v="-3"/>
    <n v="935"/>
    <x v="1"/>
    <n v="1450"/>
    <s v="27.8"/>
    <s v="27.4"/>
    <n v="0"/>
    <n v="2"/>
    <n v="0"/>
    <n v="1"/>
    <x v="7"/>
    <n v="5"/>
    <n v="14"/>
    <n v="14"/>
    <x v="0"/>
    <n v="10"/>
    <n v="2"/>
    <n v="5"/>
    <n v="0"/>
    <n v="0"/>
    <n v="13"/>
    <n v="7"/>
    <n v="5"/>
    <n v="2"/>
    <n v="-2"/>
    <x v="1"/>
    <x v="0"/>
    <n v="0"/>
    <x v="1"/>
    <s v="0.77"/>
    <n v="0"/>
  </r>
  <r>
    <n v="2024"/>
    <d v="2024-09-15T00:00:00"/>
    <n v="26"/>
    <n v="32718"/>
    <n v="46931"/>
    <x v="5"/>
    <n v="0.69715113677526586"/>
    <s v="Botafogo"/>
    <s v="Corinthians"/>
    <n v="1"/>
    <s v="1-5 (elite)"/>
    <n v="18"/>
    <n v="17"/>
    <n v="6290"/>
    <x v="0"/>
    <n v="3500"/>
    <s v="28.1"/>
    <s v="27.6"/>
    <n v="2"/>
    <n v="1"/>
    <n v="1"/>
    <n v="0"/>
    <x v="0"/>
    <n v="3"/>
    <n v="12"/>
    <n v="7"/>
    <x v="14"/>
    <n v="11"/>
    <n v="1"/>
    <n v="8"/>
    <n v="0"/>
    <n v="1"/>
    <n v="21"/>
    <n v="12"/>
    <n v="4"/>
    <n v="7"/>
    <n v="1"/>
    <x v="0"/>
    <x v="0"/>
    <n v="1"/>
    <x v="0"/>
    <s v="2.3"/>
    <n v="0"/>
  </r>
  <r>
    <n v="2024"/>
    <d v="2024-09-15T00:00:00"/>
    <n v="26"/>
    <n v="55000"/>
    <n v="61927"/>
    <x v="0"/>
    <n v="0.88814249035154291"/>
    <s v="Cruzeiro"/>
    <s v="SÃ£o Paulo"/>
    <n v="7"/>
    <s v="6-10 (intermediário)"/>
    <n v="5"/>
    <n v="-2"/>
    <n v="4220"/>
    <x v="0"/>
    <n v="2460"/>
    <s v="27.7"/>
    <s v="26.3"/>
    <n v="0"/>
    <n v="1"/>
    <n v="0"/>
    <n v="0"/>
    <x v="4"/>
    <n v="7"/>
    <n v="11"/>
    <n v="10"/>
    <x v="7"/>
    <n v="11"/>
    <n v="3"/>
    <n v="1"/>
    <n v="1"/>
    <n v="1"/>
    <n v="14"/>
    <n v="14"/>
    <n v="9"/>
    <n v="5"/>
    <n v="-1"/>
    <x v="1"/>
    <x v="0"/>
    <n v="0"/>
    <x v="1"/>
    <s v="0.58"/>
    <n v="0"/>
  </r>
  <r>
    <n v="2024"/>
    <d v="2024-09-15T00:00:00"/>
    <n v="26"/>
    <n v="65200"/>
    <n v="78838"/>
    <x v="0"/>
    <n v="0.82701235444836252"/>
    <s v="Flamengo"/>
    <s v="Vasco da Gama"/>
    <n v="4"/>
    <s v="1-5 (elite)"/>
    <n v="9"/>
    <n v="5"/>
    <n v="6350"/>
    <x v="0"/>
    <n v="3000"/>
    <s v="29.5"/>
    <s v="29.9"/>
    <n v="1"/>
    <n v="1"/>
    <n v="0"/>
    <n v="0"/>
    <x v="10"/>
    <n v="6"/>
    <n v="10"/>
    <n v="10"/>
    <x v="7"/>
    <n v="8"/>
    <n v="1"/>
    <n v="2"/>
    <n v="3"/>
    <n v="1"/>
    <n v="17"/>
    <n v="9"/>
    <n v="9"/>
    <n v="3"/>
    <n v="0"/>
    <x v="1"/>
    <x v="1"/>
    <n v="0"/>
    <x v="0"/>
    <s v="2.01"/>
    <n v="0"/>
  </r>
  <r>
    <n v="2024"/>
    <d v="2024-09-15T00:00:00"/>
    <n v="26"/>
    <n v="6232"/>
    <n v="23726"/>
    <x v="0"/>
    <n v="0.26266543032959622"/>
    <s v="Juventude"/>
    <s v="Fluminense"/>
    <n v="13"/>
    <s v="11-15 (mediano)"/>
    <n v="15"/>
    <n v="2"/>
    <n v="1040"/>
    <x v="1"/>
    <n v="3335"/>
    <s v="29.8"/>
    <n v="31"/>
    <n v="2"/>
    <n v="1"/>
    <n v="0"/>
    <n v="1"/>
    <x v="8"/>
    <n v="5"/>
    <n v="8"/>
    <n v="9"/>
    <x v="5"/>
    <n v="7"/>
    <n v="0"/>
    <n v="3"/>
    <n v="2"/>
    <n v="1"/>
    <n v="12"/>
    <n v="8"/>
    <n v="4"/>
    <n v="5"/>
    <n v="1"/>
    <x v="0"/>
    <x v="0"/>
    <n v="1"/>
    <x v="0"/>
    <s v="0.57"/>
    <n v="0"/>
  </r>
  <r>
    <n v="2024"/>
    <d v="2024-09-15T00:00:00"/>
    <n v="26"/>
    <n v="5228"/>
    <n v="15010"/>
    <x v="4"/>
    <n v="0.34830113257828116"/>
    <s v="RB Bragantino"/>
    <s v="GrÃªmio"/>
    <n v="12"/>
    <s v="11-15 (mediano)"/>
    <n v="16"/>
    <n v="4"/>
    <n v="3330"/>
    <x v="2"/>
    <n v="3990"/>
    <s v="25.6"/>
    <s v="29.8"/>
    <n v="2"/>
    <n v="2"/>
    <n v="1"/>
    <n v="1"/>
    <x v="0"/>
    <n v="7"/>
    <n v="12"/>
    <n v="7"/>
    <x v="14"/>
    <n v="12"/>
    <n v="2"/>
    <n v="4"/>
    <n v="2"/>
    <n v="1"/>
    <n v="23"/>
    <n v="8"/>
    <n v="9"/>
    <n v="3"/>
    <n v="0"/>
    <x v="1"/>
    <x v="1"/>
    <n v="0"/>
    <x v="0"/>
    <s v="1.75"/>
    <n v="0"/>
  </r>
  <r>
    <n v="2024"/>
    <d v="2024-09-15T00:00:00"/>
    <n v="26"/>
    <n v="37244"/>
    <n v="43713"/>
    <x v="4"/>
    <n v="0.85201198728067162"/>
    <s v="Palmeiras"/>
    <s v="CriciÃºma EC"/>
    <n v="2"/>
    <s v="1-5 (elite)"/>
    <n v="14"/>
    <n v="12"/>
    <n v="10160"/>
    <x v="3"/>
    <n v="883"/>
    <s v="27.6"/>
    <s v="29.2"/>
    <n v="5"/>
    <n v="0"/>
    <n v="3"/>
    <n v="0"/>
    <x v="5"/>
    <n v="6"/>
    <n v="12"/>
    <n v="11"/>
    <x v="2"/>
    <n v="11"/>
    <n v="5"/>
    <n v="4"/>
    <n v="3"/>
    <n v="2"/>
    <n v="14"/>
    <n v="14"/>
    <n v="3"/>
    <n v="6"/>
    <n v="5"/>
    <x v="0"/>
    <x v="0"/>
    <n v="1"/>
    <x v="0"/>
    <s v="1.86"/>
    <n v="1"/>
  </r>
  <r>
    <n v="2024"/>
    <d v="2024-09-15T00:00:00"/>
    <n v="26"/>
    <n v="26420"/>
    <n v="47364"/>
    <x v="0"/>
    <n v="0.55780761759986486"/>
    <s v="EC Bahia"/>
    <s v="AtlÃ©tico-MG"/>
    <n v="6"/>
    <s v="6-10 (intermediário)"/>
    <n v="10"/>
    <n v="4"/>
    <n v="3745"/>
    <x v="0"/>
    <n v="2455"/>
    <s v="28.7"/>
    <s v="28.4"/>
    <n v="3"/>
    <n v="0"/>
    <n v="0"/>
    <n v="0"/>
    <x v="0"/>
    <n v="1"/>
    <n v="17"/>
    <n v="16"/>
    <x v="13"/>
    <n v="16"/>
    <n v="2"/>
    <n v="1"/>
    <n v="1"/>
    <n v="3"/>
    <n v="16"/>
    <n v="5"/>
    <n v="6"/>
    <n v="1"/>
    <n v="3"/>
    <x v="0"/>
    <x v="0"/>
    <n v="1"/>
    <x v="0"/>
    <s v="1.1"/>
    <n v="0"/>
  </r>
  <r>
    <n v="2024"/>
    <d v="2024-09-17T00:00:00"/>
    <n v="26"/>
    <n v="35366"/>
    <n v="50848"/>
    <x v="1"/>
    <n v="0.69552391441157957"/>
    <s v="Internacional"/>
    <s v="CuiabÃ¡-MT"/>
    <n v="8"/>
    <s v="6-10 (intermediário)"/>
    <n v="19"/>
    <n v="11"/>
    <n v="4175"/>
    <x v="0"/>
    <n v="1620"/>
    <s v="28.3"/>
    <s v="29.3"/>
    <n v="3"/>
    <n v="0"/>
    <n v="2"/>
    <n v="0"/>
    <x v="9"/>
    <n v="3"/>
    <n v="8"/>
    <n v="10"/>
    <x v="5"/>
    <n v="7"/>
    <n v="0"/>
    <n v="4"/>
    <n v="3"/>
    <n v="2"/>
    <n v="15"/>
    <n v="2"/>
    <n v="6"/>
    <n v="2"/>
    <n v="3"/>
    <x v="0"/>
    <x v="0"/>
    <n v="1"/>
    <x v="0"/>
    <s v="3.33"/>
    <n v="0"/>
  </r>
  <r>
    <n v="2024"/>
    <d v="2024-09-21T00:00:00"/>
    <n v="27"/>
    <n v="24479"/>
    <n v="30618"/>
    <x v="0"/>
    <n v="0.79949702789208965"/>
    <s v="EC VitÃ³ria"/>
    <s v="Juventude"/>
    <n v="17"/>
    <s v="16-20 (rebaixamento)"/>
    <n v="13"/>
    <n v="-4"/>
    <n v="1130"/>
    <x v="1"/>
    <n v="835"/>
    <s v="28.5"/>
    <s v="30.1"/>
    <n v="1"/>
    <n v="0"/>
    <n v="1"/>
    <n v="0"/>
    <x v="5"/>
    <n v="5"/>
    <n v="12"/>
    <n v="15"/>
    <x v="1"/>
    <n v="10"/>
    <n v="2"/>
    <n v="1"/>
    <n v="3"/>
    <n v="0"/>
    <n v="13"/>
    <n v="11"/>
    <n v="8"/>
    <n v="6"/>
    <n v="1"/>
    <x v="0"/>
    <x v="0"/>
    <n v="1"/>
    <x v="0"/>
    <s v="1.11"/>
    <n v="0"/>
  </r>
  <r>
    <n v="2024"/>
    <d v="2024-09-21T00:00:00"/>
    <n v="27"/>
    <n v="22000"/>
    <n v="82238"/>
    <x v="1"/>
    <n v="0.26751623337143415"/>
    <s v="Fluminense"/>
    <s v="Botafogo"/>
    <n v="16"/>
    <s v="16-20 (rebaixamento)"/>
    <n v="1"/>
    <n v="-15"/>
    <n v="3400"/>
    <x v="2"/>
    <n v="4110"/>
    <s v="31.2"/>
    <s v="28.3"/>
    <n v="0"/>
    <n v="1"/>
    <n v="0"/>
    <n v="0"/>
    <x v="10"/>
    <n v="4"/>
    <n v="13"/>
    <n v="17"/>
    <x v="13"/>
    <n v="13"/>
    <n v="6"/>
    <n v="5"/>
    <n v="0"/>
    <n v="3"/>
    <n v="13"/>
    <n v="9"/>
    <n v="7"/>
    <n v="1"/>
    <n v="-1"/>
    <x v="1"/>
    <x v="0"/>
    <n v="0"/>
    <x v="1"/>
    <s v="0.4"/>
    <n v="0"/>
  </r>
  <r>
    <n v="2024"/>
    <d v="2024-09-22T00:00:00"/>
    <n v="27"/>
    <n v="5948"/>
    <n v="42968"/>
    <x v="1"/>
    <n v="0.13842859802643828"/>
    <s v="CuiabÃ¡-MT"/>
    <s v="Cruzeiro"/>
    <n v="19"/>
    <s v="16-20 (rebaixamento)"/>
    <n v="8"/>
    <n v="-11"/>
    <n v="1390"/>
    <x v="1"/>
    <n v="2540"/>
    <s v="29.2"/>
    <s v="26.2"/>
    <n v="0"/>
    <n v="0"/>
    <n v="0"/>
    <n v="0"/>
    <x v="5"/>
    <n v="5"/>
    <n v="10"/>
    <n v="10"/>
    <x v="7"/>
    <n v="10"/>
    <n v="2"/>
    <n v="4"/>
    <n v="2"/>
    <n v="0"/>
    <n v="9"/>
    <n v="13"/>
    <n v="5"/>
    <n v="5"/>
    <n v="0"/>
    <x v="1"/>
    <x v="1"/>
    <n v="0"/>
    <x v="0"/>
    <s v="0.36"/>
    <n v="0"/>
  </r>
  <r>
    <n v="2024"/>
    <d v="2024-09-22T00:00:00"/>
    <n v="27"/>
    <n v="48504"/>
    <n v="60540"/>
    <x v="4"/>
    <n v="0.80118929633300295"/>
    <s v="GrÃªmio"/>
    <s v="Flamengo"/>
    <n v="15"/>
    <s v="11-15 (mediano)"/>
    <n v="4"/>
    <n v="-11"/>
    <n v="4100"/>
    <x v="0"/>
    <n v="5330"/>
    <s v="29.1"/>
    <s v="24.2"/>
    <n v="3"/>
    <n v="2"/>
    <n v="1"/>
    <n v="1"/>
    <x v="5"/>
    <n v="6"/>
    <n v="6"/>
    <n v="13"/>
    <x v="6"/>
    <n v="5"/>
    <n v="6"/>
    <n v="1"/>
    <n v="1"/>
    <n v="1"/>
    <n v="12"/>
    <n v="20"/>
    <n v="5"/>
    <n v="7"/>
    <n v="1"/>
    <x v="0"/>
    <x v="0"/>
    <n v="1"/>
    <x v="0"/>
    <s v="1.56"/>
    <n v="0"/>
  </r>
  <r>
    <n v="2024"/>
    <d v="2024-09-22T00:00:00"/>
    <n v="27"/>
    <n v="34533"/>
    <n v="46000"/>
    <x v="0"/>
    <n v="0.75071739130434778"/>
    <s v="AtlÃ©tico-MG"/>
    <s v="RB Bragantino"/>
    <n v="9"/>
    <s v="6-10 (intermediário)"/>
    <n v="12"/>
    <n v="3"/>
    <n v="3185"/>
    <x v="2"/>
    <n v="3075"/>
    <s v="27.9"/>
    <s v="26.1"/>
    <n v="3"/>
    <n v="0"/>
    <n v="1"/>
    <n v="0"/>
    <x v="5"/>
    <n v="2"/>
    <n v="14"/>
    <n v="9"/>
    <x v="5"/>
    <n v="14"/>
    <n v="3"/>
    <n v="5"/>
    <n v="2"/>
    <n v="1"/>
    <n v="13"/>
    <n v="8"/>
    <n v="5"/>
    <n v="3"/>
    <n v="3"/>
    <x v="0"/>
    <x v="0"/>
    <n v="1"/>
    <x v="0"/>
    <s v="2.4"/>
    <n v="0"/>
  </r>
  <r>
    <n v="2024"/>
    <d v="2024-09-22T00:00:00"/>
    <n v="27"/>
    <n v="35111"/>
    <n v="72039"/>
    <x v="0"/>
    <n v="0.48738877552436877"/>
    <s v="SÃ£o Paulo"/>
    <s v="Internacional"/>
    <n v="5"/>
    <s v="1-5 (elite)"/>
    <n v="6"/>
    <n v="1"/>
    <n v="2910"/>
    <x v="2"/>
    <n v="4225"/>
    <s v="27.6"/>
    <s v="28.5"/>
    <n v="1"/>
    <n v="3"/>
    <n v="1"/>
    <n v="1"/>
    <x v="9"/>
    <n v="4"/>
    <n v="18"/>
    <n v="16"/>
    <x v="1"/>
    <n v="17"/>
    <n v="3"/>
    <n v="1"/>
    <n v="6"/>
    <n v="2"/>
    <n v="7"/>
    <n v="14"/>
    <n v="3"/>
    <n v="4"/>
    <n v="-2"/>
    <x v="1"/>
    <x v="0"/>
    <n v="0"/>
    <x v="1"/>
    <s v="0.77"/>
    <n v="0"/>
  </r>
  <r>
    <n v="2024"/>
    <d v="2024-09-22T00:00:00"/>
    <n v="27"/>
    <n v="25755"/>
    <n v="72788"/>
    <x v="0"/>
    <n v="0.35383579710941365"/>
    <s v="Vasco da Gama"/>
    <s v="Palmeiras"/>
    <n v="10"/>
    <s v="6-10 (intermediário)"/>
    <n v="2"/>
    <n v="-8"/>
    <n v="3300"/>
    <x v="2"/>
    <n v="9550"/>
    <s v="28.7"/>
    <s v="26.9"/>
    <n v="0"/>
    <n v="1"/>
    <n v="0"/>
    <n v="1"/>
    <x v="10"/>
    <n v="5"/>
    <n v="8"/>
    <n v="14"/>
    <x v="4"/>
    <n v="8"/>
    <n v="2"/>
    <n v="3"/>
    <n v="0"/>
    <n v="2"/>
    <n v="10"/>
    <n v="14"/>
    <n v="6"/>
    <n v="8"/>
    <n v="-1"/>
    <x v="1"/>
    <x v="0"/>
    <n v="0"/>
    <x v="1"/>
    <s v="0.3"/>
    <n v="0"/>
  </r>
  <r>
    <n v="2024"/>
    <d v="2024-09-22T00:00:00"/>
    <n v="27"/>
    <n v="42051"/>
    <n v="60326"/>
    <x v="1"/>
    <n v="0.69706262639657857"/>
    <s v="Fortaleza"/>
    <s v="EC Bahia"/>
    <n v="3"/>
    <s v="1-5 (elite)"/>
    <n v="7"/>
    <n v="4"/>
    <n v="1745"/>
    <x v="2"/>
    <n v="3445"/>
    <s v="30.1"/>
    <s v="29.5"/>
    <n v="4"/>
    <n v="1"/>
    <n v="2"/>
    <n v="1"/>
    <x v="9"/>
    <n v="1"/>
    <n v="13"/>
    <n v="9"/>
    <x v="5"/>
    <n v="10"/>
    <n v="3"/>
    <n v="3"/>
    <n v="3"/>
    <n v="4"/>
    <n v="11"/>
    <n v="9"/>
    <n v="1"/>
    <n v="2"/>
    <n v="3"/>
    <x v="0"/>
    <x v="0"/>
    <n v="1"/>
    <x v="0"/>
    <s v="1.53"/>
    <n v="1"/>
  </r>
  <r>
    <n v="2024"/>
    <d v="2024-09-23T00:00:00"/>
    <n v="27"/>
    <n v="12765"/>
    <n v="19225"/>
    <x v="0"/>
    <n v="0.66397919375812742"/>
    <s v="CriciÃºma EC"/>
    <s v="Athletico-PR"/>
    <n v="14"/>
    <s v="11-15 (mediano)"/>
    <n v="11"/>
    <n v="-3"/>
    <n v="680"/>
    <x v="1"/>
    <n v="2010"/>
    <s v="30.5"/>
    <s v="25.9"/>
    <n v="0"/>
    <n v="0"/>
    <n v="0"/>
    <n v="0"/>
    <x v="12"/>
    <n v="1"/>
    <n v="11"/>
    <n v="12"/>
    <x v="6"/>
    <n v="10"/>
    <n v="3"/>
    <n v="7"/>
    <n v="0"/>
    <n v="0"/>
    <n v="25"/>
    <n v="10"/>
    <n v="12"/>
    <n v="5"/>
    <n v="0"/>
    <x v="1"/>
    <x v="1"/>
    <n v="0"/>
    <x v="0"/>
    <s v="1.35"/>
    <n v="0"/>
  </r>
  <r>
    <n v="2024"/>
    <d v="2024-09-28T00:00:00"/>
    <n v="28"/>
    <n v="16040"/>
    <n v="32713"/>
    <x v="2"/>
    <n v="0.49032494726866993"/>
    <s v="Palmeiras"/>
    <s v="AtlÃ©tico-MG"/>
    <n v="2"/>
    <s v="1-5 (elite)"/>
    <n v="10"/>
    <n v="8"/>
    <n v="8650"/>
    <x v="3"/>
    <n v="3960"/>
    <s v="27.2"/>
    <s v="29.7"/>
    <n v="2"/>
    <n v="1"/>
    <n v="1"/>
    <n v="0"/>
    <x v="4"/>
    <n v="3"/>
    <n v="15"/>
    <n v="10"/>
    <x v="7"/>
    <n v="15"/>
    <n v="3"/>
    <n v="6"/>
    <n v="2"/>
    <n v="1"/>
    <n v="15"/>
    <n v="6"/>
    <n v="3"/>
    <n v="2"/>
    <n v="1"/>
    <x v="0"/>
    <x v="0"/>
    <n v="1"/>
    <x v="0"/>
    <s v="2.60"/>
    <n v="0"/>
  </r>
  <r>
    <n v="2024"/>
    <d v="2024-09-29T00:00:00"/>
    <n v="28"/>
    <n v="42220"/>
    <n v="46931"/>
    <x v="3"/>
    <n v="0.89961858899235048"/>
    <s v="Botafogo"/>
    <s v="GrÃªmio"/>
    <n v="1"/>
    <s v="1-5 (elite)"/>
    <n v="14"/>
    <n v="13"/>
    <n v="6960"/>
    <x v="0"/>
    <n v="4150"/>
    <s v="28.7"/>
    <s v="29.8"/>
    <n v="0"/>
    <n v="0"/>
    <n v="0"/>
    <n v="0"/>
    <x v="10"/>
    <n v="3"/>
    <n v="10"/>
    <n v="14"/>
    <x v="0"/>
    <n v="9"/>
    <n v="4"/>
    <n v="3"/>
    <n v="2"/>
    <n v="0"/>
    <n v="15"/>
    <n v="11"/>
    <n v="6"/>
    <n v="5"/>
    <n v="0"/>
    <x v="1"/>
    <x v="1"/>
    <n v="0"/>
    <x v="0"/>
    <s v="0.98"/>
    <n v="0"/>
  </r>
  <r>
    <n v="2024"/>
    <d v="2024-09-29T00:00:00"/>
    <n v="28"/>
    <n v="56331"/>
    <n v="61927"/>
    <x v="0"/>
    <n v="0.90963553861805024"/>
    <s v="Cruzeiro"/>
    <s v="Vasco da Gama"/>
    <n v="8"/>
    <s v="6-10 (intermediário)"/>
    <n v="9"/>
    <n v="1"/>
    <n v="4180"/>
    <x v="0"/>
    <n v="3805"/>
    <s v="27.9"/>
    <s v="27.9"/>
    <n v="1"/>
    <n v="1"/>
    <n v="0"/>
    <n v="1"/>
    <x v="3"/>
    <n v="4"/>
    <n v="7"/>
    <n v="6"/>
    <x v="15"/>
    <n v="6"/>
    <n v="3"/>
    <n v="5"/>
    <n v="1"/>
    <n v="0"/>
    <n v="15"/>
    <n v="13"/>
    <n v="8"/>
    <n v="6"/>
    <n v="0"/>
    <x v="1"/>
    <x v="1"/>
    <n v="0"/>
    <x v="0"/>
    <s v="0.8"/>
    <n v="0"/>
  </r>
  <r>
    <n v="2024"/>
    <d v="2024-09-29T00:00:00"/>
    <n v="28"/>
    <n v="6285"/>
    <n v="23726"/>
    <x v="0"/>
    <n v="0.26489926662732866"/>
    <s v="Juventude"/>
    <s v="RB Bragantino"/>
    <n v="13"/>
    <s v="11-15 (mediano)"/>
    <n v="12"/>
    <n v="-1"/>
    <n v="765"/>
    <x v="1"/>
    <n v="3370"/>
    <s v="30.5"/>
    <s v="25.9"/>
    <n v="1"/>
    <n v="1"/>
    <n v="0"/>
    <n v="0"/>
    <x v="5"/>
    <n v="5"/>
    <n v="9"/>
    <n v="19"/>
    <x v="10"/>
    <n v="9"/>
    <n v="5"/>
    <n v="5"/>
    <n v="1"/>
    <n v="0"/>
    <n v="12"/>
    <n v="15"/>
    <n v="5"/>
    <n v="6"/>
    <n v="0"/>
    <x v="1"/>
    <x v="1"/>
    <n v="0"/>
    <x v="0"/>
    <s v="1.00"/>
    <n v="0"/>
  </r>
  <r>
    <n v="2024"/>
    <d v="2024-09-29T00:00:00"/>
    <n v="28"/>
    <n v="7871"/>
    <n v="13000"/>
    <x v="4"/>
    <n v="0.6054615384615385"/>
    <s v="AtlÃ©tico-GO"/>
    <s v="Fluminense"/>
    <n v="20"/>
    <s v="16-20 (rebaixamento)"/>
    <n v="16"/>
    <n v="-4"/>
    <n v="950"/>
    <x v="1"/>
    <n v="3145"/>
    <s v="25.8"/>
    <s v="32.3"/>
    <n v="1"/>
    <n v="0"/>
    <n v="0"/>
    <n v="0"/>
    <x v="5"/>
    <n v="3"/>
    <n v="15"/>
    <n v="14"/>
    <x v="4"/>
    <n v="14"/>
    <n v="2"/>
    <n v="6"/>
    <n v="2"/>
    <n v="0"/>
    <n v="16"/>
    <n v="13"/>
    <n v="7"/>
    <n v="7"/>
    <n v="1"/>
    <x v="0"/>
    <x v="0"/>
    <n v="1"/>
    <x v="0"/>
    <s v="1.43"/>
    <n v="0"/>
  </r>
  <r>
    <n v="2024"/>
    <d v="2024-09-29T00:00:00"/>
    <n v="28"/>
    <n v="25888"/>
    <n v="72039"/>
    <x v="4"/>
    <n v="0.3593609017337831"/>
    <s v="SÃ£o Paulo"/>
    <s v="Corinthians"/>
    <n v="5"/>
    <s v="1-5 (elite)"/>
    <n v="18"/>
    <n v="13"/>
    <n v="2375"/>
    <x v="2"/>
    <n v="4140"/>
    <s v="31.5"/>
    <s v="27.7"/>
    <n v="3"/>
    <n v="1"/>
    <n v="1"/>
    <n v="0"/>
    <x v="4"/>
    <n v="2"/>
    <n v="18"/>
    <n v="17"/>
    <x v="12"/>
    <n v="18"/>
    <n v="2"/>
    <n v="5"/>
    <n v="2"/>
    <n v="2"/>
    <n v="19"/>
    <n v="11"/>
    <n v="6"/>
    <n v="5"/>
    <n v="2"/>
    <x v="0"/>
    <x v="0"/>
    <n v="1"/>
    <x v="0"/>
    <s v="2.97"/>
    <n v="0"/>
  </r>
  <r>
    <n v="2024"/>
    <d v="2024-09-29T00:00:00"/>
    <n v="28"/>
    <n v="45112"/>
    <n v="50848"/>
    <x v="1"/>
    <n v="0.8871932032724984"/>
    <s v="Internacional"/>
    <s v="EC VitÃ³ria"/>
    <n v="6"/>
    <s v="6-10 (intermediário)"/>
    <n v="17"/>
    <n v="11"/>
    <n v="4000"/>
    <x v="0"/>
    <n v="1550"/>
    <s v="27.6"/>
    <s v="27.4"/>
    <n v="3"/>
    <n v="1"/>
    <n v="1"/>
    <n v="0"/>
    <x v="9"/>
    <n v="6"/>
    <n v="26"/>
    <n v="8"/>
    <x v="16"/>
    <n v="25"/>
    <n v="3"/>
    <n v="2"/>
    <n v="0"/>
    <n v="4"/>
    <n v="10"/>
    <n v="7"/>
    <n v="2"/>
    <n v="1"/>
    <n v="2"/>
    <x v="0"/>
    <x v="0"/>
    <n v="1"/>
    <x v="0"/>
    <s v="2.39"/>
    <n v="0"/>
  </r>
  <r>
    <n v="2024"/>
    <d v="2024-09-29T00:00:00"/>
    <n v="28"/>
    <n v="24574"/>
    <n v="47364"/>
    <x v="0"/>
    <n v="0.5188328688455367"/>
    <s v="EC Bahia"/>
    <s v="CriciÃºma EC"/>
    <n v="7"/>
    <s v="6-10 (intermediário)"/>
    <n v="15"/>
    <n v="8"/>
    <n v="3745"/>
    <x v="0"/>
    <n v="785"/>
    <s v="28.8"/>
    <s v="30.9"/>
    <n v="1"/>
    <n v="0"/>
    <n v="1"/>
    <n v="0"/>
    <x v="7"/>
    <n v="1"/>
    <n v="10"/>
    <n v="8"/>
    <x v="16"/>
    <n v="10"/>
    <n v="1"/>
    <n v="5"/>
    <n v="0"/>
    <n v="5"/>
    <n v="21"/>
    <n v="2"/>
    <n v="10"/>
    <n v="1"/>
    <n v="1"/>
    <x v="0"/>
    <x v="0"/>
    <n v="1"/>
    <x v="0"/>
    <s v="2.59"/>
    <n v="0"/>
  </r>
  <r>
    <n v="2024"/>
    <d v="2024-09-29T00:00:00"/>
    <n v="28"/>
    <n v="42000"/>
    <n v="60326"/>
    <x v="1"/>
    <n v="0.69621721977256901"/>
    <s v="Fortaleza"/>
    <s v="CuiabÃ¡-MT"/>
    <n v="3"/>
    <s v="1-5 (elite)"/>
    <n v="19"/>
    <n v="16"/>
    <n v="1805"/>
    <x v="2"/>
    <n v="1840"/>
    <s v="28.6"/>
    <s v="29.2"/>
    <n v="1"/>
    <n v="0"/>
    <n v="1"/>
    <n v="0"/>
    <x v="4"/>
    <n v="3"/>
    <n v="18"/>
    <n v="9"/>
    <x v="5"/>
    <n v="16"/>
    <n v="1"/>
    <n v="6"/>
    <n v="2"/>
    <n v="7"/>
    <n v="15"/>
    <n v="2"/>
    <n v="7"/>
    <n v="1"/>
    <n v="1"/>
    <x v="0"/>
    <x v="0"/>
    <n v="1"/>
    <x v="0"/>
    <s v="0.79"/>
    <n v="0"/>
  </r>
  <r>
    <n v="2024"/>
    <d v="2024-09-30T00:00:00"/>
    <n v="28"/>
    <n v="30022"/>
    <n v="78838"/>
    <x v="0"/>
    <n v="0.38080621020320149"/>
    <s v="Flamengo"/>
    <s v="Athletico-PR"/>
    <n v="4"/>
    <s v="1-5 (elite)"/>
    <n v="11"/>
    <n v="7"/>
    <n v="8040"/>
    <x v="3"/>
    <n v="3570"/>
    <s v="26.8"/>
    <s v="25.7"/>
    <n v="1"/>
    <n v="0"/>
    <n v="0"/>
    <n v="0"/>
    <x v="0"/>
    <n v="1"/>
    <n v="12"/>
    <n v="13"/>
    <x v="0"/>
    <n v="12"/>
    <n v="1"/>
    <n v="3"/>
    <n v="2"/>
    <n v="3"/>
    <n v="17"/>
    <n v="7"/>
    <n v="3"/>
    <n v="3"/>
    <n v="1"/>
    <x v="0"/>
    <x v="0"/>
    <n v="1"/>
    <x v="0"/>
    <s v="0.7"/>
    <n v="0"/>
  </r>
  <r>
    <n v="2024"/>
    <d v="2024-10-04T00:00:00"/>
    <n v="29"/>
    <n v="30242"/>
    <n v="82238"/>
    <x v="0"/>
    <n v="0.36773754225540506"/>
    <s v="Fluminense"/>
    <s v="Cruzeiro"/>
    <n v="16"/>
    <s v="16-20 (rebaixamento)"/>
    <n v="8"/>
    <n v="-8"/>
    <n v="3585"/>
    <x v="0"/>
    <n v="4730"/>
    <s v="31.2"/>
    <s v="28.1"/>
    <n v="1"/>
    <n v="0"/>
    <n v="0"/>
    <n v="0"/>
    <x v="9"/>
    <n v="2"/>
    <n v="19"/>
    <n v="16"/>
    <x v="13"/>
    <n v="19"/>
    <n v="4"/>
    <n v="4"/>
    <n v="1"/>
    <n v="1"/>
    <n v="14"/>
    <n v="13"/>
    <n v="6"/>
    <n v="6"/>
    <n v="1"/>
    <x v="0"/>
    <x v="0"/>
    <n v="1"/>
    <x v="0"/>
    <s v="1.62"/>
    <n v="0"/>
  </r>
  <r>
    <n v="2024"/>
    <d v="2024-10-04T00:00:00"/>
    <n v="29"/>
    <n v="12343"/>
    <n v="19225"/>
    <x v="0"/>
    <n v="0.64202860858257482"/>
    <s v="CriciÃºma EC"/>
    <s v="AtlÃ©tico-GO"/>
    <n v="12"/>
    <s v="11-15 (mediano)"/>
    <n v="20"/>
    <n v="8"/>
    <n v="730"/>
    <x v="1"/>
    <n v="890"/>
    <s v="30.5"/>
    <s v="25.5"/>
    <n v="2"/>
    <n v="0"/>
    <n v="1"/>
    <n v="0"/>
    <x v="4"/>
    <n v="6"/>
    <n v="16"/>
    <n v="8"/>
    <x v="11"/>
    <n v="16"/>
    <n v="3"/>
    <n v="3"/>
    <n v="1"/>
    <n v="1"/>
    <n v="17"/>
    <n v="14"/>
    <n v="7"/>
    <n v="9"/>
    <n v="2"/>
    <x v="0"/>
    <x v="0"/>
    <n v="1"/>
    <x v="0"/>
    <s v="1.35"/>
    <n v="0"/>
  </r>
  <r>
    <n v="2024"/>
    <d v="2024-10-05T00:00:00"/>
    <n v="29"/>
    <n v="9989"/>
    <n v="15010"/>
    <x v="2"/>
    <n v="0.665489673550966"/>
    <s v="RB Bragantino"/>
    <s v="Palmeiras"/>
    <n v="14"/>
    <s v="11-15 (mediano)"/>
    <n v="2"/>
    <n v="-12"/>
    <n v="3300"/>
    <x v="2"/>
    <n v="9450"/>
    <s v="26.2"/>
    <s v="27.3"/>
    <n v="0"/>
    <n v="0"/>
    <n v="0"/>
    <n v="0"/>
    <x v="13"/>
    <n v="3"/>
    <n v="7"/>
    <n v="14"/>
    <x v="0"/>
    <n v="7"/>
    <n v="5"/>
    <n v="5"/>
    <n v="3"/>
    <n v="0"/>
    <n v="17"/>
    <n v="14"/>
    <n v="5"/>
    <n v="6"/>
    <n v="0"/>
    <x v="1"/>
    <x v="1"/>
    <n v="0"/>
    <x v="0"/>
    <s v="0.84"/>
    <n v="0"/>
  </r>
  <r>
    <n v="2024"/>
    <d v="2024-10-05T00:00:00"/>
    <n v="29"/>
    <n v="22204"/>
    <n v="60540"/>
    <x v="4"/>
    <n v="0.3667657746944169"/>
    <s v="GrÃªmio"/>
    <s v="Fortaleza"/>
    <n v="11"/>
    <s v="11-15 (mediano)"/>
    <n v="3"/>
    <n v="-8"/>
    <n v="3290"/>
    <x v="2"/>
    <n v="1960"/>
    <s v="29.1"/>
    <s v="29.8"/>
    <n v="3"/>
    <n v="1"/>
    <n v="1"/>
    <n v="1"/>
    <x v="11"/>
    <n v="2"/>
    <n v="11"/>
    <n v="9"/>
    <x v="5"/>
    <n v="10"/>
    <n v="4"/>
    <n v="2"/>
    <n v="2"/>
    <n v="1"/>
    <n v="16"/>
    <n v="7"/>
    <n v="5"/>
    <n v="2"/>
    <n v="2"/>
    <x v="0"/>
    <x v="0"/>
    <n v="1"/>
    <x v="0"/>
    <s v="1.69"/>
    <n v="0"/>
  </r>
  <r>
    <n v="2024"/>
    <d v="2024-10-05T00:00:00"/>
    <n v="29"/>
    <n v="22726"/>
    <n v="42372"/>
    <x v="1"/>
    <n v="0.53634475597092424"/>
    <s v="Athletico-PR"/>
    <s v="Botafogo"/>
    <n v="13"/>
    <s v="11-15 (mediano)"/>
    <n v="1"/>
    <n v="-12"/>
    <n v="3180"/>
    <x v="2"/>
    <n v="8000"/>
    <s v="26.1"/>
    <n v="28"/>
    <n v="0"/>
    <n v="1"/>
    <n v="0"/>
    <n v="1"/>
    <x v="8"/>
    <n v="3"/>
    <n v="8"/>
    <n v="20"/>
    <x v="3"/>
    <n v="8"/>
    <n v="2"/>
    <n v="3"/>
    <n v="0"/>
    <n v="2"/>
    <n v="26"/>
    <n v="11"/>
    <n v="14"/>
    <n v="5"/>
    <n v="-1"/>
    <x v="1"/>
    <x v="0"/>
    <n v="0"/>
    <x v="1"/>
    <s v="1.6"/>
    <n v="0"/>
  </r>
  <r>
    <n v="2024"/>
    <d v="2024-10-05T00:00:00"/>
    <n v="29"/>
    <n v="34910"/>
    <n v="46000"/>
    <x v="1"/>
    <n v="0.75891304347826083"/>
    <s v="AtlÃ©tico-MG"/>
    <s v="EC VitÃ³ria"/>
    <n v="10"/>
    <s v="6-10 (intermediário)"/>
    <n v="17"/>
    <n v="7"/>
    <n v="3510"/>
    <x v="0"/>
    <n v="1500"/>
    <s v="28.5"/>
    <s v="27.7"/>
    <n v="2"/>
    <n v="2"/>
    <n v="2"/>
    <n v="0"/>
    <x v="9"/>
    <n v="5"/>
    <n v="13"/>
    <n v="14"/>
    <x v="4"/>
    <n v="12"/>
    <n v="1"/>
    <n v="1"/>
    <n v="1"/>
    <n v="3"/>
    <n v="14"/>
    <n v="9"/>
    <n v="8"/>
    <n v="5"/>
    <n v="0"/>
    <x v="1"/>
    <x v="1"/>
    <n v="0"/>
    <x v="0"/>
    <s v="1.00"/>
    <n v="1"/>
  </r>
  <r>
    <n v="2024"/>
    <d v="2024-10-06T00:00:00"/>
    <n v="29"/>
    <n v="44866"/>
    <n v="49205"/>
    <x v="0"/>
    <n v="0.91181790468448332"/>
    <s v="Corinthians"/>
    <s v="Internacional"/>
    <n v="18"/>
    <s v="16-20 (rebaixamento)"/>
    <n v="6"/>
    <n v="-12"/>
    <n v="5250"/>
    <x v="0"/>
    <n v="3890"/>
    <s v="26.9"/>
    <s v="26.5"/>
    <n v="2"/>
    <n v="2"/>
    <n v="1"/>
    <n v="1"/>
    <x v="7"/>
    <n v="9"/>
    <n v="11"/>
    <n v="14"/>
    <x v="6"/>
    <n v="11"/>
    <n v="0"/>
    <n v="4"/>
    <n v="3"/>
    <n v="0"/>
    <n v="15"/>
    <n v="9"/>
    <n v="6"/>
    <n v="2"/>
    <n v="0"/>
    <x v="1"/>
    <x v="1"/>
    <n v="0"/>
    <x v="0"/>
    <s v="1.96"/>
    <n v="0"/>
  </r>
  <r>
    <n v="2024"/>
    <d v="2024-10-06T00:00:00"/>
    <n v="29"/>
    <n v="11883"/>
    <n v="42968"/>
    <x v="0"/>
    <n v="0.27655464531744556"/>
    <s v="CuiabÃ¡-MT"/>
    <s v="SÃ£o Paulo"/>
    <n v="19"/>
    <s v="16-20 (rebaixamento)"/>
    <n v="5"/>
    <n v="-14"/>
    <n v="1750"/>
    <x v="2"/>
    <n v="2175"/>
    <s v="29.6"/>
    <s v="31.4"/>
    <n v="2"/>
    <n v="0"/>
    <n v="2"/>
    <n v="0"/>
    <x v="6"/>
    <n v="7"/>
    <n v="12"/>
    <n v="8"/>
    <x v="16"/>
    <n v="11"/>
    <n v="3"/>
    <n v="1"/>
    <n v="1"/>
    <n v="1"/>
    <n v="7"/>
    <n v="12"/>
    <n v="1"/>
    <n v="7"/>
    <n v="2"/>
    <x v="0"/>
    <x v="0"/>
    <n v="1"/>
    <x v="0"/>
    <s v="0.9"/>
    <n v="0"/>
  </r>
  <r>
    <n v="2024"/>
    <d v="2024-10-06T00:00:00"/>
    <n v="29"/>
    <n v="18036"/>
    <n v="24584"/>
    <x v="2"/>
    <n v="0.73364790107386924"/>
    <s v="Vasco da Gama"/>
    <s v="Juventude"/>
    <n v="9"/>
    <s v="6-10 (intermediário)"/>
    <n v="15"/>
    <n v="6"/>
    <n v="3300"/>
    <x v="2"/>
    <n v="920"/>
    <n v="29"/>
    <s v="28.8"/>
    <n v="1"/>
    <n v="1"/>
    <n v="1"/>
    <n v="1"/>
    <x v="6"/>
    <n v="6"/>
    <n v="14"/>
    <n v="13"/>
    <x v="0"/>
    <n v="14"/>
    <n v="4"/>
    <n v="2"/>
    <n v="3"/>
    <n v="1"/>
    <n v="16"/>
    <n v="17"/>
    <n v="6"/>
    <n v="7"/>
    <n v="0"/>
    <x v="1"/>
    <x v="1"/>
    <n v="0"/>
    <x v="0"/>
    <s v="1.24"/>
    <n v="1"/>
  </r>
  <r>
    <n v="2024"/>
    <d v="2024-10-06T00:00:00"/>
    <n v="29"/>
    <n v="43433"/>
    <n v="47364"/>
    <x v="3"/>
    <n v="0.91700447597331303"/>
    <s v="EC Bahia"/>
    <s v="Flamengo"/>
    <n v="7"/>
    <s v="6-10 (intermediário)"/>
    <n v="4"/>
    <n v="-3"/>
    <n v="3735"/>
    <x v="0"/>
    <n v="9980"/>
    <s v="28.5"/>
    <s v="28.4"/>
    <n v="0"/>
    <n v="2"/>
    <n v="0"/>
    <n v="1"/>
    <x v="6"/>
    <n v="7"/>
    <n v="20"/>
    <n v="11"/>
    <x v="2"/>
    <n v="20"/>
    <n v="4"/>
    <n v="2"/>
    <n v="3"/>
    <n v="4"/>
    <n v="9"/>
    <n v="13"/>
    <n v="5"/>
    <n v="4"/>
    <n v="-2"/>
    <x v="1"/>
    <x v="0"/>
    <n v="0"/>
    <x v="1"/>
    <s v="0.8"/>
    <n v="1"/>
  </r>
  <r>
    <n v="2024"/>
    <d v="2024-10-17T00:00:00"/>
    <n v="30"/>
    <n v="15497"/>
    <n v="32039"/>
    <x v="0"/>
    <n v="0.48369175067886017"/>
    <s v="SÃ£o Paulo"/>
    <s v="Vasco da Gama"/>
    <n v="5"/>
    <s v="1-5 (elite)"/>
    <n v="10"/>
    <n v="5"/>
    <n v="2685"/>
    <x v="2"/>
    <n v="3380"/>
    <s v="29.4"/>
    <s v="29.4"/>
    <n v="3"/>
    <n v="0"/>
    <n v="1"/>
    <n v="0"/>
    <x v="6"/>
    <n v="5"/>
    <n v="8"/>
    <n v="6"/>
    <x v="15"/>
    <n v="8"/>
    <n v="3"/>
    <n v="4"/>
    <n v="1"/>
    <n v="1"/>
    <n v="14"/>
    <n v="9"/>
    <n v="6"/>
    <n v="4"/>
    <n v="3"/>
    <x v="0"/>
    <x v="0"/>
    <n v="1"/>
    <x v="0"/>
    <s v="1.31"/>
    <n v="0"/>
  </r>
  <r>
    <n v="2024"/>
    <d v="2024-10-17T00:00:00"/>
    <n v="30"/>
    <n v="23046"/>
    <n v="60326"/>
    <x v="3"/>
    <n v="0.38202433444949108"/>
    <s v="Fortaleza"/>
    <s v="AtlÃ©tico-MG"/>
    <n v="3"/>
    <s v="1-5 (elite)"/>
    <n v="9"/>
    <n v="6"/>
    <n v="1260"/>
    <x v="1"/>
    <n v="2350"/>
    <s v="31.6"/>
    <s v="27.8"/>
    <n v="1"/>
    <n v="1"/>
    <n v="1"/>
    <n v="0"/>
    <x v="4"/>
    <n v="3"/>
    <n v="9"/>
    <n v="10"/>
    <x v="7"/>
    <n v="9"/>
    <n v="4"/>
    <n v="0"/>
    <n v="0"/>
    <n v="3"/>
    <n v="14"/>
    <n v="18"/>
    <n v="8"/>
    <n v="9"/>
    <n v="0"/>
    <x v="1"/>
    <x v="1"/>
    <n v="0"/>
    <x v="0"/>
    <s v="0.69"/>
    <n v="1"/>
  </r>
  <r>
    <n v="2024"/>
    <d v="2024-10-18T00:00:00"/>
    <n v="30"/>
    <n v="58117"/>
    <n v="78838"/>
    <x v="1"/>
    <n v="0.7371698926913417"/>
    <s v="Flamengo"/>
    <s v="Fluminense"/>
    <n v="4"/>
    <s v="1-5 (elite)"/>
    <n v="11"/>
    <n v="7"/>
    <n v="7780"/>
    <x v="3"/>
    <n v="3075"/>
    <s v="26.8"/>
    <s v="29.8"/>
    <n v="0"/>
    <n v="2"/>
    <n v="0"/>
    <n v="0"/>
    <x v="10"/>
    <n v="1"/>
    <n v="15"/>
    <n v="15"/>
    <x v="4"/>
    <n v="15"/>
    <n v="1"/>
    <n v="5"/>
    <n v="3"/>
    <n v="1"/>
    <n v="20"/>
    <n v="12"/>
    <n v="7"/>
    <n v="3"/>
    <n v="-2"/>
    <x v="1"/>
    <x v="0"/>
    <n v="0"/>
    <x v="1"/>
    <s v="1.53"/>
    <n v="0"/>
  </r>
  <r>
    <n v="2024"/>
    <d v="2024-10-18T00:00:00"/>
    <n v="30"/>
    <n v="44399"/>
    <n v="49205"/>
    <x v="0"/>
    <n v="0.9023269992886902"/>
    <s v="Corinthians"/>
    <s v="Athletico-PR"/>
    <n v="18"/>
    <s v="16-20 (rebaixamento)"/>
    <n v="14"/>
    <n v="-4"/>
    <n v="5400"/>
    <x v="0"/>
    <n v="2280"/>
    <s v="27.1"/>
    <s v="27.3"/>
    <n v="5"/>
    <n v="2"/>
    <n v="2"/>
    <n v="2"/>
    <x v="6"/>
    <n v="8"/>
    <n v="9"/>
    <n v="7"/>
    <x v="14"/>
    <n v="6"/>
    <n v="4"/>
    <n v="4"/>
    <n v="0"/>
    <n v="2"/>
    <n v="14"/>
    <n v="22"/>
    <n v="4"/>
    <n v="12"/>
    <n v="3"/>
    <x v="0"/>
    <x v="0"/>
    <n v="1"/>
    <x v="0"/>
    <s v="1.9"/>
    <n v="0"/>
  </r>
  <r>
    <n v="2024"/>
    <d v="2024-10-19T00:00:00"/>
    <n v="30"/>
    <n v="25189"/>
    <n v="30618"/>
    <x v="0"/>
    <n v="0.82268600169834738"/>
    <s v="EC VitÃ³ria"/>
    <s v="RB Bragantino"/>
    <n v="17"/>
    <s v="16-20 (rebaixamento)"/>
    <n v="15"/>
    <n v="-2"/>
    <n v="1285"/>
    <x v="1"/>
    <n v="3720"/>
    <n v="28"/>
    <s v="25.9"/>
    <n v="1"/>
    <n v="0"/>
    <n v="0"/>
    <n v="0"/>
    <x v="10"/>
    <n v="5"/>
    <n v="15"/>
    <n v="8"/>
    <x v="16"/>
    <n v="14"/>
    <n v="0"/>
    <n v="2"/>
    <n v="2"/>
    <n v="0"/>
    <n v="11"/>
    <n v="9"/>
    <n v="5"/>
    <n v="7"/>
    <n v="1"/>
    <x v="0"/>
    <x v="0"/>
    <n v="1"/>
    <x v="0"/>
    <s v="1.16"/>
    <n v="0"/>
  </r>
  <r>
    <n v="2024"/>
    <d v="2024-10-19T00:00:00"/>
    <n v="30"/>
    <n v="3622"/>
    <n v="13000"/>
    <x v="1"/>
    <n v="0.2786153846153846"/>
    <s v="AtlÃ©tico-GO"/>
    <s v="CuiabÃ¡-MT"/>
    <n v="20"/>
    <s v="16-20 (rebaixamento)"/>
    <n v="19"/>
    <n v="-1"/>
    <n v="970"/>
    <x v="1"/>
    <n v="1615"/>
    <s v="26.6"/>
    <s v="29.2"/>
    <n v="0"/>
    <n v="0"/>
    <n v="0"/>
    <n v="0"/>
    <x v="8"/>
    <n v="4"/>
    <n v="17"/>
    <n v="15"/>
    <x v="4"/>
    <n v="16"/>
    <n v="0"/>
    <n v="4"/>
    <n v="0"/>
    <n v="1"/>
    <n v="16"/>
    <n v="6"/>
    <n v="7"/>
    <n v="2"/>
    <n v="0"/>
    <x v="1"/>
    <x v="1"/>
    <n v="0"/>
    <x v="0"/>
    <s v="1.16"/>
    <n v="0"/>
  </r>
  <r>
    <n v="2024"/>
    <d v="2024-10-19T00:00:00"/>
    <n v="30"/>
    <n v="48049"/>
    <n v="50848"/>
    <x v="5"/>
    <n v="0.94495358716173694"/>
    <s v="Internacional"/>
    <s v="GrÃªmio"/>
    <n v="6"/>
    <s v="6-10 (intermediário)"/>
    <n v="13"/>
    <n v="7"/>
    <n v="3890"/>
    <x v="0"/>
    <n v="4010"/>
    <s v="26.7"/>
    <s v="29.8"/>
    <n v="1"/>
    <n v="0"/>
    <n v="0"/>
    <n v="0"/>
    <x v="6"/>
    <n v="6"/>
    <n v="14"/>
    <n v="15"/>
    <x v="4"/>
    <n v="14"/>
    <n v="7"/>
    <n v="5"/>
    <n v="1"/>
    <n v="1"/>
    <n v="18"/>
    <n v="9"/>
    <n v="6"/>
    <n v="1"/>
    <n v="1"/>
    <x v="0"/>
    <x v="0"/>
    <n v="1"/>
    <x v="0"/>
    <s v="1.84"/>
    <n v="0"/>
  </r>
  <r>
    <n v="2024"/>
    <d v="2024-10-19T00:00:00"/>
    <n v="30"/>
    <n v="64727"/>
    <n v="76931"/>
    <x v="0"/>
    <n v="0.84136433947303424"/>
    <s v="Botafogo"/>
    <s v="CriciÃºma EC"/>
    <n v="1"/>
    <s v="1-5 (elite)"/>
    <n v="12"/>
    <n v="11"/>
    <n v="8300"/>
    <x v="3"/>
    <n v="940"/>
    <s v="27.4"/>
    <s v="30.8"/>
    <n v="1"/>
    <n v="1"/>
    <n v="0"/>
    <n v="0"/>
    <x v="7"/>
    <n v="1"/>
    <n v="12"/>
    <n v="10"/>
    <x v="5"/>
    <n v="11"/>
    <n v="2"/>
    <n v="6"/>
    <n v="1"/>
    <n v="2"/>
    <n v="25"/>
    <n v="6"/>
    <n v="8"/>
    <n v="3"/>
    <n v="0"/>
    <x v="1"/>
    <x v="1"/>
    <n v="0"/>
    <x v="0"/>
    <s v="2.5"/>
    <n v="0"/>
  </r>
  <r>
    <n v="2024"/>
    <d v="2024-10-19T00:00:00"/>
    <n v="30"/>
    <n v="34473"/>
    <n v="61927"/>
    <x v="0"/>
    <n v="0.55667156490706804"/>
    <s v="Cruzeiro"/>
    <s v="EC Bahia"/>
    <n v="8"/>
    <s v="6-10 (intermediário)"/>
    <n v="7"/>
    <n v="-1"/>
    <n v="4910"/>
    <x v="0"/>
    <n v="3545"/>
    <s v="27.9"/>
    <s v="28.5"/>
    <n v="1"/>
    <n v="1"/>
    <n v="0"/>
    <n v="0"/>
    <x v="10"/>
    <n v="7"/>
    <n v="10"/>
    <n v="8"/>
    <x v="16"/>
    <n v="9"/>
    <n v="3"/>
    <n v="2"/>
    <n v="2"/>
    <n v="5"/>
    <n v="11"/>
    <n v="10"/>
    <n v="7"/>
    <n v="6"/>
    <n v="0"/>
    <x v="1"/>
    <x v="1"/>
    <n v="0"/>
    <x v="0"/>
    <s v="1.23"/>
    <n v="0"/>
  </r>
  <r>
    <n v="2024"/>
    <d v="2024-10-21T00:00:00"/>
    <n v="30"/>
    <n v="10102"/>
    <n v="23726"/>
    <x v="0"/>
    <n v="0.42577762791873891"/>
    <s v="Juventude"/>
    <s v="Palmeiras"/>
    <n v="16"/>
    <s v="16-20 (rebaixamento)"/>
    <n v="2"/>
    <n v="-14"/>
    <n v="930"/>
    <x v="1"/>
    <n v="11600"/>
    <s v="27.8"/>
    <s v="27.4"/>
    <n v="3"/>
    <n v="5"/>
    <n v="1"/>
    <n v="2"/>
    <x v="4"/>
    <n v="5"/>
    <n v="15"/>
    <n v="19"/>
    <x v="10"/>
    <n v="14"/>
    <n v="2"/>
    <n v="3"/>
    <n v="1"/>
    <n v="5"/>
    <n v="25"/>
    <n v="14"/>
    <n v="13"/>
    <n v="2"/>
    <n v="-2"/>
    <x v="1"/>
    <x v="0"/>
    <n v="0"/>
    <x v="1"/>
    <s v="2.1"/>
    <n v="0"/>
  </r>
  <r>
    <n v="2024"/>
    <d v="2024-10-26T00:00:00"/>
    <n v="31"/>
    <n v="36959"/>
    <n v="60540"/>
    <x v="2"/>
    <n v="0.61048893293690121"/>
    <s v="GrÃªmio"/>
    <s v="AtlÃ©tico-GO"/>
    <n v="11"/>
    <s v="11-15 (mediano)"/>
    <n v="20"/>
    <n v="9"/>
    <n v="4420"/>
    <x v="0"/>
    <n v="1000"/>
    <s v="29.2"/>
    <s v="27.3"/>
    <n v="3"/>
    <n v="1"/>
    <n v="1"/>
    <n v="1"/>
    <x v="5"/>
    <n v="3"/>
    <n v="14"/>
    <n v="18"/>
    <x v="10"/>
    <n v="13"/>
    <n v="4"/>
    <n v="3"/>
    <n v="0"/>
    <n v="0"/>
    <n v="11"/>
    <n v="13"/>
    <n v="3"/>
    <n v="4"/>
    <n v="2"/>
    <x v="0"/>
    <x v="0"/>
    <n v="1"/>
    <x v="0"/>
    <s v="1.97"/>
    <n v="0"/>
  </r>
  <r>
    <n v="2024"/>
    <d v="2024-10-26T00:00:00"/>
    <n v="31"/>
    <n v="40321"/>
    <n v="43713"/>
    <x v="0"/>
    <n v="0.92240294649189025"/>
    <s v="Palmeiras"/>
    <s v="Fortaleza"/>
    <n v="2"/>
    <s v="1-5 (elite)"/>
    <n v="3"/>
    <n v="1"/>
    <n v="11300"/>
    <x v="3"/>
    <n v="1655"/>
    <s v="27.6"/>
    <s v="30.5"/>
    <n v="2"/>
    <n v="2"/>
    <n v="1"/>
    <n v="1"/>
    <x v="6"/>
    <n v="3"/>
    <n v="9"/>
    <n v="17"/>
    <x v="1"/>
    <n v="9"/>
    <n v="1"/>
    <n v="4"/>
    <n v="0"/>
    <n v="0"/>
    <n v="16"/>
    <n v="11"/>
    <n v="5"/>
    <n v="6"/>
    <n v="0"/>
    <x v="1"/>
    <x v="1"/>
    <n v="0"/>
    <x v="0"/>
    <s v="3.72"/>
    <n v="0"/>
  </r>
  <r>
    <n v="2024"/>
    <d v="2024-10-26T00:00:00"/>
    <n v="31"/>
    <n v="35959"/>
    <n v="42372"/>
    <x v="0"/>
    <n v="0.84865005192108001"/>
    <s v="Athletico-PR"/>
    <s v="Cruzeiro"/>
    <n v="12"/>
    <s v="11-15 (mediano)"/>
    <n v="8"/>
    <n v="-4"/>
    <n v="1465"/>
    <x v="1"/>
    <n v="1740"/>
    <s v="26.7"/>
    <s v="26.9"/>
    <n v="3"/>
    <n v="0"/>
    <n v="1"/>
    <n v="0"/>
    <x v="4"/>
    <n v="1"/>
    <n v="14"/>
    <n v="14"/>
    <x v="0"/>
    <n v="14"/>
    <n v="0"/>
    <n v="3"/>
    <n v="0"/>
    <n v="0"/>
    <n v="19"/>
    <n v="2"/>
    <n v="8"/>
    <n v="2"/>
    <n v="3"/>
    <x v="0"/>
    <x v="0"/>
    <n v="1"/>
    <x v="0"/>
    <s v="1.39"/>
    <n v="0"/>
  </r>
  <r>
    <n v="2024"/>
    <d v="2024-10-26T00:00:00"/>
    <n v="31"/>
    <n v="65700"/>
    <n v="78838"/>
    <x v="0"/>
    <n v="0.83335447373094196"/>
    <s v="Flamengo"/>
    <s v="Juventude"/>
    <n v="4"/>
    <s v="1-5 (elite)"/>
    <n v="18"/>
    <n v="14"/>
    <n v="8900"/>
    <x v="3"/>
    <n v="815"/>
    <s v="27.5"/>
    <s v="28.4"/>
    <n v="4"/>
    <n v="2"/>
    <n v="1"/>
    <n v="1"/>
    <x v="8"/>
    <n v="1"/>
    <n v="8"/>
    <n v="14"/>
    <x v="0"/>
    <n v="8"/>
    <n v="1"/>
    <n v="6"/>
    <n v="2"/>
    <n v="1"/>
    <n v="20"/>
    <n v="5"/>
    <n v="7"/>
    <n v="2"/>
    <n v="2"/>
    <x v="0"/>
    <x v="0"/>
    <n v="1"/>
    <x v="0"/>
    <s v="2.53"/>
    <n v="0"/>
  </r>
  <r>
    <n v="2024"/>
    <d v="2024-10-26T00:00:00"/>
    <n v="31"/>
    <n v="29497"/>
    <n v="30618"/>
    <x v="0"/>
    <n v="0.9633875498073029"/>
    <s v="EC VitÃ³ria"/>
    <s v="Fluminense"/>
    <n v="15"/>
    <s v="11-15 (mediano)"/>
    <n v="14"/>
    <n v="-1"/>
    <n v="1205"/>
    <x v="1"/>
    <n v="3735"/>
    <s v="28.4"/>
    <s v="30.3"/>
    <n v="2"/>
    <n v="1"/>
    <n v="1"/>
    <n v="0"/>
    <x v="4"/>
    <n v="5"/>
    <n v="15"/>
    <n v="7"/>
    <x v="14"/>
    <n v="15"/>
    <n v="4"/>
    <n v="1"/>
    <n v="2"/>
    <n v="2"/>
    <n v="12"/>
    <n v="11"/>
    <n v="5"/>
    <n v="3"/>
    <n v="1"/>
    <x v="0"/>
    <x v="0"/>
    <n v="1"/>
    <x v="0"/>
    <s v="1.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B3A61-3D10-4BE9-9CBE-C5E721CCAA97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1" firstHeaderRow="1" firstDataRow="2" firstDataCol="1"/>
  <pivotFields count="4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7">
        <item x="0"/>
        <item x="5"/>
        <item x="2"/>
        <item x="3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7"/>
  </colFields>
  <colItems count="3">
    <i>
      <x/>
    </i>
    <i>
      <x v="1"/>
    </i>
    <i t="grand">
      <x/>
    </i>
  </colItems>
  <dataFields count="1">
    <dataField name="Contagem de faix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4808A-BB48-4E26-95D2-17327E99E968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2:A39" firstHeaderRow="1" firstDataRow="1" firstDataCol="1"/>
  <pivotFields count="4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5"/>
        <item x="2"/>
        <item x="3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0941C-DE75-4F07-A8E7-DA56A3B7BAB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7:D19" firstHeaderRow="1" firstDataRow="2" firstDataCol="1"/>
  <pivotFields count="4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37"/>
  </colFields>
  <colItems count="3">
    <i>
      <x/>
    </i>
    <i>
      <x v="1"/>
    </i>
    <i t="grand">
      <x/>
    </i>
  </colItems>
  <dataFields count="1">
    <dataField name="Soma de vitoria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17FAC-FA42-4862-8D01-18EDA7AD9D8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3:D19" firstHeaderRow="1" firstDataRow="2" firstDataCol="1"/>
  <pivotFields count="4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37"/>
  </colFields>
  <colItems count="3">
    <i>
      <x/>
    </i>
    <i>
      <x v="1"/>
    </i>
    <i t="grand">
      <x/>
    </i>
  </colItems>
  <dataFields count="1">
    <dataField name="Contagem de faixa valor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36A99-E40C-4470-9E94-865C31606920}" name="Tabela dinâmica4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A4" firstHeaderRow="1" firstDataRow="1" firstDataCol="0"/>
  <pivotFields count="4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oma de vitoria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028D4-7091-4214-B551-206B637CB286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J22" firstHeaderRow="1" firstDataRow="4" firstDataCol="1"/>
  <pivotFields count="4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6">
        <item x="1"/>
        <item x="13"/>
        <item x="9"/>
        <item x="6"/>
        <item x="5"/>
        <item x="10"/>
        <item x="0"/>
        <item x="4"/>
        <item x="8"/>
        <item x="7"/>
        <item x="11"/>
        <item x="3"/>
        <item x="12"/>
        <item x="2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3">
    <field x="37"/>
    <field x="38"/>
    <field x="40"/>
  </colFields>
  <colItems count="9">
    <i>
      <x/>
      <x/>
      <x v="1"/>
    </i>
    <i t="default" r="1">
      <x/>
    </i>
    <i r="1">
      <x v="1"/>
      <x/>
    </i>
    <i t="default" r="1">
      <x v="1"/>
    </i>
    <i t="default">
      <x/>
    </i>
    <i>
      <x v="1"/>
      <x/>
      <x/>
    </i>
    <i t="default" r="1">
      <x/>
    </i>
    <i t="default">
      <x v="1"/>
    </i>
    <i t="grand">
      <x/>
    </i>
  </colItems>
  <dataFields count="1">
    <dataField name="Contagem de escanteios_mandante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A37BD-83FE-462D-A9F6-9FC52353E78F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6:B55" firstHeaderRow="1" firstDataRow="1" firstDataCol="1"/>
  <pivotFields count="4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9">
        <item x="17"/>
        <item x="11"/>
        <item x="15"/>
        <item x="14"/>
        <item x="16"/>
        <item x="5"/>
        <item x="7"/>
        <item x="2"/>
        <item x="6"/>
        <item x="0"/>
        <item x="4"/>
        <item x="1"/>
        <item x="13"/>
        <item x="12"/>
        <item x="10"/>
        <item x="3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oma de chutes_bola_parada_mandante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267D2-7418-4F47-8967-FAD8F05D2166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M3:V22" firstHeaderRow="1" firstDataRow="4" firstDataCol="1"/>
  <pivotFields count="4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6">
        <item x="1"/>
        <item x="13"/>
        <item x="9"/>
        <item x="6"/>
        <item x="5"/>
        <item x="10"/>
        <item x="0"/>
        <item x="4"/>
        <item x="8"/>
        <item x="7"/>
        <item x="11"/>
        <item x="3"/>
        <item x="12"/>
        <item x="2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3">
    <field x="37"/>
    <field x="38"/>
    <field x="40"/>
  </colFields>
  <colItems count="9">
    <i>
      <x/>
      <x/>
      <x v="1"/>
    </i>
    <i t="default" r="1">
      <x/>
    </i>
    <i r="1">
      <x v="1"/>
      <x/>
    </i>
    <i t="default" r="1">
      <x v="1"/>
    </i>
    <i t="default">
      <x/>
    </i>
    <i>
      <x v="1"/>
      <x/>
      <x/>
    </i>
    <i t="default" r="1">
      <x/>
    </i>
    <i t="default">
      <x v="1"/>
    </i>
    <i t="grand">
      <x/>
    </i>
  </colItems>
  <dataFields count="1">
    <dataField name="Soma de escanteios_mandant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2587E-78AD-4FC8-AB51-2DB1F2E095CF}" name="Tabela1" displayName="Tabela1" ref="A1:AK2088" totalsRowShown="0">
  <autoFilter ref="A1:AK2088" xr:uid="{C352587E-78AD-4FC8-AB51-2DB1F2E095CF}">
    <filterColumn colId="0">
      <filters>
        <filter val="2024"/>
      </filters>
    </filterColumn>
    <filterColumn colId="4">
      <filters>
        <filter val="13000"/>
        <filter val="15010"/>
        <filter val="19225"/>
        <filter val="19848"/>
        <filter val="20326"/>
        <filter val="21150"/>
        <filter val="21238"/>
        <filter val="21540"/>
        <filter val="23726"/>
        <filter val="24584"/>
        <filter val="30618"/>
        <filter val="32039"/>
        <filter val="32713"/>
        <filter val="42372"/>
        <filter val="42968"/>
        <filter val="43713"/>
        <filter val="44584"/>
        <filter val="46000"/>
        <filter val="46931"/>
        <filter val="47364"/>
        <filter val="49205"/>
        <filter val="50000"/>
        <filter val="50848"/>
        <filter val="60326"/>
        <filter val="60540"/>
        <filter val="61927"/>
        <filter val="72039"/>
        <filter val="72788"/>
        <filter val="76931"/>
        <filter val="78584"/>
        <filter val="78838"/>
        <filter val="82238"/>
      </filters>
    </filterColumn>
  </autoFilter>
  <sortState xmlns:xlrd2="http://schemas.microsoft.com/office/spreadsheetml/2017/richdata2" ref="A2:AK2088">
    <sortCondition ref="C1:C2088"/>
  </sortState>
  <tableColumns count="37">
    <tableColumn id="1" xr3:uid="{36AFA56B-9180-461E-8354-CDBE02D2C402}" name="ano_campeonato"/>
    <tableColumn id="2" xr3:uid="{5B1EA345-05CB-41F7-B095-2EFA3E46B2E7}" name="data" dataDxfId="91"/>
    <tableColumn id="3" xr3:uid="{9932BAE9-A979-427A-888B-B762BE6643D8}" name="rodada"/>
    <tableColumn id="4" xr3:uid="{B7CD5584-C2E2-4261-B676-AB076A4614B6}" name="publico"/>
    <tableColumn id="5" xr3:uid="{EE17B174-A71F-476B-9606-689E567CDA14}" name="publico_max"/>
    <tableColumn id="6" xr3:uid="{C45B2D68-5903-4324-85FD-D89059547DF5}" name="time_mandante"/>
    <tableColumn id="7" xr3:uid="{56D70D94-539E-43F5-B463-BF05B6A32BD2}" name="time_visitante"/>
    <tableColumn id="8" xr3:uid="{AD2EDC49-95A6-4FE9-B983-E628E1302899}" name="tecnico_mandante"/>
    <tableColumn id="9" xr3:uid="{0D47160A-E32B-4A88-8D1C-8F736FE3A229}" name="tecnico_visitante"/>
    <tableColumn id="10" xr3:uid="{B36453B4-4770-4FC4-A481-BB16CED5E2E0}" name="colocacao_mandante"/>
    <tableColumn id="11" xr3:uid="{8CCA1485-CC51-49F3-A258-5AD17A43ABDD}" name="colocacao_visitante"/>
    <tableColumn id="12" xr3:uid="{D04FE6D4-3164-4BA0-9813-CEC6C0ADFC2B}" name="valor_equipe_titular_mandante"/>
    <tableColumn id="13" xr3:uid="{4A9FE9EC-53D8-4B07-9C5C-1BBD60262F8C}" name="valor_equipe_titular_visitante"/>
    <tableColumn id="14" xr3:uid="{97F7BD6D-CAF6-44F0-8017-FABE2942BE9E}" name="idade_media_titular_mandante"/>
    <tableColumn id="15" xr3:uid="{2B3E4D6B-8F24-4DB4-877A-F3A2C6A8496E}" name="idade_media_titular_visitante"/>
    <tableColumn id="16" xr3:uid="{A96C6179-0AAA-4770-B553-B3E484E46AE0}" name="gols_mandante"/>
    <tableColumn id="17" xr3:uid="{091F3C43-0572-4BED-B41D-2306C30FF93B}" name="gols_visitante"/>
    <tableColumn id="18" xr3:uid="{CD544960-5F31-4EEB-AF54-CFDFEC294F44}" name="gols_1_tempo_mandante"/>
    <tableColumn id="19" xr3:uid="{C69144A6-93F2-478A-A742-BB7106D46524}" name="gols_1_tempo_visitante"/>
    <tableColumn id="20" xr3:uid="{BFE5492F-F7E9-41F6-AFDE-4F437160BF7F}" name="escanteios_mandante"/>
    <tableColumn id="21" xr3:uid="{DECECE5A-708A-449F-938F-434080EA5FE9}" name="escanteios_visitante"/>
    <tableColumn id="22" xr3:uid="{7AF40558-4762-4C57-AEA1-F570B246BFB6}" name="faltas_mandante"/>
    <tableColumn id="23" xr3:uid="{718F8D50-EC92-4D24-B11D-CA9099D77DA0}" name="faltas_visitante"/>
    <tableColumn id="24" xr3:uid="{8A082E35-0A20-4EDD-9304-50ED206154D7}" name="chutes_bola_parada_mandante"/>
    <tableColumn id="25" xr3:uid="{A0CEEE24-DE20-42E7-8F3D-FA2B0666CBDF}" name="chutes_bola_parada_visitante"/>
    <tableColumn id="26" xr3:uid="{F183EA2D-7D26-4785-863F-DF627F54FA65}" name="defesas_mandante"/>
    <tableColumn id="27" xr3:uid="{58F3FFED-AF0A-4A13-BCBE-A5EF952B8D0D}" name="defesas_visitante"/>
    <tableColumn id="28" xr3:uid="{F88FF4AD-CE4B-449C-90C9-5AAB56CE4043}" name="impedimentos_mandante"/>
    <tableColumn id="29" xr3:uid="{E15E51AB-B2B6-4F0F-A29F-84DD7EC5D9CB}" name="impedimentos_visitante"/>
    <tableColumn id="30" xr3:uid="{C8E29B74-B109-441B-B543-778235DB4D65}" name="chutes_mandante"/>
    <tableColumn id="31" xr3:uid="{B6561025-0A3D-4266-8FA5-088C97EA5269}" name="chutes_visitante"/>
    <tableColumn id="32" xr3:uid="{B8642131-75E6-4EFC-A1B1-84EAA59361C9}" name="chutes_fora_mandante"/>
    <tableColumn id="33" xr3:uid="{0197496A-ED7E-4F19-B35C-4D0E0CF5CE9A}" name="chutes_fora_visitante"/>
    <tableColumn id="34" xr3:uid="{C5FF77BF-93F2-4300-B16A-3D8D00B7F5ED}" name="saldo_mandante"/>
    <tableColumn id="35" xr3:uid="{90363E1B-8211-4DDB-B7D1-A2102A0BABC5}" name="vitoria"/>
    <tableColumn id="38" xr3:uid="{75FDD95F-6483-4433-AD2A-255DDEB4BAA6}" name="xg_mandante"/>
    <tableColumn id="39" xr3:uid="{EE74235B-5AA1-4EDD-B900-4A333116C195}" name="cartão_vermelho_manda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2A864F-7BEA-47C6-97F9-CF0A542A2BB6}" name="Tabela2" displayName="Tabela2" ref="A1:AQ206" totalsRowCount="1" headerRowDxfId="90" dataDxfId="88" headerRowBorderDxfId="89" tableBorderDxfId="87" totalsRowBorderDxfId="86">
  <autoFilter ref="A1:AQ205" xr:uid="{FC2A864F-7BEA-47C6-97F9-CF0A542A2BB6}"/>
  <tableColumns count="43">
    <tableColumn id="1" xr3:uid="{3D7D3A8A-F14B-4541-8402-244D6F1A3E6D}" name="ano_campeonato" dataDxfId="85" totalsRowDxfId="84"/>
    <tableColumn id="2" xr3:uid="{E98D1B34-CD55-4A56-BA83-C988C255E8F6}" name="data" dataDxfId="83" totalsRowDxfId="82"/>
    <tableColumn id="3" xr3:uid="{BD5448F8-9F49-46FE-8ADF-B95BDB3A428C}" name="rodada" dataDxfId="81" totalsRowDxfId="80"/>
    <tableColumn id="4" xr3:uid="{2363B5B5-48D9-490C-AA1F-D9FE2072C95F}" name="publico" dataDxfId="79" totalsRowDxfId="78"/>
    <tableColumn id="5" xr3:uid="{778C47D3-6877-4913-ACDE-4452EF08E5A3}" name="publico_max" dataDxfId="77" totalsRowDxfId="76"/>
    <tableColumn id="41" xr3:uid="{3AA9FADD-5955-4394-A138-F8A4C8A45BC6}" name="faixa" dataDxfId="75" totalsRowDxfId="74">
      <calculatedColumnFormula>IF(D1="","",IF(D1&lt;5000,"0-4.999",
  IF(D1&lt;10000,"5.000-9.999",
    IF(D1&lt;15000,"10.000-14.999",
      IF(D1&lt;20000,"15.000-19.999",
        IF(D1&lt;30000,"20.000-29.999","&gt;=30.000"))))))</calculatedColumnFormula>
    </tableColumn>
    <tableColumn id="38" xr3:uid="{D216EB2D-3A89-4830-B748-BC7449F09690}" name="porc_publico" dataDxfId="73" totalsRowDxfId="72">
      <calculatedColumnFormula>Tabela2[[#This Row],[publico]]/Tabela2[[#This Row],[publico_max]]</calculatedColumnFormula>
    </tableColumn>
    <tableColumn id="6" xr3:uid="{40F3BFC8-9FFF-4B72-B534-92B9CED0F039}" name="time_mandante" dataDxfId="71" totalsRowDxfId="70"/>
    <tableColumn id="7" xr3:uid="{CCEDDC82-BC34-4C03-A3A0-9AB789DF13FF}" name="time_visitante" dataDxfId="69" totalsRowDxfId="68"/>
    <tableColumn id="8" xr3:uid="{72D96C33-5621-49E3-B828-F24E3007CAD0}" name="colocacao_mandante" dataDxfId="67" totalsRowDxfId="66"/>
    <tableColumn id="43" xr3:uid="{BD4C7179-0763-4D9E-A066-DB9FD2B0605F}" name="faixa_posição" dataDxfId="65" totalsRowDxfId="64">
      <calculatedColumnFormula>IF(J2="", "", IF(J2&lt;=5, "1-5 (elite)", IF(J2&lt;=10, "6-10 (intermediário)", IF(J2&lt;=15, "11-15 (mediano)", "16-20 (rebaixamento)"))))</calculatedColumnFormula>
    </tableColumn>
    <tableColumn id="9" xr3:uid="{CEFF7219-170E-4B47-A43C-01F6FFA1F65A}" name="colocacao_visitante" dataDxfId="63" totalsRowDxfId="62"/>
    <tableColumn id="10" xr3:uid="{1F6543D7-70E8-41F4-9F26-56E59DA20417}" name="posição_relativa" dataDxfId="61" totalsRowDxfId="60">
      <calculatedColumnFormula>L2-J2</calculatedColumnFormula>
    </tableColumn>
    <tableColumn id="11" xr3:uid="{E5DC0B1B-6EE6-42D2-99AA-DF2D66A96613}" name="valor_equipe_titular_mandante" dataDxfId="59" totalsRowDxfId="58"/>
    <tableColumn id="42" xr3:uid="{D53F950C-76C1-4571-A801-442D51741C1E}" name="faixa valor" dataDxfId="57" totalsRowDxfId="56">
      <calculatedColumnFormula>IF(N2="", "",
   IF(N2&lt;=1500, "1–1.500 (rebaixamento)",
   IF(N2&lt;=3500, "1.501–3.500 (mediano)",
   IF(N2&lt;=7000, "3.501–7.000 (intermediário)",
   "7.001+ (elite)"))))</calculatedColumnFormula>
    </tableColumn>
    <tableColumn id="12" xr3:uid="{849D4B9D-F6FF-46B7-95EA-7FDFA6543C7E}" name="valor_equipe_titular_visitante" dataDxfId="55" totalsRowDxfId="54"/>
    <tableColumn id="13" xr3:uid="{1C14E622-85C7-437F-AEE9-5271743D9B5D}" name="idade_media_titular_mandante" dataDxfId="53" totalsRowDxfId="52"/>
    <tableColumn id="14" xr3:uid="{851E0B4D-DC89-4F61-BFE9-AD3E8CDDCABE}" name="idade_media_titular_visitante" dataDxfId="51" totalsRowDxfId="50"/>
    <tableColumn id="15" xr3:uid="{9A889CB4-AF42-4FD5-971C-656B5A97737A}" name="gols_mandante" dataDxfId="49" totalsRowDxfId="48"/>
    <tableColumn id="16" xr3:uid="{F1F4A6A0-860F-43A4-8D93-DF0755E57F2A}" name="gols_visitante" dataDxfId="47" totalsRowDxfId="46"/>
    <tableColumn id="17" xr3:uid="{14518183-87D3-4644-846E-628538EBAF8D}" name="gols_1_tempo_mandante" dataDxfId="45" totalsRowDxfId="44"/>
    <tableColumn id="18" xr3:uid="{5C3C1056-E705-48F3-B609-218A1ACBFAE5}" name="gols_1_tempo_visitante" dataDxfId="43" totalsRowDxfId="42"/>
    <tableColumn id="19" xr3:uid="{EC18F62D-BC92-45A8-BEBE-0BF8CC0BE81A}" name="escanteios_mandante" dataDxfId="41" totalsRowDxfId="40"/>
    <tableColumn id="20" xr3:uid="{2B42D76B-8FAE-4D05-8B36-834D882F4F82}" name="escanteios_visitante" dataDxfId="39" totalsRowDxfId="38"/>
    <tableColumn id="21" xr3:uid="{CC436783-E6EA-4466-AFD9-9843C5CAA8A0}" name="faltas_mandante" dataDxfId="37" totalsRowDxfId="36"/>
    <tableColumn id="22" xr3:uid="{16C948EB-B322-4F13-A3F4-AE989E9D5E67}" name="faltas_visitante" dataDxfId="35" totalsRowDxfId="34"/>
    <tableColumn id="23" xr3:uid="{8D60E48A-7FB4-46F2-A8EB-A18C856E1F31}" name="chutes_bola_parada_mandante" dataDxfId="33" totalsRowDxfId="32"/>
    <tableColumn id="24" xr3:uid="{98BDB2E5-83C3-4120-8281-66FC56E90836}" name="chutes_bola_parada_visitante" dataDxfId="31" totalsRowDxfId="30"/>
    <tableColumn id="25" xr3:uid="{B2546922-E68B-49EE-9A5D-5B31E2DF055A}" name="defesas_mandante" dataDxfId="29" totalsRowDxfId="28"/>
    <tableColumn id="26" xr3:uid="{D3A970BD-DCBE-4304-B70D-9AAE59593AEF}" name="defesas_visitante" dataDxfId="27" totalsRowDxfId="26"/>
    <tableColumn id="27" xr3:uid="{70F277B8-B890-4D7A-A5B7-D3BBCEDE59B4}" name="impedimentos_mandante" dataDxfId="25" totalsRowDxfId="24"/>
    <tableColumn id="28" xr3:uid="{332513B8-7212-4DF4-AF8D-54E6326450D0}" name="impedimentos_visitante" dataDxfId="23" totalsRowDxfId="22"/>
    <tableColumn id="29" xr3:uid="{04DBCD0E-43D6-49AD-8565-0080E0522C47}" name="chutes_mandante" dataDxfId="21" totalsRowDxfId="20"/>
    <tableColumn id="30" xr3:uid="{C19D31C4-F4E5-416D-A5C7-B410B1347BDF}" name="chutes_visitante" dataDxfId="19" totalsRowDxfId="18"/>
    <tableColumn id="31" xr3:uid="{4F2EB856-BCD4-4DE5-A17F-8FA06F84A34F}" name="chutes_fora_mandante" dataDxfId="17" totalsRowDxfId="16"/>
    <tableColumn id="32" xr3:uid="{2D887CD1-3E06-45BB-B9D9-AB676B9F3FE6}" name="chutes_fora_visitante" dataDxfId="15" totalsRowDxfId="14"/>
    <tableColumn id="33" xr3:uid="{E91755E1-0557-470A-97E0-AAE99FA44B77}" name="saldo_mandante" dataDxfId="13" totalsRowDxfId="12"/>
    <tableColumn id="34" xr3:uid="{C0E8312B-52F7-4C95-8DE7-73703E03C2FB}" name="vitoria" dataDxfId="11" totalsRowDxfId="10"/>
    <tableColumn id="37" xr3:uid="{7D853F10-E4CC-4AA4-9EC5-1368A9680230}" name="empate" dataDxfId="9" totalsRowDxfId="8">
      <calculatedColumnFormula>IF(Tabela2[[#This Row],[gols_mandante]]=Tabela2[[#This Row],[gols_visitante]],1,0)</calculatedColumnFormula>
    </tableColumn>
    <tableColumn id="39" xr3:uid="{410C8154-80EE-43B0-AC87-99446F6ED01E}" name="vitoria2" dataDxfId="7" totalsRowDxfId="6">
      <calculatedColumnFormula>IF(Tabela2[[#This Row],[gols_mandante]]&gt;Tabela2[[#This Row],[gols_visitante]],1,0)</calculatedColumnFormula>
    </tableColumn>
    <tableColumn id="40" xr3:uid="{F057A290-B69C-4917-A5EC-B98FE82D5F0A}" name="derrota" dataDxfId="5" totalsRowDxfId="4">
      <calculatedColumnFormula>IF(Tabela2[[#This Row],[gols_mandante]]&lt;Tabela2[[#This Row],[gols_visitante]],1,0)</calculatedColumnFormula>
    </tableColumn>
    <tableColumn id="35" xr3:uid="{67C8A453-C858-45A7-9071-CEDFB6135316}" name="xg_mandante" dataDxfId="3" totalsRowDxfId="2"/>
    <tableColumn id="36" xr3:uid="{6B6E4159-C0CE-4772-BF2D-D554E3328522}" name="cartão_vermelho_mandant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E9AB-B2B2-421F-B939-920677F46B82}">
  <dimension ref="A1:AK2088"/>
  <sheetViews>
    <sheetView workbookViewId="0">
      <selection activeCell="AK209" sqref="A1:AK209"/>
    </sheetView>
  </sheetViews>
  <sheetFormatPr defaultRowHeight="15" x14ac:dyDescent="0.25"/>
  <cols>
    <col min="1" max="1" width="19.140625" bestFit="1" customWidth="1"/>
    <col min="2" max="2" width="11.42578125" bestFit="1" customWidth="1"/>
    <col min="3" max="3" width="9.7109375" bestFit="1" customWidth="1"/>
    <col min="4" max="4" width="2.140625" customWidth="1"/>
    <col min="5" max="5" width="2" customWidth="1"/>
    <col min="6" max="6" width="17.85546875" bestFit="1" customWidth="1"/>
    <col min="7" max="7" width="16.42578125" bestFit="1" customWidth="1"/>
    <col min="8" max="8" width="1.5703125" customWidth="1"/>
    <col min="9" max="9" width="1.28515625" customWidth="1"/>
    <col min="10" max="10" width="1.7109375" customWidth="1"/>
    <col min="11" max="12" width="2.7109375" customWidth="1"/>
    <col min="13" max="13" width="1.85546875" customWidth="1"/>
    <col min="14" max="14" width="1.5703125" customWidth="1"/>
    <col min="15" max="15" width="2.140625" customWidth="1"/>
    <col min="16" max="16" width="1.28515625" customWidth="1"/>
    <col min="17" max="17" width="1.7109375" customWidth="1"/>
    <col min="18" max="18" width="1.85546875" customWidth="1"/>
    <col min="19" max="19" width="2" customWidth="1"/>
    <col min="20" max="20" width="1.42578125" customWidth="1"/>
    <col min="21" max="21" width="2" customWidth="1"/>
    <col min="22" max="22" width="1.42578125" customWidth="1"/>
    <col min="23" max="23" width="0.140625" customWidth="1"/>
    <col min="24" max="24" width="2.28515625" customWidth="1"/>
    <col min="25" max="25" width="1.5703125" customWidth="1"/>
    <col min="26" max="26" width="1.28515625" customWidth="1"/>
    <col min="27" max="27" width="1" customWidth="1"/>
    <col min="28" max="28" width="1.42578125" customWidth="1"/>
    <col min="29" max="29" width="2.42578125" customWidth="1"/>
    <col min="30" max="30" width="1.5703125" customWidth="1"/>
    <col min="31" max="31" width="1" customWidth="1"/>
    <col min="32" max="32" width="1.28515625" customWidth="1"/>
    <col min="33" max="33" width="1.42578125" customWidth="1"/>
    <col min="34" max="34" width="1.140625" customWidth="1"/>
    <col min="35" max="35" width="2.285156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2024</v>
      </c>
      <c r="B2" s="1">
        <v>45395</v>
      </c>
      <c r="C2">
        <v>1</v>
      </c>
      <c r="D2">
        <v>22045</v>
      </c>
      <c r="E2">
        <v>50848</v>
      </c>
      <c r="F2" t="s">
        <v>37</v>
      </c>
      <c r="G2" t="s">
        <v>38</v>
      </c>
      <c r="H2" t="s">
        <v>39</v>
      </c>
      <c r="I2" t="s">
        <v>40</v>
      </c>
      <c r="J2">
        <v>5</v>
      </c>
      <c r="K2">
        <v>16</v>
      </c>
      <c r="L2">
        <v>5840</v>
      </c>
      <c r="M2">
        <v>3010</v>
      </c>
      <c r="N2" t="s">
        <v>41</v>
      </c>
      <c r="O2">
        <v>29</v>
      </c>
      <c r="P2">
        <v>2</v>
      </c>
      <c r="Q2">
        <v>1</v>
      </c>
      <c r="R2">
        <v>0</v>
      </c>
      <c r="S2">
        <v>0</v>
      </c>
      <c r="T2">
        <v>6</v>
      </c>
      <c r="U2">
        <v>3</v>
      </c>
      <c r="V2">
        <v>20</v>
      </c>
      <c r="W2">
        <v>13</v>
      </c>
      <c r="X2">
        <v>13</v>
      </c>
      <c r="Y2">
        <v>19</v>
      </c>
      <c r="Z2">
        <v>3</v>
      </c>
      <c r="AA2">
        <v>6</v>
      </c>
      <c r="AB2">
        <v>3</v>
      </c>
      <c r="AC2">
        <v>2</v>
      </c>
      <c r="AD2">
        <v>17</v>
      </c>
      <c r="AE2">
        <v>9</v>
      </c>
      <c r="AF2">
        <v>7</v>
      </c>
      <c r="AG2">
        <v>3</v>
      </c>
      <c r="AH2">
        <v>1</v>
      </c>
      <c r="AI2">
        <v>1</v>
      </c>
      <c r="AJ2" t="s">
        <v>42</v>
      </c>
      <c r="AK2">
        <v>0</v>
      </c>
    </row>
    <row r="3" spans="1:37" x14ac:dyDescent="0.25">
      <c r="A3">
        <v>2024</v>
      </c>
      <c r="B3" s="1">
        <v>45395</v>
      </c>
      <c r="C3">
        <v>1</v>
      </c>
      <c r="D3">
        <v>12408</v>
      </c>
      <c r="E3">
        <v>19225</v>
      </c>
      <c r="F3" t="s">
        <v>43</v>
      </c>
      <c r="G3" t="s">
        <v>44</v>
      </c>
      <c r="H3" t="s">
        <v>45</v>
      </c>
      <c r="I3" t="s">
        <v>46</v>
      </c>
      <c r="J3">
        <v>10</v>
      </c>
      <c r="K3">
        <v>11</v>
      </c>
      <c r="L3">
        <v>563</v>
      </c>
      <c r="M3">
        <v>730</v>
      </c>
      <c r="N3" t="s">
        <v>47</v>
      </c>
      <c r="O3" t="s">
        <v>48</v>
      </c>
      <c r="P3">
        <v>1</v>
      </c>
      <c r="Q3">
        <v>1</v>
      </c>
      <c r="R3">
        <v>1</v>
      </c>
      <c r="S3">
        <v>0</v>
      </c>
      <c r="T3">
        <v>0</v>
      </c>
      <c r="U3">
        <v>4</v>
      </c>
      <c r="V3">
        <v>11</v>
      </c>
      <c r="W3">
        <v>15</v>
      </c>
      <c r="X3">
        <v>15</v>
      </c>
      <c r="Y3">
        <v>9</v>
      </c>
      <c r="Z3">
        <v>3</v>
      </c>
      <c r="AA3">
        <v>2</v>
      </c>
      <c r="AB3">
        <v>3</v>
      </c>
      <c r="AC3">
        <v>4</v>
      </c>
      <c r="AD3">
        <v>10</v>
      </c>
      <c r="AE3">
        <v>15</v>
      </c>
      <c r="AF3">
        <v>4</v>
      </c>
      <c r="AG3">
        <v>7</v>
      </c>
      <c r="AH3">
        <v>0</v>
      </c>
      <c r="AI3">
        <v>0</v>
      </c>
      <c r="AJ3" t="s">
        <v>49</v>
      </c>
      <c r="AK3">
        <v>0</v>
      </c>
    </row>
    <row r="4" spans="1:37" x14ac:dyDescent="0.25">
      <c r="A4">
        <v>2024</v>
      </c>
      <c r="B4" s="1">
        <v>45396</v>
      </c>
      <c r="C4">
        <v>1</v>
      </c>
      <c r="D4">
        <v>36661</v>
      </c>
      <c r="E4">
        <v>61927</v>
      </c>
      <c r="F4" t="s">
        <v>50</v>
      </c>
      <c r="G4" t="s">
        <v>51</v>
      </c>
      <c r="H4" t="s">
        <v>52</v>
      </c>
      <c r="I4" t="s">
        <v>53</v>
      </c>
      <c r="J4">
        <v>2</v>
      </c>
      <c r="K4">
        <v>14</v>
      </c>
      <c r="L4">
        <v>2425</v>
      </c>
      <c r="M4">
        <v>3435</v>
      </c>
      <c r="N4">
        <v>29</v>
      </c>
      <c r="O4">
        <v>29</v>
      </c>
      <c r="P4">
        <v>3</v>
      </c>
      <c r="Q4">
        <v>2</v>
      </c>
      <c r="R4">
        <v>1</v>
      </c>
      <c r="S4">
        <v>1</v>
      </c>
      <c r="T4">
        <v>6</v>
      </c>
      <c r="U4">
        <v>3</v>
      </c>
      <c r="V4">
        <v>12</v>
      </c>
      <c r="W4">
        <v>11</v>
      </c>
      <c r="X4">
        <v>11</v>
      </c>
      <c r="Y4">
        <v>10</v>
      </c>
      <c r="Z4">
        <v>1</v>
      </c>
      <c r="AA4">
        <v>2</v>
      </c>
      <c r="AB4">
        <v>2</v>
      </c>
      <c r="AC4">
        <v>0</v>
      </c>
      <c r="AD4">
        <v>15</v>
      </c>
      <c r="AE4">
        <v>6</v>
      </c>
      <c r="AF4">
        <v>4</v>
      </c>
      <c r="AG4">
        <v>3</v>
      </c>
      <c r="AH4">
        <v>1</v>
      </c>
      <c r="AI4">
        <v>1</v>
      </c>
      <c r="AJ4" t="s">
        <v>54</v>
      </c>
      <c r="AK4">
        <v>0</v>
      </c>
    </row>
    <row r="5" spans="1:37" x14ac:dyDescent="0.25">
      <c r="A5">
        <v>2024</v>
      </c>
      <c r="B5" s="1">
        <v>45396</v>
      </c>
      <c r="C5">
        <v>1</v>
      </c>
      <c r="D5">
        <v>17645</v>
      </c>
      <c r="E5">
        <v>82238</v>
      </c>
      <c r="F5" t="s">
        <v>55</v>
      </c>
      <c r="G5" t="s">
        <v>56</v>
      </c>
      <c r="H5" t="s">
        <v>57</v>
      </c>
      <c r="I5" t="s">
        <v>58</v>
      </c>
      <c r="J5">
        <v>9</v>
      </c>
      <c r="K5">
        <v>8</v>
      </c>
      <c r="L5">
        <v>5955</v>
      </c>
      <c r="M5">
        <v>2860</v>
      </c>
      <c r="N5" t="s">
        <v>59</v>
      </c>
      <c r="O5" t="s">
        <v>60</v>
      </c>
      <c r="P5">
        <v>2</v>
      </c>
      <c r="Q5">
        <v>2</v>
      </c>
      <c r="R5">
        <v>1</v>
      </c>
      <c r="S5">
        <v>0</v>
      </c>
      <c r="T5">
        <v>13</v>
      </c>
      <c r="U5">
        <v>6</v>
      </c>
      <c r="V5">
        <v>8</v>
      </c>
      <c r="W5">
        <v>19</v>
      </c>
      <c r="X5">
        <v>19</v>
      </c>
      <c r="Y5">
        <v>8</v>
      </c>
      <c r="Z5">
        <v>6</v>
      </c>
      <c r="AA5">
        <v>9</v>
      </c>
      <c r="AB5">
        <v>0</v>
      </c>
      <c r="AC5">
        <v>0</v>
      </c>
      <c r="AD5">
        <v>26</v>
      </c>
      <c r="AE5">
        <v>16</v>
      </c>
      <c r="AF5">
        <v>10</v>
      </c>
      <c r="AG5">
        <v>7</v>
      </c>
      <c r="AH5">
        <v>0</v>
      </c>
      <c r="AI5">
        <v>0</v>
      </c>
      <c r="AJ5" t="s">
        <v>61</v>
      </c>
      <c r="AK5">
        <v>0</v>
      </c>
    </row>
    <row r="6" spans="1:37" x14ac:dyDescent="0.25">
      <c r="A6">
        <v>2024</v>
      </c>
      <c r="B6" s="1">
        <v>45396</v>
      </c>
      <c r="C6">
        <v>1</v>
      </c>
      <c r="D6">
        <v>35055</v>
      </c>
      <c r="E6">
        <v>72039</v>
      </c>
      <c r="F6" t="s">
        <v>62</v>
      </c>
      <c r="G6" t="s">
        <v>63</v>
      </c>
      <c r="H6" t="s">
        <v>64</v>
      </c>
      <c r="I6" t="s">
        <v>65</v>
      </c>
      <c r="J6">
        <v>18</v>
      </c>
      <c r="K6">
        <v>4</v>
      </c>
      <c r="L6">
        <v>4010</v>
      </c>
      <c r="M6">
        <v>1315</v>
      </c>
      <c r="N6" t="s">
        <v>66</v>
      </c>
      <c r="O6" t="s">
        <v>67</v>
      </c>
      <c r="P6">
        <v>1</v>
      </c>
      <c r="Q6">
        <v>2</v>
      </c>
      <c r="R6">
        <v>0</v>
      </c>
      <c r="S6">
        <v>0</v>
      </c>
      <c r="T6">
        <v>11</v>
      </c>
      <c r="U6">
        <v>4</v>
      </c>
      <c r="V6">
        <v>10</v>
      </c>
      <c r="W6">
        <v>14</v>
      </c>
      <c r="X6">
        <v>14</v>
      </c>
      <c r="Y6">
        <v>10</v>
      </c>
      <c r="Z6">
        <v>0</v>
      </c>
      <c r="AA6">
        <v>4</v>
      </c>
      <c r="AB6">
        <v>2</v>
      </c>
      <c r="AC6">
        <v>1</v>
      </c>
      <c r="AD6">
        <v>14</v>
      </c>
      <c r="AE6">
        <v>6</v>
      </c>
      <c r="AF6">
        <v>5</v>
      </c>
      <c r="AG6">
        <v>3</v>
      </c>
      <c r="AH6">
        <v>-1</v>
      </c>
      <c r="AI6">
        <v>0</v>
      </c>
      <c r="AJ6" t="s">
        <v>68</v>
      </c>
      <c r="AK6">
        <v>0</v>
      </c>
    </row>
    <row r="7" spans="1:37" x14ac:dyDescent="0.25">
      <c r="A7">
        <v>2024</v>
      </c>
      <c r="B7" s="1">
        <v>45396</v>
      </c>
      <c r="C7">
        <v>1</v>
      </c>
      <c r="D7">
        <v>22169</v>
      </c>
      <c r="E7">
        <v>42372</v>
      </c>
      <c r="F7" t="s">
        <v>69</v>
      </c>
      <c r="G7" t="s">
        <v>70</v>
      </c>
      <c r="H7" t="s">
        <v>71</v>
      </c>
      <c r="I7" t="s">
        <v>72</v>
      </c>
      <c r="J7">
        <v>1</v>
      </c>
      <c r="K7">
        <v>20</v>
      </c>
      <c r="L7">
        <v>3405</v>
      </c>
      <c r="M7">
        <v>935</v>
      </c>
      <c r="N7" t="s">
        <v>73</v>
      </c>
      <c r="O7" t="s">
        <v>74</v>
      </c>
      <c r="P7">
        <v>4</v>
      </c>
      <c r="Q7">
        <v>0</v>
      </c>
      <c r="R7">
        <v>3</v>
      </c>
      <c r="S7">
        <v>0</v>
      </c>
      <c r="T7">
        <v>7</v>
      </c>
      <c r="U7">
        <v>0</v>
      </c>
      <c r="V7">
        <v>16</v>
      </c>
      <c r="W7">
        <v>9</v>
      </c>
      <c r="X7">
        <v>9</v>
      </c>
      <c r="Y7">
        <v>16</v>
      </c>
      <c r="Z7">
        <v>0</v>
      </c>
      <c r="AA7">
        <v>5</v>
      </c>
      <c r="AB7">
        <v>2</v>
      </c>
      <c r="AC7">
        <v>1</v>
      </c>
      <c r="AD7">
        <v>20</v>
      </c>
      <c r="AE7">
        <v>1</v>
      </c>
      <c r="AF7">
        <v>6</v>
      </c>
      <c r="AG7">
        <v>1</v>
      </c>
      <c r="AH7">
        <v>4</v>
      </c>
      <c r="AI7">
        <v>1</v>
      </c>
      <c r="AJ7" t="s">
        <v>75</v>
      </c>
      <c r="AK7">
        <v>0</v>
      </c>
    </row>
    <row r="8" spans="1:37" x14ac:dyDescent="0.25">
      <c r="A8">
        <v>2024</v>
      </c>
      <c r="B8" s="1">
        <v>45396</v>
      </c>
      <c r="C8">
        <v>1</v>
      </c>
      <c r="D8">
        <v>35195</v>
      </c>
      <c r="E8">
        <v>50000</v>
      </c>
      <c r="F8" t="s">
        <v>76</v>
      </c>
      <c r="G8" t="s">
        <v>77</v>
      </c>
      <c r="H8" t="s">
        <v>78</v>
      </c>
      <c r="I8" t="s">
        <v>79</v>
      </c>
      <c r="J8">
        <v>15</v>
      </c>
      <c r="K8">
        <v>3</v>
      </c>
      <c r="L8">
        <v>790</v>
      </c>
      <c r="M8">
        <v>10250</v>
      </c>
      <c r="N8" t="s">
        <v>80</v>
      </c>
      <c r="O8">
        <v>28</v>
      </c>
      <c r="P8">
        <v>1</v>
      </c>
      <c r="Q8">
        <v>2</v>
      </c>
      <c r="R8">
        <v>0</v>
      </c>
      <c r="S8">
        <v>1</v>
      </c>
      <c r="T8">
        <v>4</v>
      </c>
      <c r="U8">
        <v>4</v>
      </c>
      <c r="V8">
        <v>12</v>
      </c>
      <c r="W8">
        <v>12</v>
      </c>
      <c r="X8">
        <v>12</v>
      </c>
      <c r="Y8">
        <v>11</v>
      </c>
      <c r="Z8">
        <v>0</v>
      </c>
      <c r="AA8">
        <v>3</v>
      </c>
      <c r="AB8">
        <v>2</v>
      </c>
      <c r="AC8">
        <v>1</v>
      </c>
      <c r="AD8">
        <v>11</v>
      </c>
      <c r="AE8">
        <v>15</v>
      </c>
      <c r="AF8">
        <v>5</v>
      </c>
      <c r="AG8">
        <v>8</v>
      </c>
      <c r="AH8">
        <v>-1</v>
      </c>
      <c r="AI8">
        <v>0</v>
      </c>
      <c r="AJ8" t="s">
        <v>81</v>
      </c>
      <c r="AK8">
        <v>1</v>
      </c>
    </row>
    <row r="9" spans="1:37" x14ac:dyDescent="0.25">
      <c r="A9">
        <v>2024</v>
      </c>
      <c r="B9" s="1">
        <v>45396</v>
      </c>
      <c r="C9">
        <v>1</v>
      </c>
      <c r="D9">
        <v>18055</v>
      </c>
      <c r="E9">
        <v>24584</v>
      </c>
      <c r="F9" t="s">
        <v>82</v>
      </c>
      <c r="G9" t="s">
        <v>83</v>
      </c>
      <c r="H9" t="s">
        <v>84</v>
      </c>
      <c r="I9" t="s">
        <v>85</v>
      </c>
      <c r="J9">
        <v>6</v>
      </c>
      <c r="K9">
        <v>17</v>
      </c>
      <c r="L9">
        <v>2545</v>
      </c>
      <c r="M9">
        <v>4110</v>
      </c>
      <c r="N9" t="s">
        <v>66</v>
      </c>
      <c r="O9" t="s">
        <v>86</v>
      </c>
      <c r="P9">
        <v>2</v>
      </c>
      <c r="Q9">
        <v>1</v>
      </c>
      <c r="R9">
        <v>2</v>
      </c>
      <c r="S9">
        <v>0</v>
      </c>
      <c r="T9">
        <v>3</v>
      </c>
      <c r="U9">
        <v>5</v>
      </c>
      <c r="V9">
        <v>19</v>
      </c>
      <c r="W9">
        <v>10</v>
      </c>
      <c r="X9">
        <v>10</v>
      </c>
      <c r="Y9">
        <v>18</v>
      </c>
      <c r="Z9">
        <v>1</v>
      </c>
      <c r="AA9">
        <v>1</v>
      </c>
      <c r="AB9">
        <v>1</v>
      </c>
      <c r="AC9">
        <v>1</v>
      </c>
      <c r="AD9">
        <v>15</v>
      </c>
      <c r="AE9">
        <v>9</v>
      </c>
      <c r="AF9">
        <v>7</v>
      </c>
      <c r="AG9">
        <v>5</v>
      </c>
      <c r="AH9">
        <v>1</v>
      </c>
      <c r="AI9">
        <v>1</v>
      </c>
      <c r="AJ9" t="s">
        <v>87</v>
      </c>
      <c r="AK9">
        <v>0</v>
      </c>
    </row>
    <row r="10" spans="1:37" x14ac:dyDescent="0.25">
      <c r="A10">
        <v>2024</v>
      </c>
      <c r="B10" s="1">
        <v>45396</v>
      </c>
      <c r="C10">
        <v>1</v>
      </c>
      <c r="D10">
        <v>44597</v>
      </c>
      <c r="E10">
        <v>49205</v>
      </c>
      <c r="F10" t="s">
        <v>88</v>
      </c>
      <c r="G10" t="s">
        <v>89</v>
      </c>
      <c r="H10" t="s">
        <v>90</v>
      </c>
      <c r="I10" t="s">
        <v>91</v>
      </c>
      <c r="J10">
        <v>13</v>
      </c>
      <c r="K10">
        <v>12</v>
      </c>
      <c r="L10">
        <v>4130</v>
      </c>
      <c r="M10">
        <v>5520</v>
      </c>
      <c r="N10">
        <v>28</v>
      </c>
      <c r="O10" t="s">
        <v>92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16</v>
      </c>
      <c r="W10">
        <v>12</v>
      </c>
      <c r="X10">
        <v>12</v>
      </c>
      <c r="Y10">
        <v>16</v>
      </c>
      <c r="Z10">
        <v>3</v>
      </c>
      <c r="AA10">
        <v>1</v>
      </c>
      <c r="AB10">
        <v>0</v>
      </c>
      <c r="AC10">
        <v>2</v>
      </c>
      <c r="AD10">
        <v>13</v>
      </c>
      <c r="AE10">
        <v>8</v>
      </c>
      <c r="AF10">
        <v>7</v>
      </c>
      <c r="AG10">
        <v>2</v>
      </c>
      <c r="AH10">
        <v>0</v>
      </c>
      <c r="AI10">
        <v>0</v>
      </c>
      <c r="AJ10" t="s">
        <v>93</v>
      </c>
      <c r="AK10">
        <v>0</v>
      </c>
    </row>
    <row r="11" spans="1:37" hidden="1" x14ac:dyDescent="0.25">
      <c r="A11">
        <v>2024</v>
      </c>
      <c r="B11" s="1">
        <v>45396</v>
      </c>
      <c r="C11">
        <v>1</v>
      </c>
      <c r="D11">
        <v>30793</v>
      </c>
      <c r="F11" t="s">
        <v>94</v>
      </c>
      <c r="G11" t="s">
        <v>95</v>
      </c>
      <c r="H11" t="s">
        <v>96</v>
      </c>
      <c r="I11" t="s">
        <v>97</v>
      </c>
      <c r="J11">
        <v>19</v>
      </c>
      <c r="K11">
        <v>7</v>
      </c>
      <c r="L11">
        <v>1153</v>
      </c>
      <c r="M11">
        <v>12700</v>
      </c>
      <c r="N11" t="s">
        <v>98</v>
      </c>
      <c r="O11" t="s">
        <v>99</v>
      </c>
      <c r="P11">
        <v>0</v>
      </c>
      <c r="Q11">
        <v>1</v>
      </c>
      <c r="R11">
        <v>0</v>
      </c>
      <c r="S11">
        <v>1</v>
      </c>
      <c r="T11">
        <v>3</v>
      </c>
      <c r="U11">
        <v>9</v>
      </c>
      <c r="V11">
        <v>12</v>
      </c>
      <c r="W11">
        <v>15</v>
      </c>
      <c r="X11">
        <v>15</v>
      </c>
      <c r="Y11">
        <v>11</v>
      </c>
      <c r="Z11">
        <v>3</v>
      </c>
      <c r="AA11">
        <v>5</v>
      </c>
      <c r="AB11">
        <v>2</v>
      </c>
      <c r="AC11">
        <v>3</v>
      </c>
      <c r="AD11">
        <v>12</v>
      </c>
      <c r="AE11">
        <v>15</v>
      </c>
      <c r="AF11">
        <v>4</v>
      </c>
      <c r="AG11">
        <v>7</v>
      </c>
      <c r="AH11">
        <v>-1</v>
      </c>
      <c r="AI11">
        <v>0</v>
      </c>
    </row>
    <row r="12" spans="1:37" x14ac:dyDescent="0.25">
      <c r="A12">
        <v>2024</v>
      </c>
      <c r="B12" s="1">
        <v>45399</v>
      </c>
      <c r="C12">
        <v>2</v>
      </c>
      <c r="D12">
        <v>23080</v>
      </c>
      <c r="E12">
        <v>47364</v>
      </c>
      <c r="F12" t="s">
        <v>38</v>
      </c>
      <c r="G12" t="s">
        <v>55</v>
      </c>
      <c r="H12" t="s">
        <v>40</v>
      </c>
      <c r="I12" t="s">
        <v>57</v>
      </c>
      <c r="J12">
        <v>9</v>
      </c>
      <c r="K12">
        <v>15</v>
      </c>
      <c r="L12">
        <v>3060</v>
      </c>
      <c r="M12">
        <v>5895</v>
      </c>
      <c r="N12" t="s">
        <v>100</v>
      </c>
      <c r="O12" t="s">
        <v>48</v>
      </c>
      <c r="P12">
        <v>2</v>
      </c>
      <c r="Q12">
        <v>1</v>
      </c>
      <c r="R12">
        <v>1</v>
      </c>
      <c r="S12">
        <v>1</v>
      </c>
      <c r="T12">
        <v>4</v>
      </c>
      <c r="U12">
        <v>3</v>
      </c>
      <c r="V12">
        <v>15</v>
      </c>
      <c r="W12">
        <v>23</v>
      </c>
      <c r="X12">
        <v>20</v>
      </c>
      <c r="Y12">
        <v>13</v>
      </c>
      <c r="Z12">
        <v>2</v>
      </c>
      <c r="AA12">
        <v>3</v>
      </c>
      <c r="AB12">
        <v>3</v>
      </c>
      <c r="AC12">
        <v>2</v>
      </c>
      <c r="AD12">
        <v>12</v>
      </c>
      <c r="AE12">
        <v>9</v>
      </c>
      <c r="AF12">
        <v>5</v>
      </c>
      <c r="AG12">
        <v>3</v>
      </c>
      <c r="AH12">
        <v>1</v>
      </c>
      <c r="AI12">
        <v>1</v>
      </c>
      <c r="AJ12" t="s">
        <v>101</v>
      </c>
      <c r="AK12">
        <v>0</v>
      </c>
    </row>
    <row r="13" spans="1:37" x14ac:dyDescent="0.25">
      <c r="A13">
        <v>2024</v>
      </c>
      <c r="B13" s="1">
        <v>45400</v>
      </c>
      <c r="C13">
        <v>2</v>
      </c>
      <c r="D13">
        <v>24613</v>
      </c>
      <c r="E13">
        <v>46000</v>
      </c>
      <c r="F13" t="s">
        <v>89</v>
      </c>
      <c r="G13" t="s">
        <v>43</v>
      </c>
      <c r="H13" t="s">
        <v>91</v>
      </c>
      <c r="I13" t="s">
        <v>45</v>
      </c>
      <c r="J13">
        <v>14</v>
      </c>
      <c r="K13">
        <v>13</v>
      </c>
      <c r="L13">
        <v>4800</v>
      </c>
      <c r="M13">
        <v>628</v>
      </c>
      <c r="N13" t="s">
        <v>86</v>
      </c>
      <c r="O13" t="s">
        <v>67</v>
      </c>
      <c r="P13">
        <v>1</v>
      </c>
      <c r="Q13">
        <v>1</v>
      </c>
      <c r="R13">
        <v>1</v>
      </c>
      <c r="S13">
        <v>0</v>
      </c>
      <c r="T13">
        <v>9</v>
      </c>
      <c r="U13">
        <v>2</v>
      </c>
      <c r="V13">
        <v>12</v>
      </c>
      <c r="W13">
        <v>10</v>
      </c>
      <c r="X13">
        <v>10</v>
      </c>
      <c r="Y13">
        <v>10</v>
      </c>
      <c r="Z13">
        <v>0</v>
      </c>
      <c r="AA13">
        <v>5</v>
      </c>
      <c r="AB13">
        <v>2</v>
      </c>
      <c r="AC13">
        <v>0</v>
      </c>
      <c r="AD13">
        <v>22</v>
      </c>
      <c r="AE13">
        <v>5</v>
      </c>
      <c r="AF13">
        <v>8</v>
      </c>
      <c r="AG13">
        <v>4</v>
      </c>
      <c r="AH13">
        <v>0</v>
      </c>
      <c r="AI13">
        <v>0</v>
      </c>
      <c r="AJ13" t="s">
        <v>102</v>
      </c>
      <c r="AK13">
        <v>0</v>
      </c>
    </row>
    <row r="14" spans="1:37" x14ac:dyDescent="0.25">
      <c r="A14">
        <v>2024</v>
      </c>
      <c r="B14" s="1">
        <v>45400</v>
      </c>
      <c r="C14">
        <v>2</v>
      </c>
      <c r="D14">
        <v>13541</v>
      </c>
      <c r="E14">
        <v>60540</v>
      </c>
      <c r="F14" t="s">
        <v>83</v>
      </c>
      <c r="G14" t="s">
        <v>69</v>
      </c>
      <c r="H14" t="s">
        <v>85</v>
      </c>
      <c r="I14" t="s">
        <v>71</v>
      </c>
      <c r="J14">
        <v>8</v>
      </c>
      <c r="K14">
        <v>7</v>
      </c>
      <c r="L14">
        <v>3760</v>
      </c>
      <c r="M14">
        <v>3195</v>
      </c>
      <c r="N14" t="s">
        <v>74</v>
      </c>
      <c r="O14">
        <v>28</v>
      </c>
      <c r="P14">
        <v>2</v>
      </c>
      <c r="Q14">
        <v>0</v>
      </c>
      <c r="R14">
        <v>1</v>
      </c>
      <c r="S14">
        <v>0</v>
      </c>
      <c r="T14">
        <v>9</v>
      </c>
      <c r="U14">
        <v>2</v>
      </c>
      <c r="V14">
        <v>7</v>
      </c>
      <c r="W14">
        <v>13</v>
      </c>
      <c r="X14">
        <v>13</v>
      </c>
      <c r="Y14">
        <v>7</v>
      </c>
      <c r="Z14">
        <v>0</v>
      </c>
      <c r="AA14">
        <v>5</v>
      </c>
      <c r="AB14">
        <v>0</v>
      </c>
      <c r="AC14">
        <v>1</v>
      </c>
      <c r="AD14">
        <v>14</v>
      </c>
      <c r="AE14">
        <v>4</v>
      </c>
      <c r="AF14">
        <v>4</v>
      </c>
      <c r="AG14">
        <v>3</v>
      </c>
      <c r="AH14">
        <v>2</v>
      </c>
      <c r="AI14">
        <v>1</v>
      </c>
      <c r="AJ14" t="s">
        <v>103</v>
      </c>
      <c r="AK14">
        <v>0</v>
      </c>
    </row>
    <row r="15" spans="1:37" x14ac:dyDescent="0.25">
      <c r="A15">
        <v>2024</v>
      </c>
      <c r="B15" s="1">
        <v>45400</v>
      </c>
      <c r="C15">
        <v>2</v>
      </c>
      <c r="D15">
        <v>13541</v>
      </c>
      <c r="E15">
        <v>32713</v>
      </c>
      <c r="F15" t="s">
        <v>95</v>
      </c>
      <c r="G15" t="s">
        <v>37</v>
      </c>
      <c r="H15" t="s">
        <v>97</v>
      </c>
      <c r="I15" t="s">
        <v>39</v>
      </c>
      <c r="J15">
        <v>12</v>
      </c>
      <c r="K15">
        <v>2</v>
      </c>
      <c r="L15">
        <v>13100</v>
      </c>
      <c r="M15">
        <v>5825</v>
      </c>
      <c r="N15" t="s">
        <v>104</v>
      </c>
      <c r="O15" t="s">
        <v>105</v>
      </c>
      <c r="P15">
        <v>0</v>
      </c>
      <c r="Q15">
        <v>1</v>
      </c>
      <c r="R15">
        <v>0</v>
      </c>
      <c r="S15">
        <v>1</v>
      </c>
      <c r="T15">
        <v>6</v>
      </c>
      <c r="U15">
        <v>2</v>
      </c>
      <c r="V15">
        <v>14</v>
      </c>
      <c r="W15">
        <v>21</v>
      </c>
      <c r="X15">
        <v>21</v>
      </c>
      <c r="Y15">
        <v>11</v>
      </c>
      <c r="Z15">
        <v>1</v>
      </c>
      <c r="AA15">
        <v>3</v>
      </c>
      <c r="AB15">
        <v>4</v>
      </c>
      <c r="AC15">
        <v>1</v>
      </c>
      <c r="AD15">
        <v>18</v>
      </c>
      <c r="AE15">
        <v>5</v>
      </c>
      <c r="AF15">
        <v>11</v>
      </c>
      <c r="AG15">
        <v>3</v>
      </c>
      <c r="AH15">
        <v>-1</v>
      </c>
      <c r="AI15">
        <v>0</v>
      </c>
      <c r="AJ15" t="s">
        <v>106</v>
      </c>
      <c r="AK15">
        <v>0</v>
      </c>
    </row>
    <row r="16" spans="1:37" x14ac:dyDescent="0.25">
      <c r="A16">
        <v>2024</v>
      </c>
      <c r="B16" s="1">
        <v>45400</v>
      </c>
      <c r="C16">
        <v>2</v>
      </c>
      <c r="D16">
        <v>48103</v>
      </c>
      <c r="E16">
        <v>78838</v>
      </c>
      <c r="F16" t="s">
        <v>77</v>
      </c>
      <c r="G16" t="s">
        <v>62</v>
      </c>
      <c r="H16" t="s">
        <v>79</v>
      </c>
      <c r="I16" t="s">
        <v>64</v>
      </c>
      <c r="J16">
        <v>1</v>
      </c>
      <c r="K16">
        <v>19</v>
      </c>
      <c r="L16">
        <v>8470</v>
      </c>
      <c r="M16">
        <v>3710</v>
      </c>
      <c r="N16" t="s">
        <v>100</v>
      </c>
      <c r="O16" t="s">
        <v>107</v>
      </c>
      <c r="P16">
        <v>2</v>
      </c>
      <c r="Q16">
        <v>1</v>
      </c>
      <c r="R16">
        <v>1</v>
      </c>
      <c r="S16">
        <v>0</v>
      </c>
      <c r="T16">
        <v>9</v>
      </c>
      <c r="U16">
        <v>1</v>
      </c>
      <c r="V16">
        <v>19</v>
      </c>
      <c r="W16">
        <v>19</v>
      </c>
      <c r="X16">
        <v>18</v>
      </c>
      <c r="Y16">
        <v>17</v>
      </c>
      <c r="Z16">
        <v>2</v>
      </c>
      <c r="AA16">
        <v>4</v>
      </c>
      <c r="AB16">
        <v>1</v>
      </c>
      <c r="AC16">
        <v>2</v>
      </c>
      <c r="AD16">
        <v>12</v>
      </c>
      <c r="AE16">
        <v>10</v>
      </c>
      <c r="AF16">
        <v>4</v>
      </c>
      <c r="AG16">
        <v>3</v>
      </c>
      <c r="AH16">
        <v>1</v>
      </c>
      <c r="AI16">
        <v>1</v>
      </c>
      <c r="AJ16" t="s">
        <v>108</v>
      </c>
      <c r="AK16">
        <v>0</v>
      </c>
    </row>
    <row r="17" spans="1:37" x14ac:dyDescent="0.25">
      <c r="A17">
        <v>2024</v>
      </c>
      <c r="B17" s="1">
        <v>45400</v>
      </c>
      <c r="C17">
        <v>2</v>
      </c>
      <c r="D17">
        <v>22131</v>
      </c>
      <c r="E17">
        <v>60326</v>
      </c>
      <c r="F17" t="s">
        <v>63</v>
      </c>
      <c r="G17" t="s">
        <v>50</v>
      </c>
      <c r="H17" t="s">
        <v>65</v>
      </c>
      <c r="I17" t="s">
        <v>52</v>
      </c>
      <c r="J17">
        <v>6</v>
      </c>
      <c r="K17">
        <v>5</v>
      </c>
      <c r="L17">
        <v>1515</v>
      </c>
      <c r="M17">
        <v>2225</v>
      </c>
      <c r="N17" t="s">
        <v>109</v>
      </c>
      <c r="O17" t="s">
        <v>100</v>
      </c>
      <c r="P17">
        <v>1</v>
      </c>
      <c r="Q17">
        <v>1</v>
      </c>
      <c r="R17">
        <v>1</v>
      </c>
      <c r="S17">
        <v>0</v>
      </c>
      <c r="T17">
        <v>7</v>
      </c>
      <c r="U17">
        <v>5</v>
      </c>
      <c r="V17">
        <v>13</v>
      </c>
      <c r="W17">
        <v>10</v>
      </c>
      <c r="X17">
        <v>9</v>
      </c>
      <c r="Y17">
        <v>13</v>
      </c>
      <c r="Z17">
        <v>4</v>
      </c>
      <c r="AA17">
        <v>2</v>
      </c>
      <c r="AB17">
        <v>0</v>
      </c>
      <c r="AC17">
        <v>2</v>
      </c>
      <c r="AD17">
        <v>14</v>
      </c>
      <c r="AE17">
        <v>14</v>
      </c>
      <c r="AF17">
        <v>6</v>
      </c>
      <c r="AG17">
        <v>6</v>
      </c>
      <c r="AH17">
        <v>0</v>
      </c>
      <c r="AI17">
        <v>0</v>
      </c>
      <c r="AJ17" t="s">
        <v>110</v>
      </c>
      <c r="AK17">
        <v>0</v>
      </c>
    </row>
    <row r="18" spans="1:37" x14ac:dyDescent="0.25">
      <c r="A18">
        <v>2024</v>
      </c>
      <c r="B18" s="1">
        <v>45400</v>
      </c>
      <c r="C18">
        <v>2</v>
      </c>
      <c r="D18">
        <v>7478</v>
      </c>
      <c r="E18">
        <v>23726</v>
      </c>
      <c r="F18" t="s">
        <v>44</v>
      </c>
      <c r="G18" t="s">
        <v>88</v>
      </c>
      <c r="H18" t="s">
        <v>46</v>
      </c>
      <c r="I18" t="s">
        <v>90</v>
      </c>
      <c r="J18">
        <v>3</v>
      </c>
      <c r="K18">
        <v>17</v>
      </c>
      <c r="L18">
        <v>855</v>
      </c>
      <c r="M18">
        <v>4080</v>
      </c>
      <c r="N18" t="s">
        <v>111</v>
      </c>
      <c r="O18" t="s">
        <v>100</v>
      </c>
      <c r="P18">
        <v>2</v>
      </c>
      <c r="Q18">
        <v>0</v>
      </c>
      <c r="R18">
        <v>0</v>
      </c>
      <c r="S18">
        <v>0</v>
      </c>
      <c r="T18">
        <v>6</v>
      </c>
      <c r="U18">
        <v>7</v>
      </c>
      <c r="V18">
        <v>16</v>
      </c>
      <c r="W18">
        <v>10</v>
      </c>
      <c r="X18">
        <v>10</v>
      </c>
      <c r="Y18">
        <v>15</v>
      </c>
      <c r="Z18">
        <v>2</v>
      </c>
      <c r="AA18">
        <v>6</v>
      </c>
      <c r="AB18">
        <v>1</v>
      </c>
      <c r="AC18">
        <v>2</v>
      </c>
      <c r="AD18">
        <v>16</v>
      </c>
      <c r="AE18">
        <v>17</v>
      </c>
      <c r="AF18">
        <v>4</v>
      </c>
      <c r="AG18">
        <v>11</v>
      </c>
      <c r="AH18">
        <v>2</v>
      </c>
      <c r="AI18">
        <v>1</v>
      </c>
      <c r="AJ18" t="s">
        <v>112</v>
      </c>
      <c r="AK18">
        <v>1</v>
      </c>
    </row>
    <row r="19" spans="1:37" x14ac:dyDescent="0.25">
      <c r="A19">
        <v>2024</v>
      </c>
      <c r="B19" s="1">
        <v>45400</v>
      </c>
      <c r="C19">
        <v>2</v>
      </c>
      <c r="D19">
        <v>5532</v>
      </c>
      <c r="E19">
        <v>15010</v>
      </c>
      <c r="F19" t="s">
        <v>56</v>
      </c>
      <c r="G19" t="s">
        <v>82</v>
      </c>
      <c r="H19" t="s">
        <v>58</v>
      </c>
      <c r="I19" t="s">
        <v>84</v>
      </c>
      <c r="J19">
        <v>4</v>
      </c>
      <c r="K19">
        <v>11</v>
      </c>
      <c r="L19">
        <v>2260</v>
      </c>
      <c r="M19">
        <v>2995</v>
      </c>
      <c r="N19" t="s">
        <v>113</v>
      </c>
      <c r="O19" t="s">
        <v>114</v>
      </c>
      <c r="P19">
        <v>2</v>
      </c>
      <c r="Q19">
        <v>1</v>
      </c>
      <c r="R19">
        <v>1</v>
      </c>
      <c r="S19">
        <v>0</v>
      </c>
      <c r="T19">
        <v>4</v>
      </c>
      <c r="U19">
        <v>6</v>
      </c>
      <c r="V19">
        <v>14</v>
      </c>
      <c r="W19">
        <v>15</v>
      </c>
      <c r="X19">
        <v>14</v>
      </c>
      <c r="Y19">
        <v>12</v>
      </c>
      <c r="Z19">
        <v>2</v>
      </c>
      <c r="AA19">
        <v>3</v>
      </c>
      <c r="AB19">
        <v>0</v>
      </c>
      <c r="AC19">
        <v>3</v>
      </c>
      <c r="AD19">
        <v>17</v>
      </c>
      <c r="AE19">
        <v>13</v>
      </c>
      <c r="AF19">
        <v>9</v>
      </c>
      <c r="AG19">
        <v>8</v>
      </c>
      <c r="AH19">
        <v>1</v>
      </c>
      <c r="AI19">
        <v>1</v>
      </c>
      <c r="AJ19" t="s">
        <v>115</v>
      </c>
      <c r="AK19">
        <v>0</v>
      </c>
    </row>
    <row r="20" spans="1:37" x14ac:dyDescent="0.25">
      <c r="A20">
        <v>2024</v>
      </c>
      <c r="B20" s="1">
        <v>45401</v>
      </c>
      <c r="C20">
        <v>2</v>
      </c>
      <c r="D20">
        <v>8508</v>
      </c>
      <c r="E20">
        <v>46931</v>
      </c>
      <c r="F20" t="s">
        <v>51</v>
      </c>
      <c r="G20" t="s">
        <v>76</v>
      </c>
      <c r="H20" t="s">
        <v>53</v>
      </c>
      <c r="I20" t="s">
        <v>78</v>
      </c>
      <c r="J20">
        <v>10</v>
      </c>
      <c r="K20">
        <v>20</v>
      </c>
      <c r="L20">
        <v>3900</v>
      </c>
      <c r="M20">
        <v>930</v>
      </c>
      <c r="N20" t="s">
        <v>116</v>
      </c>
      <c r="O20" t="s">
        <v>117</v>
      </c>
      <c r="P20">
        <v>1</v>
      </c>
      <c r="Q20">
        <v>0</v>
      </c>
      <c r="R20">
        <v>1</v>
      </c>
      <c r="S20">
        <v>0</v>
      </c>
      <c r="T20">
        <v>8</v>
      </c>
      <c r="U20">
        <v>8</v>
      </c>
      <c r="V20">
        <v>13</v>
      </c>
      <c r="W20">
        <v>11</v>
      </c>
      <c r="X20">
        <v>11</v>
      </c>
      <c r="Y20">
        <v>13</v>
      </c>
      <c r="Z20">
        <v>3</v>
      </c>
      <c r="AA20">
        <v>3</v>
      </c>
      <c r="AB20">
        <v>1</v>
      </c>
      <c r="AC20">
        <v>2</v>
      </c>
      <c r="AD20">
        <v>13</v>
      </c>
      <c r="AE20">
        <v>12</v>
      </c>
      <c r="AF20">
        <v>6</v>
      </c>
      <c r="AG20">
        <v>4</v>
      </c>
      <c r="AH20">
        <v>1</v>
      </c>
      <c r="AI20">
        <v>1</v>
      </c>
      <c r="AJ20" t="s">
        <v>118</v>
      </c>
      <c r="AK20">
        <v>0</v>
      </c>
    </row>
    <row r="21" spans="1:37" x14ac:dyDescent="0.25">
      <c r="A21">
        <v>2024</v>
      </c>
      <c r="B21" s="1">
        <v>45449</v>
      </c>
      <c r="C21">
        <v>2</v>
      </c>
      <c r="D21">
        <v>3614</v>
      </c>
      <c r="E21">
        <v>42968</v>
      </c>
      <c r="F21" t="s">
        <v>70</v>
      </c>
      <c r="G21" t="s">
        <v>94</v>
      </c>
      <c r="H21" t="s">
        <v>119</v>
      </c>
      <c r="I21" t="s">
        <v>64</v>
      </c>
      <c r="J21">
        <v>18</v>
      </c>
      <c r="K21">
        <v>16</v>
      </c>
      <c r="L21">
        <v>1200</v>
      </c>
      <c r="M21">
        <v>1433</v>
      </c>
      <c r="N21" t="s">
        <v>120</v>
      </c>
      <c r="O21" t="s">
        <v>120</v>
      </c>
      <c r="P21">
        <v>0</v>
      </c>
      <c r="Q21">
        <v>0</v>
      </c>
      <c r="R21">
        <v>0</v>
      </c>
      <c r="S21">
        <v>0</v>
      </c>
      <c r="T21">
        <v>4</v>
      </c>
      <c r="U21">
        <v>3</v>
      </c>
      <c r="V21">
        <v>19</v>
      </c>
      <c r="W21">
        <v>14</v>
      </c>
      <c r="X21">
        <v>13</v>
      </c>
      <c r="Y21">
        <v>17</v>
      </c>
      <c r="Z21">
        <v>4</v>
      </c>
      <c r="AA21">
        <v>0</v>
      </c>
      <c r="AB21">
        <v>1</v>
      </c>
      <c r="AC21">
        <v>1</v>
      </c>
      <c r="AD21">
        <v>11</v>
      </c>
      <c r="AE21">
        <v>13</v>
      </c>
      <c r="AF21">
        <v>7</v>
      </c>
      <c r="AG21">
        <v>7</v>
      </c>
      <c r="AH21">
        <v>0</v>
      </c>
      <c r="AI21">
        <v>0</v>
      </c>
      <c r="AJ21" t="s">
        <v>121</v>
      </c>
      <c r="AK21">
        <v>0</v>
      </c>
    </row>
    <row r="22" spans="1:37" x14ac:dyDescent="0.25">
      <c r="A22">
        <v>2024</v>
      </c>
      <c r="B22" s="1">
        <v>45402</v>
      </c>
      <c r="C22">
        <v>3</v>
      </c>
      <c r="D22">
        <v>22904</v>
      </c>
      <c r="E22">
        <v>60540</v>
      </c>
      <c r="F22" t="s">
        <v>83</v>
      </c>
      <c r="G22" t="s">
        <v>70</v>
      </c>
      <c r="H22" t="s">
        <v>85</v>
      </c>
      <c r="I22" t="s">
        <v>72</v>
      </c>
      <c r="J22">
        <v>5</v>
      </c>
      <c r="K22">
        <v>19</v>
      </c>
      <c r="L22">
        <v>4060</v>
      </c>
      <c r="M22">
        <v>1360</v>
      </c>
      <c r="N22" t="s">
        <v>122</v>
      </c>
      <c r="O22" t="s">
        <v>123</v>
      </c>
      <c r="P22">
        <v>1</v>
      </c>
      <c r="Q22">
        <v>0</v>
      </c>
      <c r="R22">
        <v>1</v>
      </c>
      <c r="S22">
        <v>0</v>
      </c>
      <c r="T22">
        <v>3</v>
      </c>
      <c r="U22">
        <v>4</v>
      </c>
      <c r="V22">
        <v>10</v>
      </c>
      <c r="W22">
        <v>5</v>
      </c>
      <c r="X22">
        <v>5</v>
      </c>
      <c r="Y22">
        <v>10</v>
      </c>
      <c r="Z22">
        <v>3</v>
      </c>
      <c r="AA22">
        <v>3</v>
      </c>
      <c r="AB22">
        <v>0</v>
      </c>
      <c r="AC22">
        <v>0</v>
      </c>
      <c r="AD22">
        <v>7</v>
      </c>
      <c r="AE22">
        <v>14</v>
      </c>
      <c r="AF22">
        <v>3</v>
      </c>
      <c r="AG22">
        <v>8</v>
      </c>
      <c r="AH22">
        <v>1</v>
      </c>
      <c r="AI22">
        <v>1</v>
      </c>
      <c r="AJ22" t="s">
        <v>124</v>
      </c>
      <c r="AK22">
        <v>0</v>
      </c>
    </row>
    <row r="23" spans="1:37" x14ac:dyDescent="0.25">
      <c r="A23">
        <v>2024</v>
      </c>
      <c r="B23" s="1">
        <v>45402</v>
      </c>
      <c r="C23">
        <v>3</v>
      </c>
      <c r="D23">
        <v>25842</v>
      </c>
      <c r="E23">
        <v>82238</v>
      </c>
      <c r="F23" t="s">
        <v>55</v>
      </c>
      <c r="G23" t="s">
        <v>82</v>
      </c>
      <c r="H23" t="s">
        <v>57</v>
      </c>
      <c r="I23" t="s">
        <v>84</v>
      </c>
      <c r="J23">
        <v>10</v>
      </c>
      <c r="K23">
        <v>15</v>
      </c>
      <c r="L23">
        <v>5685</v>
      </c>
      <c r="M23">
        <v>2525</v>
      </c>
      <c r="N23">
        <v>32</v>
      </c>
      <c r="O23" t="s">
        <v>66</v>
      </c>
      <c r="P23">
        <v>2</v>
      </c>
      <c r="Q23">
        <v>1</v>
      </c>
      <c r="R23">
        <v>1</v>
      </c>
      <c r="S23">
        <v>0</v>
      </c>
      <c r="T23">
        <v>2</v>
      </c>
      <c r="U23">
        <v>7</v>
      </c>
      <c r="V23">
        <v>16</v>
      </c>
      <c r="W23">
        <v>17</v>
      </c>
      <c r="X23">
        <v>17</v>
      </c>
      <c r="Y23">
        <v>15</v>
      </c>
      <c r="Z23">
        <v>4</v>
      </c>
      <c r="AA23">
        <v>6</v>
      </c>
      <c r="AB23">
        <v>1</v>
      </c>
      <c r="AC23">
        <v>4</v>
      </c>
      <c r="AD23">
        <v>11</v>
      </c>
      <c r="AE23">
        <v>21</v>
      </c>
      <c r="AF23">
        <v>2</v>
      </c>
      <c r="AG23">
        <v>8</v>
      </c>
      <c r="AH23">
        <v>1</v>
      </c>
      <c r="AI23">
        <v>1</v>
      </c>
      <c r="AJ23" t="s">
        <v>125</v>
      </c>
      <c r="AK23">
        <v>0</v>
      </c>
    </row>
    <row r="24" spans="1:37" x14ac:dyDescent="0.25">
      <c r="A24">
        <v>2024</v>
      </c>
      <c r="B24" s="1">
        <v>45402</v>
      </c>
      <c r="C24">
        <v>3</v>
      </c>
      <c r="D24">
        <v>9613</v>
      </c>
      <c r="E24">
        <v>15010</v>
      </c>
      <c r="F24" t="s">
        <v>56</v>
      </c>
      <c r="G24" t="s">
        <v>88</v>
      </c>
      <c r="H24" t="s">
        <v>58</v>
      </c>
      <c r="I24" t="s">
        <v>90</v>
      </c>
      <c r="J24">
        <v>1</v>
      </c>
      <c r="K24">
        <v>18</v>
      </c>
      <c r="L24">
        <v>3610</v>
      </c>
      <c r="M24">
        <v>4150</v>
      </c>
      <c r="N24">
        <v>24</v>
      </c>
      <c r="O24" t="s">
        <v>107</v>
      </c>
      <c r="P24">
        <v>1</v>
      </c>
      <c r="Q24">
        <v>0</v>
      </c>
      <c r="R24">
        <v>1</v>
      </c>
      <c r="S24">
        <v>0</v>
      </c>
      <c r="T24">
        <v>3</v>
      </c>
      <c r="U24">
        <v>4</v>
      </c>
      <c r="V24">
        <v>21</v>
      </c>
      <c r="W24">
        <v>10</v>
      </c>
      <c r="X24">
        <v>10</v>
      </c>
      <c r="Y24">
        <v>20</v>
      </c>
      <c r="Z24">
        <v>4</v>
      </c>
      <c r="AA24">
        <v>2</v>
      </c>
      <c r="AB24">
        <v>0</v>
      </c>
      <c r="AC24">
        <v>4</v>
      </c>
      <c r="AD24">
        <v>10</v>
      </c>
      <c r="AE24">
        <v>15</v>
      </c>
      <c r="AF24">
        <v>5</v>
      </c>
      <c r="AG24">
        <v>8</v>
      </c>
      <c r="AH24">
        <v>1</v>
      </c>
      <c r="AI24">
        <v>1</v>
      </c>
      <c r="AJ24" t="s">
        <v>126</v>
      </c>
      <c r="AK24">
        <v>0</v>
      </c>
    </row>
    <row r="25" spans="1:37" x14ac:dyDescent="0.25">
      <c r="A25">
        <v>2024</v>
      </c>
      <c r="B25" s="1">
        <v>45403</v>
      </c>
      <c r="C25">
        <v>3</v>
      </c>
      <c r="D25">
        <v>29956</v>
      </c>
      <c r="E25">
        <v>43713</v>
      </c>
      <c r="F25" t="s">
        <v>95</v>
      </c>
      <c r="G25" t="s">
        <v>77</v>
      </c>
      <c r="H25" t="s">
        <v>97</v>
      </c>
      <c r="I25" t="s">
        <v>79</v>
      </c>
      <c r="J25">
        <v>11</v>
      </c>
      <c r="K25">
        <v>2</v>
      </c>
      <c r="L25">
        <v>13050</v>
      </c>
      <c r="M25">
        <v>5820</v>
      </c>
      <c r="N25" t="s">
        <v>114</v>
      </c>
      <c r="O25">
        <v>29</v>
      </c>
      <c r="P25">
        <v>0</v>
      </c>
      <c r="Q25">
        <v>0</v>
      </c>
      <c r="R25">
        <v>0</v>
      </c>
      <c r="S25">
        <v>0</v>
      </c>
      <c r="T25">
        <v>5</v>
      </c>
      <c r="U25">
        <v>5</v>
      </c>
      <c r="V25">
        <v>23</v>
      </c>
      <c r="W25">
        <v>14</v>
      </c>
      <c r="X25">
        <v>13</v>
      </c>
      <c r="Y25">
        <v>23</v>
      </c>
      <c r="Z25">
        <v>3</v>
      </c>
      <c r="AA25">
        <v>1</v>
      </c>
      <c r="AB25">
        <v>3</v>
      </c>
      <c r="AC25">
        <v>0</v>
      </c>
      <c r="AD25">
        <v>11</v>
      </c>
      <c r="AE25">
        <v>8</v>
      </c>
      <c r="AF25">
        <v>7</v>
      </c>
      <c r="AG25">
        <v>3</v>
      </c>
      <c r="AH25">
        <v>0</v>
      </c>
      <c r="AI25">
        <v>0</v>
      </c>
      <c r="AJ25" t="s">
        <v>127</v>
      </c>
      <c r="AK25">
        <v>0</v>
      </c>
    </row>
    <row r="26" spans="1:37" x14ac:dyDescent="0.25">
      <c r="A26">
        <v>2024</v>
      </c>
      <c r="B26" s="1">
        <v>45403</v>
      </c>
      <c r="C26">
        <v>3</v>
      </c>
      <c r="D26">
        <v>13273</v>
      </c>
      <c r="E26">
        <v>46931</v>
      </c>
      <c r="F26" t="s">
        <v>51</v>
      </c>
      <c r="G26" t="s">
        <v>44</v>
      </c>
      <c r="H26" t="s">
        <v>53</v>
      </c>
      <c r="I26" t="s">
        <v>46</v>
      </c>
      <c r="J26">
        <v>3</v>
      </c>
      <c r="K26">
        <v>13</v>
      </c>
      <c r="L26">
        <v>2720</v>
      </c>
      <c r="M26">
        <v>840</v>
      </c>
      <c r="N26" t="s">
        <v>128</v>
      </c>
      <c r="O26" t="s">
        <v>129</v>
      </c>
      <c r="P26">
        <v>5</v>
      </c>
      <c r="Q26">
        <v>1</v>
      </c>
      <c r="R26">
        <v>2</v>
      </c>
      <c r="S26">
        <v>0</v>
      </c>
      <c r="T26">
        <v>5</v>
      </c>
      <c r="U26">
        <v>4</v>
      </c>
      <c r="V26">
        <v>22</v>
      </c>
      <c r="W26">
        <v>10</v>
      </c>
      <c r="X26">
        <v>10</v>
      </c>
      <c r="Y26">
        <v>20</v>
      </c>
      <c r="Z26">
        <v>0</v>
      </c>
      <c r="AA26">
        <v>1</v>
      </c>
      <c r="AB26">
        <v>1</v>
      </c>
      <c r="AC26">
        <v>1</v>
      </c>
      <c r="AD26">
        <v>13</v>
      </c>
      <c r="AE26">
        <v>12</v>
      </c>
      <c r="AF26">
        <v>5</v>
      </c>
      <c r="AG26">
        <v>5</v>
      </c>
      <c r="AH26">
        <v>4</v>
      </c>
      <c r="AI26">
        <v>1</v>
      </c>
      <c r="AJ26" t="s">
        <v>130</v>
      </c>
      <c r="AK26">
        <v>0</v>
      </c>
    </row>
    <row r="27" spans="1:37" x14ac:dyDescent="0.25">
      <c r="A27">
        <v>2024</v>
      </c>
      <c r="B27" s="1">
        <v>45403</v>
      </c>
      <c r="C27">
        <v>3</v>
      </c>
      <c r="D27">
        <v>27609</v>
      </c>
      <c r="E27">
        <v>30618</v>
      </c>
      <c r="F27" t="s">
        <v>94</v>
      </c>
      <c r="G27" t="s">
        <v>38</v>
      </c>
      <c r="H27" t="s">
        <v>96</v>
      </c>
      <c r="I27" t="s">
        <v>40</v>
      </c>
      <c r="J27">
        <v>17</v>
      </c>
      <c r="K27">
        <v>9</v>
      </c>
      <c r="L27">
        <v>1158</v>
      </c>
      <c r="M27">
        <v>3060</v>
      </c>
      <c r="N27" t="s">
        <v>98</v>
      </c>
      <c r="O27" t="s">
        <v>123</v>
      </c>
      <c r="P27">
        <v>2</v>
      </c>
      <c r="Q27">
        <v>2</v>
      </c>
      <c r="R27">
        <v>1</v>
      </c>
      <c r="S27">
        <v>0</v>
      </c>
      <c r="T27">
        <v>2</v>
      </c>
      <c r="U27">
        <v>5</v>
      </c>
      <c r="V27">
        <v>11</v>
      </c>
      <c r="W27">
        <v>13</v>
      </c>
      <c r="X27">
        <v>12</v>
      </c>
      <c r="Y27">
        <v>11</v>
      </c>
      <c r="Z27">
        <v>4</v>
      </c>
      <c r="AA27">
        <v>6</v>
      </c>
      <c r="AB27">
        <v>5</v>
      </c>
      <c r="AC27">
        <v>2</v>
      </c>
      <c r="AD27">
        <v>13</v>
      </c>
      <c r="AE27">
        <v>18</v>
      </c>
      <c r="AF27">
        <v>4</v>
      </c>
      <c r="AG27">
        <v>6</v>
      </c>
      <c r="AH27">
        <v>0</v>
      </c>
      <c r="AI27">
        <v>0</v>
      </c>
      <c r="AJ27" t="s">
        <v>131</v>
      </c>
      <c r="AK27">
        <v>0</v>
      </c>
    </row>
    <row r="28" spans="1:37" x14ac:dyDescent="0.25">
      <c r="A28">
        <v>2024</v>
      </c>
      <c r="B28" s="1">
        <v>45403</v>
      </c>
      <c r="C28">
        <v>3</v>
      </c>
      <c r="D28">
        <v>9017</v>
      </c>
      <c r="E28">
        <v>13000</v>
      </c>
      <c r="F28" t="s">
        <v>76</v>
      </c>
      <c r="G28" t="s">
        <v>62</v>
      </c>
      <c r="H28" t="s">
        <v>78</v>
      </c>
      <c r="I28" t="s">
        <v>132</v>
      </c>
      <c r="J28">
        <v>20</v>
      </c>
      <c r="K28">
        <v>14</v>
      </c>
      <c r="L28">
        <v>1150</v>
      </c>
      <c r="M28">
        <v>3960</v>
      </c>
      <c r="N28" t="s">
        <v>80</v>
      </c>
      <c r="O28" t="s">
        <v>66</v>
      </c>
      <c r="P28">
        <v>0</v>
      </c>
      <c r="Q28">
        <v>3</v>
      </c>
      <c r="R28">
        <v>0</v>
      </c>
      <c r="S28">
        <v>1</v>
      </c>
      <c r="T28">
        <v>4</v>
      </c>
      <c r="U28">
        <v>3</v>
      </c>
      <c r="V28">
        <v>13</v>
      </c>
      <c r="W28">
        <v>9</v>
      </c>
      <c r="X28">
        <v>9</v>
      </c>
      <c r="Y28">
        <v>12</v>
      </c>
      <c r="Z28">
        <v>4</v>
      </c>
      <c r="AA28">
        <v>1</v>
      </c>
      <c r="AB28">
        <v>0</v>
      </c>
      <c r="AC28">
        <v>2</v>
      </c>
      <c r="AD28">
        <v>9</v>
      </c>
      <c r="AE28">
        <v>19</v>
      </c>
      <c r="AF28">
        <v>4</v>
      </c>
      <c r="AG28">
        <v>4</v>
      </c>
      <c r="AH28">
        <v>-3</v>
      </c>
      <c r="AI28">
        <v>0</v>
      </c>
      <c r="AJ28" t="s">
        <v>133</v>
      </c>
      <c r="AK28">
        <v>1</v>
      </c>
    </row>
    <row r="29" spans="1:37" x14ac:dyDescent="0.25">
      <c r="A29">
        <v>2024</v>
      </c>
      <c r="B29" s="1">
        <v>45403</v>
      </c>
      <c r="C29">
        <v>3</v>
      </c>
      <c r="D29">
        <v>39541</v>
      </c>
      <c r="E29">
        <v>46000</v>
      </c>
      <c r="F29" t="s">
        <v>89</v>
      </c>
      <c r="G29" t="s">
        <v>50</v>
      </c>
      <c r="H29" t="s">
        <v>91</v>
      </c>
      <c r="I29" t="s">
        <v>52</v>
      </c>
      <c r="J29">
        <v>7</v>
      </c>
      <c r="K29">
        <v>12</v>
      </c>
      <c r="L29">
        <v>5720</v>
      </c>
      <c r="M29">
        <v>2005</v>
      </c>
      <c r="N29">
        <v>30</v>
      </c>
      <c r="O29" t="s">
        <v>134</v>
      </c>
      <c r="P29">
        <v>3</v>
      </c>
      <c r="Q29">
        <v>0</v>
      </c>
      <c r="R29">
        <v>3</v>
      </c>
      <c r="S29">
        <v>0</v>
      </c>
      <c r="T29">
        <v>4</v>
      </c>
      <c r="U29">
        <v>4</v>
      </c>
      <c r="V29">
        <v>15</v>
      </c>
      <c r="W29">
        <v>17</v>
      </c>
      <c r="X29">
        <v>16</v>
      </c>
      <c r="Y29">
        <v>15</v>
      </c>
      <c r="Z29">
        <v>2</v>
      </c>
      <c r="AA29">
        <v>1</v>
      </c>
      <c r="AB29">
        <v>1</v>
      </c>
      <c r="AC29">
        <v>2</v>
      </c>
      <c r="AD29">
        <v>9</v>
      </c>
      <c r="AE29">
        <v>10</v>
      </c>
      <c r="AF29">
        <v>3</v>
      </c>
      <c r="AG29">
        <v>1</v>
      </c>
      <c r="AH29">
        <v>3</v>
      </c>
      <c r="AI29">
        <v>1</v>
      </c>
      <c r="AJ29" t="s">
        <v>103</v>
      </c>
      <c r="AK29">
        <v>0</v>
      </c>
    </row>
    <row r="30" spans="1:37" x14ac:dyDescent="0.25">
      <c r="A30">
        <v>2024</v>
      </c>
      <c r="B30" s="1">
        <v>45409</v>
      </c>
      <c r="C30">
        <v>4</v>
      </c>
      <c r="D30">
        <v>6711</v>
      </c>
      <c r="E30">
        <v>42968</v>
      </c>
      <c r="F30" t="s">
        <v>70</v>
      </c>
      <c r="G30" t="s">
        <v>89</v>
      </c>
      <c r="H30" t="s">
        <v>72</v>
      </c>
      <c r="I30" t="s">
        <v>91</v>
      </c>
      <c r="J30">
        <v>20</v>
      </c>
      <c r="K30">
        <v>2</v>
      </c>
      <c r="L30">
        <v>1380</v>
      </c>
      <c r="M30">
        <v>4900</v>
      </c>
      <c r="N30">
        <v>28</v>
      </c>
      <c r="O30" t="s">
        <v>135</v>
      </c>
      <c r="P30">
        <v>0</v>
      </c>
      <c r="Q30">
        <v>3</v>
      </c>
      <c r="R30">
        <v>0</v>
      </c>
      <c r="S30">
        <v>1</v>
      </c>
      <c r="T30">
        <v>3</v>
      </c>
      <c r="U30">
        <v>10</v>
      </c>
      <c r="V30">
        <v>11</v>
      </c>
      <c r="W30">
        <v>17</v>
      </c>
      <c r="X30">
        <v>16</v>
      </c>
      <c r="Y30">
        <v>11</v>
      </c>
      <c r="Z30">
        <v>2</v>
      </c>
      <c r="AA30">
        <v>1</v>
      </c>
      <c r="AB30">
        <v>2</v>
      </c>
      <c r="AC30">
        <v>1</v>
      </c>
      <c r="AD30">
        <v>4</v>
      </c>
      <c r="AE30">
        <v>13</v>
      </c>
      <c r="AF30">
        <v>2</v>
      </c>
      <c r="AG30">
        <v>5</v>
      </c>
      <c r="AH30">
        <v>-3</v>
      </c>
      <c r="AI30">
        <v>0</v>
      </c>
      <c r="AJ30" t="s">
        <v>136</v>
      </c>
      <c r="AK30">
        <v>0</v>
      </c>
    </row>
    <row r="31" spans="1:37" x14ac:dyDescent="0.25">
      <c r="A31">
        <v>2024</v>
      </c>
      <c r="B31" s="1">
        <v>45409</v>
      </c>
      <c r="C31">
        <v>4</v>
      </c>
      <c r="D31">
        <v>17124</v>
      </c>
      <c r="E31">
        <v>24584</v>
      </c>
      <c r="F31" t="s">
        <v>82</v>
      </c>
      <c r="G31" t="s">
        <v>43</v>
      </c>
      <c r="H31" t="s">
        <v>84</v>
      </c>
      <c r="I31" t="s">
        <v>45</v>
      </c>
      <c r="J31">
        <v>17</v>
      </c>
      <c r="K31">
        <v>10</v>
      </c>
      <c r="L31">
        <v>3015</v>
      </c>
      <c r="M31">
        <v>575</v>
      </c>
      <c r="N31" t="s">
        <v>137</v>
      </c>
      <c r="O31" t="s">
        <v>138</v>
      </c>
      <c r="P31">
        <v>0</v>
      </c>
      <c r="Q31">
        <v>4</v>
      </c>
      <c r="R31">
        <v>0</v>
      </c>
      <c r="S31">
        <v>1</v>
      </c>
      <c r="T31">
        <v>5</v>
      </c>
      <c r="U31">
        <v>4</v>
      </c>
      <c r="V31">
        <v>13</v>
      </c>
      <c r="W31">
        <v>7</v>
      </c>
      <c r="X31">
        <v>7</v>
      </c>
      <c r="Y31">
        <v>13</v>
      </c>
      <c r="Z31">
        <v>6</v>
      </c>
      <c r="AA31">
        <v>5</v>
      </c>
      <c r="AB31">
        <v>0</v>
      </c>
      <c r="AC31">
        <v>2</v>
      </c>
      <c r="AD31">
        <v>21</v>
      </c>
      <c r="AE31">
        <v>17</v>
      </c>
      <c r="AF31">
        <v>8</v>
      </c>
      <c r="AG31">
        <v>5</v>
      </c>
      <c r="AH31">
        <v>-4</v>
      </c>
      <c r="AI31">
        <v>0</v>
      </c>
      <c r="AJ31" t="s">
        <v>139</v>
      </c>
      <c r="AK31">
        <v>0</v>
      </c>
    </row>
    <row r="32" spans="1:37" x14ac:dyDescent="0.25">
      <c r="A32">
        <v>2024</v>
      </c>
      <c r="B32" s="1">
        <v>45410</v>
      </c>
      <c r="C32">
        <v>4</v>
      </c>
      <c r="D32">
        <v>20083</v>
      </c>
      <c r="E32">
        <v>61927</v>
      </c>
      <c r="F32" t="s">
        <v>50</v>
      </c>
      <c r="G32" t="s">
        <v>94</v>
      </c>
      <c r="H32" t="s">
        <v>52</v>
      </c>
      <c r="I32" t="s">
        <v>96</v>
      </c>
      <c r="J32">
        <v>7</v>
      </c>
      <c r="K32">
        <v>18</v>
      </c>
      <c r="L32">
        <v>3065</v>
      </c>
      <c r="M32">
        <v>1328</v>
      </c>
      <c r="N32" t="s">
        <v>98</v>
      </c>
      <c r="O32" t="s">
        <v>66</v>
      </c>
      <c r="P32">
        <v>3</v>
      </c>
      <c r="Q32">
        <v>1</v>
      </c>
      <c r="R32">
        <v>0</v>
      </c>
      <c r="S32">
        <v>0</v>
      </c>
      <c r="T32">
        <v>10</v>
      </c>
      <c r="U32">
        <v>4</v>
      </c>
      <c r="V32">
        <v>12</v>
      </c>
      <c r="W32">
        <v>6</v>
      </c>
      <c r="X32">
        <v>5</v>
      </c>
      <c r="Y32">
        <v>11</v>
      </c>
      <c r="Z32">
        <v>3</v>
      </c>
      <c r="AA32">
        <v>3</v>
      </c>
      <c r="AB32">
        <v>0</v>
      </c>
      <c r="AC32">
        <v>0</v>
      </c>
      <c r="AD32">
        <v>15</v>
      </c>
      <c r="AE32">
        <v>8</v>
      </c>
      <c r="AF32">
        <v>5</v>
      </c>
      <c r="AG32">
        <v>5</v>
      </c>
      <c r="AH32">
        <v>2</v>
      </c>
      <c r="AI32">
        <v>1</v>
      </c>
      <c r="AJ32" t="s">
        <v>140</v>
      </c>
      <c r="AK32">
        <v>0</v>
      </c>
    </row>
    <row r="33" spans="1:37" x14ac:dyDescent="0.25">
      <c r="A33">
        <v>2024</v>
      </c>
      <c r="B33" s="1">
        <v>45410</v>
      </c>
      <c r="C33">
        <v>4</v>
      </c>
      <c r="D33">
        <v>53683</v>
      </c>
      <c r="E33">
        <v>78838</v>
      </c>
      <c r="F33" t="s">
        <v>77</v>
      </c>
      <c r="G33" t="s">
        <v>51</v>
      </c>
      <c r="H33" t="s">
        <v>79</v>
      </c>
      <c r="I33" t="s">
        <v>53</v>
      </c>
      <c r="J33">
        <v>8</v>
      </c>
      <c r="K33">
        <v>1</v>
      </c>
      <c r="L33">
        <v>8820</v>
      </c>
      <c r="M33">
        <v>3275</v>
      </c>
      <c r="N33">
        <v>29</v>
      </c>
      <c r="O33" t="s">
        <v>100</v>
      </c>
      <c r="P33">
        <v>0</v>
      </c>
      <c r="Q33">
        <v>2</v>
      </c>
      <c r="R33">
        <v>0</v>
      </c>
      <c r="S33">
        <v>0</v>
      </c>
      <c r="T33">
        <v>8</v>
      </c>
      <c r="U33">
        <v>3</v>
      </c>
      <c r="V33">
        <v>12</v>
      </c>
      <c r="W33">
        <v>15</v>
      </c>
      <c r="X33">
        <v>15</v>
      </c>
      <c r="Y33">
        <v>12</v>
      </c>
      <c r="Z33">
        <v>1</v>
      </c>
      <c r="AA33">
        <v>0</v>
      </c>
      <c r="AB33">
        <v>2</v>
      </c>
      <c r="AC33">
        <v>1</v>
      </c>
      <c r="AD33">
        <v>15</v>
      </c>
      <c r="AE33">
        <v>9</v>
      </c>
      <c r="AF33">
        <v>11</v>
      </c>
      <c r="AG33">
        <v>1</v>
      </c>
      <c r="AH33">
        <v>-2</v>
      </c>
      <c r="AI33">
        <v>0</v>
      </c>
      <c r="AJ33" t="s">
        <v>141</v>
      </c>
      <c r="AK33">
        <v>0</v>
      </c>
    </row>
    <row r="34" spans="1:37" x14ac:dyDescent="0.25">
      <c r="A34">
        <v>2024</v>
      </c>
      <c r="B34" s="1">
        <v>45410</v>
      </c>
      <c r="C34">
        <v>4</v>
      </c>
      <c r="D34">
        <v>36066</v>
      </c>
      <c r="E34">
        <v>47364</v>
      </c>
      <c r="F34" t="s">
        <v>38</v>
      </c>
      <c r="G34" t="s">
        <v>83</v>
      </c>
      <c r="H34" t="s">
        <v>40</v>
      </c>
      <c r="I34" t="s">
        <v>85</v>
      </c>
      <c r="J34">
        <v>5</v>
      </c>
      <c r="K34">
        <v>9</v>
      </c>
      <c r="L34">
        <v>3120</v>
      </c>
      <c r="M34">
        <v>2950</v>
      </c>
      <c r="N34" t="s">
        <v>66</v>
      </c>
      <c r="O34" t="s">
        <v>142</v>
      </c>
      <c r="P34">
        <v>1</v>
      </c>
      <c r="Q34">
        <v>0</v>
      </c>
      <c r="R34">
        <v>1</v>
      </c>
      <c r="S34">
        <v>0</v>
      </c>
      <c r="T34">
        <v>4</v>
      </c>
      <c r="U34">
        <v>0</v>
      </c>
      <c r="V34">
        <v>10</v>
      </c>
      <c r="W34">
        <v>15</v>
      </c>
      <c r="X34">
        <v>13</v>
      </c>
      <c r="Y34">
        <v>10</v>
      </c>
      <c r="Z34">
        <v>2</v>
      </c>
      <c r="AA34">
        <v>3</v>
      </c>
      <c r="AB34">
        <v>1</v>
      </c>
      <c r="AC34">
        <v>2</v>
      </c>
      <c r="AD34">
        <v>14</v>
      </c>
      <c r="AE34">
        <v>3</v>
      </c>
      <c r="AF34">
        <v>5</v>
      </c>
      <c r="AG34">
        <v>1</v>
      </c>
      <c r="AH34">
        <v>1</v>
      </c>
      <c r="AI34">
        <v>1</v>
      </c>
      <c r="AJ34" t="s">
        <v>143</v>
      </c>
      <c r="AK34">
        <v>0</v>
      </c>
    </row>
    <row r="35" spans="1:37" x14ac:dyDescent="0.25">
      <c r="A35">
        <v>2024</v>
      </c>
      <c r="B35" s="1">
        <v>45410</v>
      </c>
      <c r="C35">
        <v>4</v>
      </c>
      <c r="D35">
        <v>18113</v>
      </c>
      <c r="E35">
        <v>60326</v>
      </c>
      <c r="F35" t="s">
        <v>63</v>
      </c>
      <c r="G35" t="s">
        <v>56</v>
      </c>
      <c r="H35" t="s">
        <v>65</v>
      </c>
      <c r="I35" t="s">
        <v>58</v>
      </c>
      <c r="J35">
        <v>11</v>
      </c>
      <c r="K35">
        <v>3</v>
      </c>
      <c r="L35">
        <v>1115</v>
      </c>
      <c r="M35">
        <v>3630</v>
      </c>
      <c r="N35" t="s">
        <v>144</v>
      </c>
      <c r="O35" t="s">
        <v>145</v>
      </c>
      <c r="P35">
        <v>1</v>
      </c>
      <c r="Q35">
        <v>1</v>
      </c>
      <c r="R35">
        <v>1</v>
      </c>
      <c r="S35">
        <v>1</v>
      </c>
      <c r="T35">
        <v>12</v>
      </c>
      <c r="U35">
        <v>6</v>
      </c>
      <c r="V35">
        <v>9</v>
      </c>
      <c r="W35">
        <v>6</v>
      </c>
      <c r="X35">
        <v>6</v>
      </c>
      <c r="Y35">
        <v>8</v>
      </c>
      <c r="Z35">
        <v>2</v>
      </c>
      <c r="AA35">
        <v>4</v>
      </c>
      <c r="AB35">
        <v>1</v>
      </c>
      <c r="AC35">
        <v>2</v>
      </c>
      <c r="AD35">
        <v>22</v>
      </c>
      <c r="AE35">
        <v>10</v>
      </c>
      <c r="AF35">
        <v>9</v>
      </c>
      <c r="AG35">
        <v>4</v>
      </c>
      <c r="AH35">
        <v>0</v>
      </c>
      <c r="AI35">
        <v>0</v>
      </c>
      <c r="AJ35" t="s">
        <v>146</v>
      </c>
      <c r="AK35">
        <v>0</v>
      </c>
    </row>
    <row r="36" spans="1:37" x14ac:dyDescent="0.25">
      <c r="A36">
        <v>2024</v>
      </c>
      <c r="B36" s="1">
        <v>45410</v>
      </c>
      <c r="C36">
        <v>4</v>
      </c>
      <c r="D36">
        <v>42119</v>
      </c>
      <c r="E36">
        <v>49205</v>
      </c>
      <c r="F36" t="s">
        <v>88</v>
      </c>
      <c r="G36" t="s">
        <v>55</v>
      </c>
      <c r="H36" t="s">
        <v>90</v>
      </c>
      <c r="I36" t="s">
        <v>57</v>
      </c>
      <c r="J36">
        <v>15</v>
      </c>
      <c r="K36">
        <v>16</v>
      </c>
      <c r="L36">
        <v>2730</v>
      </c>
      <c r="M36">
        <v>3795</v>
      </c>
      <c r="N36">
        <v>27</v>
      </c>
      <c r="O36" t="s">
        <v>147</v>
      </c>
      <c r="P36">
        <v>3</v>
      </c>
      <c r="Q36">
        <v>0</v>
      </c>
      <c r="R36">
        <v>2</v>
      </c>
      <c r="S36">
        <v>0</v>
      </c>
      <c r="T36">
        <v>6</v>
      </c>
      <c r="U36">
        <v>8</v>
      </c>
      <c r="V36">
        <v>15</v>
      </c>
      <c r="W36">
        <v>15</v>
      </c>
      <c r="X36">
        <v>15</v>
      </c>
      <c r="Y36">
        <v>14</v>
      </c>
      <c r="Z36">
        <v>2</v>
      </c>
      <c r="AA36">
        <v>4</v>
      </c>
      <c r="AB36">
        <v>1</v>
      </c>
      <c r="AC36">
        <v>2</v>
      </c>
      <c r="AD36">
        <v>17</v>
      </c>
      <c r="AE36">
        <v>13</v>
      </c>
      <c r="AF36">
        <v>4</v>
      </c>
      <c r="AG36">
        <v>5</v>
      </c>
      <c r="AH36">
        <v>3</v>
      </c>
      <c r="AI36">
        <v>1</v>
      </c>
      <c r="AJ36" t="s">
        <v>148</v>
      </c>
      <c r="AK36">
        <v>0</v>
      </c>
    </row>
    <row r="37" spans="1:37" x14ac:dyDescent="0.25">
      <c r="A37">
        <v>2024</v>
      </c>
      <c r="B37" s="1">
        <v>45410</v>
      </c>
      <c r="C37">
        <v>4</v>
      </c>
      <c r="D37">
        <v>5032</v>
      </c>
      <c r="E37">
        <v>23726</v>
      </c>
      <c r="F37" t="s">
        <v>44</v>
      </c>
      <c r="G37" t="s">
        <v>69</v>
      </c>
      <c r="H37" t="s">
        <v>46</v>
      </c>
      <c r="I37" t="s">
        <v>71</v>
      </c>
      <c r="J37">
        <v>13</v>
      </c>
      <c r="K37">
        <v>4</v>
      </c>
      <c r="L37">
        <v>810</v>
      </c>
      <c r="M37">
        <v>3745</v>
      </c>
      <c r="N37">
        <v>29</v>
      </c>
      <c r="O37" t="s">
        <v>149</v>
      </c>
      <c r="P37">
        <v>1</v>
      </c>
      <c r="Q37">
        <v>1</v>
      </c>
      <c r="R37">
        <v>1</v>
      </c>
      <c r="S37">
        <v>0</v>
      </c>
      <c r="T37">
        <v>4</v>
      </c>
      <c r="U37">
        <v>6</v>
      </c>
      <c r="V37">
        <v>12</v>
      </c>
      <c r="W37">
        <v>17</v>
      </c>
      <c r="X37">
        <v>17</v>
      </c>
      <c r="Y37">
        <v>12</v>
      </c>
      <c r="Z37">
        <v>6</v>
      </c>
      <c r="AA37">
        <v>4</v>
      </c>
      <c r="AB37">
        <v>1</v>
      </c>
      <c r="AC37">
        <v>3</v>
      </c>
      <c r="AD37">
        <v>15</v>
      </c>
      <c r="AE37">
        <v>15</v>
      </c>
      <c r="AF37">
        <v>6</v>
      </c>
      <c r="AG37">
        <v>5</v>
      </c>
      <c r="AH37">
        <v>0</v>
      </c>
      <c r="AI37">
        <v>0</v>
      </c>
      <c r="AJ37" t="s">
        <v>150</v>
      </c>
      <c r="AK37">
        <v>0</v>
      </c>
    </row>
    <row r="38" spans="1:37" x14ac:dyDescent="0.25">
      <c r="A38">
        <v>2024</v>
      </c>
      <c r="B38" s="1">
        <v>45411</v>
      </c>
      <c r="C38">
        <v>4</v>
      </c>
      <c r="D38">
        <v>23836</v>
      </c>
      <c r="E38">
        <v>50848</v>
      </c>
      <c r="F38" t="s">
        <v>37</v>
      </c>
      <c r="G38" t="s">
        <v>76</v>
      </c>
      <c r="H38" t="s">
        <v>39</v>
      </c>
      <c r="I38" t="s">
        <v>78</v>
      </c>
      <c r="J38">
        <v>6</v>
      </c>
      <c r="K38">
        <v>19</v>
      </c>
      <c r="L38">
        <v>5125</v>
      </c>
      <c r="M38">
        <v>1020</v>
      </c>
      <c r="N38" t="s">
        <v>66</v>
      </c>
      <c r="O38" t="s">
        <v>151</v>
      </c>
      <c r="P38">
        <v>1</v>
      </c>
      <c r="Q38">
        <v>1</v>
      </c>
      <c r="R38">
        <v>0</v>
      </c>
      <c r="S38">
        <v>0</v>
      </c>
      <c r="T38">
        <v>13</v>
      </c>
      <c r="U38">
        <v>0</v>
      </c>
      <c r="V38">
        <v>13</v>
      </c>
      <c r="W38">
        <v>12</v>
      </c>
      <c r="X38">
        <v>12</v>
      </c>
      <c r="Y38">
        <v>13</v>
      </c>
      <c r="Z38">
        <v>1</v>
      </c>
      <c r="AA38">
        <v>4</v>
      </c>
      <c r="AB38">
        <v>1</v>
      </c>
      <c r="AC38">
        <v>5</v>
      </c>
      <c r="AD38">
        <v>22</v>
      </c>
      <c r="AE38">
        <v>4</v>
      </c>
      <c r="AF38">
        <v>9</v>
      </c>
      <c r="AG38">
        <v>0</v>
      </c>
      <c r="AH38">
        <v>0</v>
      </c>
      <c r="AI38">
        <v>0</v>
      </c>
      <c r="AJ38" t="s">
        <v>152</v>
      </c>
      <c r="AK38">
        <v>0</v>
      </c>
    </row>
    <row r="39" spans="1:37" x14ac:dyDescent="0.25">
      <c r="A39">
        <v>2024</v>
      </c>
      <c r="B39" s="1">
        <v>45412</v>
      </c>
      <c r="C39">
        <v>4</v>
      </c>
      <c r="D39">
        <v>55694</v>
      </c>
      <c r="E39">
        <v>72039</v>
      </c>
      <c r="F39" t="s">
        <v>62</v>
      </c>
      <c r="G39" t="s">
        <v>95</v>
      </c>
      <c r="H39" t="s">
        <v>153</v>
      </c>
      <c r="I39" t="s">
        <v>97</v>
      </c>
      <c r="J39">
        <v>14</v>
      </c>
      <c r="K39">
        <v>12</v>
      </c>
      <c r="L39">
        <v>2810</v>
      </c>
      <c r="M39">
        <v>13620</v>
      </c>
      <c r="N39" t="s">
        <v>137</v>
      </c>
      <c r="O39" t="s">
        <v>122</v>
      </c>
      <c r="P39">
        <v>0</v>
      </c>
      <c r="Q39">
        <v>0</v>
      </c>
      <c r="R39">
        <v>0</v>
      </c>
      <c r="S39">
        <v>0</v>
      </c>
      <c r="T39">
        <v>6</v>
      </c>
      <c r="U39">
        <v>4</v>
      </c>
      <c r="V39">
        <v>10</v>
      </c>
      <c r="W39">
        <v>20</v>
      </c>
      <c r="X39">
        <v>17</v>
      </c>
      <c r="Y39">
        <v>10</v>
      </c>
      <c r="Z39">
        <v>2</v>
      </c>
      <c r="AA39">
        <v>1</v>
      </c>
      <c r="AB39">
        <v>2</v>
      </c>
      <c r="AC39">
        <v>3</v>
      </c>
      <c r="AD39">
        <v>16</v>
      </c>
      <c r="AE39">
        <v>9</v>
      </c>
      <c r="AF39">
        <v>8</v>
      </c>
      <c r="AG39">
        <v>3</v>
      </c>
      <c r="AH39">
        <v>0</v>
      </c>
      <c r="AI39">
        <v>0</v>
      </c>
      <c r="AJ39" t="s">
        <v>154</v>
      </c>
      <c r="AK39">
        <v>0</v>
      </c>
    </row>
    <row r="40" spans="1:37" x14ac:dyDescent="0.25">
      <c r="A40">
        <v>2024</v>
      </c>
      <c r="B40" s="1">
        <v>45416</v>
      </c>
      <c r="C40">
        <v>5</v>
      </c>
      <c r="D40">
        <v>14202</v>
      </c>
      <c r="E40">
        <v>21238</v>
      </c>
      <c r="F40" t="s">
        <v>55</v>
      </c>
      <c r="G40" t="s">
        <v>89</v>
      </c>
      <c r="H40" t="s">
        <v>57</v>
      </c>
      <c r="I40" t="s">
        <v>91</v>
      </c>
      <c r="J40">
        <v>16</v>
      </c>
      <c r="K40">
        <v>4</v>
      </c>
      <c r="L40">
        <v>3575</v>
      </c>
      <c r="M40">
        <v>5720</v>
      </c>
      <c r="N40" t="s">
        <v>155</v>
      </c>
      <c r="O40">
        <v>30</v>
      </c>
      <c r="P40">
        <v>2</v>
      </c>
      <c r="Q40">
        <v>2</v>
      </c>
      <c r="R40">
        <v>1</v>
      </c>
      <c r="S40">
        <v>0</v>
      </c>
      <c r="T40">
        <v>4</v>
      </c>
      <c r="U40">
        <v>10</v>
      </c>
      <c r="V40">
        <v>11</v>
      </c>
      <c r="W40">
        <v>18</v>
      </c>
      <c r="X40">
        <v>16</v>
      </c>
      <c r="Y40">
        <v>11</v>
      </c>
      <c r="Z40">
        <v>5</v>
      </c>
      <c r="AA40">
        <v>3</v>
      </c>
      <c r="AB40">
        <v>0</v>
      </c>
      <c r="AC40">
        <v>3</v>
      </c>
      <c r="AD40">
        <v>10</v>
      </c>
      <c r="AE40">
        <v>19</v>
      </c>
      <c r="AF40">
        <v>3</v>
      </c>
      <c r="AG40">
        <v>6</v>
      </c>
      <c r="AH40">
        <v>0</v>
      </c>
      <c r="AI40">
        <v>0</v>
      </c>
      <c r="AJ40" t="s">
        <v>156</v>
      </c>
      <c r="AK40">
        <v>0</v>
      </c>
    </row>
    <row r="41" spans="1:37" x14ac:dyDescent="0.25">
      <c r="A41">
        <v>2024</v>
      </c>
      <c r="B41" s="1">
        <v>45417</v>
      </c>
      <c r="C41">
        <v>5</v>
      </c>
      <c r="D41">
        <v>22685</v>
      </c>
      <c r="E41">
        <v>46931</v>
      </c>
      <c r="F41" t="s">
        <v>51</v>
      </c>
      <c r="G41" t="s">
        <v>38</v>
      </c>
      <c r="H41" t="s">
        <v>53</v>
      </c>
      <c r="I41" t="s">
        <v>40</v>
      </c>
      <c r="J41">
        <v>3</v>
      </c>
      <c r="K41">
        <v>2</v>
      </c>
      <c r="L41">
        <v>3655</v>
      </c>
      <c r="M41">
        <v>3120</v>
      </c>
      <c r="N41" t="s">
        <v>98</v>
      </c>
      <c r="O41" t="s">
        <v>137</v>
      </c>
      <c r="P41">
        <v>1</v>
      </c>
      <c r="Q41">
        <v>2</v>
      </c>
      <c r="R41">
        <v>0</v>
      </c>
      <c r="S41">
        <v>1</v>
      </c>
      <c r="T41">
        <v>5</v>
      </c>
      <c r="U41">
        <v>1</v>
      </c>
      <c r="V41">
        <v>10</v>
      </c>
      <c r="W41">
        <v>5</v>
      </c>
      <c r="X41">
        <v>5</v>
      </c>
      <c r="Y41">
        <v>8</v>
      </c>
      <c r="Z41">
        <v>2</v>
      </c>
      <c r="AA41">
        <v>4</v>
      </c>
      <c r="AB41">
        <v>6</v>
      </c>
      <c r="AC41">
        <v>0</v>
      </c>
      <c r="AD41">
        <v>16</v>
      </c>
      <c r="AE41">
        <v>10</v>
      </c>
      <c r="AF41">
        <v>10</v>
      </c>
      <c r="AG41">
        <v>5</v>
      </c>
      <c r="AH41">
        <v>-1</v>
      </c>
      <c r="AI41">
        <v>0</v>
      </c>
      <c r="AJ41" t="s">
        <v>157</v>
      </c>
      <c r="AK41">
        <v>0</v>
      </c>
    </row>
    <row r="42" spans="1:37" x14ac:dyDescent="0.25">
      <c r="A42">
        <v>2024</v>
      </c>
      <c r="B42" s="1">
        <v>45417</v>
      </c>
      <c r="C42">
        <v>5</v>
      </c>
      <c r="D42">
        <v>10781</v>
      </c>
      <c r="E42">
        <v>42968</v>
      </c>
      <c r="F42" t="s">
        <v>70</v>
      </c>
      <c r="G42" t="s">
        <v>95</v>
      </c>
      <c r="H42" t="s">
        <v>158</v>
      </c>
      <c r="I42" t="s">
        <v>97</v>
      </c>
      <c r="J42">
        <v>20</v>
      </c>
      <c r="K42">
        <v>7</v>
      </c>
      <c r="L42">
        <v>1520</v>
      </c>
      <c r="M42">
        <v>13670</v>
      </c>
      <c r="N42" t="s">
        <v>116</v>
      </c>
      <c r="O42" t="s">
        <v>122</v>
      </c>
      <c r="P42">
        <v>0</v>
      </c>
      <c r="Q42">
        <v>2</v>
      </c>
      <c r="R42">
        <v>0</v>
      </c>
      <c r="S42">
        <v>1</v>
      </c>
      <c r="T42">
        <v>6</v>
      </c>
      <c r="U42">
        <v>6</v>
      </c>
      <c r="V42">
        <v>10</v>
      </c>
      <c r="W42">
        <v>11</v>
      </c>
      <c r="X42">
        <v>9</v>
      </c>
      <c r="Y42">
        <v>10</v>
      </c>
      <c r="Z42">
        <v>4</v>
      </c>
      <c r="AA42">
        <v>1</v>
      </c>
      <c r="AB42">
        <v>2</v>
      </c>
      <c r="AC42">
        <v>1</v>
      </c>
      <c r="AD42">
        <v>9</v>
      </c>
      <c r="AE42">
        <v>15</v>
      </c>
      <c r="AF42">
        <v>6</v>
      </c>
      <c r="AG42">
        <v>6</v>
      </c>
      <c r="AH42">
        <v>-2</v>
      </c>
      <c r="AI42">
        <v>0</v>
      </c>
      <c r="AJ42" t="s">
        <v>159</v>
      </c>
      <c r="AK42">
        <v>0</v>
      </c>
    </row>
    <row r="43" spans="1:37" x14ac:dyDescent="0.25">
      <c r="A43">
        <v>2024</v>
      </c>
      <c r="B43" s="1">
        <v>45417</v>
      </c>
      <c r="C43">
        <v>5</v>
      </c>
      <c r="D43">
        <v>25739</v>
      </c>
      <c r="E43">
        <v>30618</v>
      </c>
      <c r="F43" t="s">
        <v>94</v>
      </c>
      <c r="G43" t="s">
        <v>62</v>
      </c>
      <c r="H43" t="s">
        <v>96</v>
      </c>
      <c r="I43" t="s">
        <v>153</v>
      </c>
      <c r="J43">
        <v>18</v>
      </c>
      <c r="K43">
        <v>12</v>
      </c>
      <c r="L43">
        <v>688</v>
      </c>
      <c r="M43">
        <v>3110</v>
      </c>
      <c r="N43" t="s">
        <v>100</v>
      </c>
      <c r="O43" t="s">
        <v>129</v>
      </c>
      <c r="P43">
        <v>1</v>
      </c>
      <c r="Q43">
        <v>3</v>
      </c>
      <c r="R43">
        <v>0</v>
      </c>
      <c r="S43">
        <v>1</v>
      </c>
      <c r="T43">
        <v>3</v>
      </c>
      <c r="U43">
        <v>8</v>
      </c>
      <c r="V43">
        <v>10</v>
      </c>
      <c r="W43">
        <v>13</v>
      </c>
      <c r="X43">
        <v>13</v>
      </c>
      <c r="Y43">
        <v>9</v>
      </c>
      <c r="Z43">
        <v>3</v>
      </c>
      <c r="AA43">
        <v>1</v>
      </c>
      <c r="AB43">
        <v>0</v>
      </c>
      <c r="AC43">
        <v>2</v>
      </c>
      <c r="AD43">
        <v>6</v>
      </c>
      <c r="AE43">
        <v>20</v>
      </c>
      <c r="AF43">
        <v>1</v>
      </c>
      <c r="AG43">
        <v>8</v>
      </c>
      <c r="AH43">
        <v>-2</v>
      </c>
      <c r="AI43">
        <v>0</v>
      </c>
      <c r="AJ43" t="s">
        <v>136</v>
      </c>
      <c r="AK43">
        <v>1</v>
      </c>
    </row>
    <row r="44" spans="1:37" x14ac:dyDescent="0.25">
      <c r="A44">
        <v>2024</v>
      </c>
      <c r="B44" s="1">
        <v>45417</v>
      </c>
      <c r="C44">
        <v>5</v>
      </c>
      <c r="D44">
        <v>31192</v>
      </c>
      <c r="E44">
        <v>42372</v>
      </c>
      <c r="F44" t="s">
        <v>69</v>
      </c>
      <c r="G44" t="s">
        <v>82</v>
      </c>
      <c r="H44" t="s">
        <v>71</v>
      </c>
      <c r="I44" t="s">
        <v>160</v>
      </c>
      <c r="J44">
        <v>1</v>
      </c>
      <c r="K44">
        <v>17</v>
      </c>
      <c r="L44">
        <v>4065</v>
      </c>
      <c r="M44">
        <v>2225</v>
      </c>
      <c r="N44" t="s">
        <v>104</v>
      </c>
      <c r="O44" t="s">
        <v>100</v>
      </c>
      <c r="P44">
        <v>1</v>
      </c>
      <c r="Q44">
        <v>0</v>
      </c>
      <c r="R44">
        <v>1</v>
      </c>
      <c r="S44">
        <v>0</v>
      </c>
      <c r="T44">
        <v>6</v>
      </c>
      <c r="U44">
        <v>5</v>
      </c>
      <c r="V44">
        <v>11</v>
      </c>
      <c r="W44">
        <v>9</v>
      </c>
      <c r="X44">
        <v>9</v>
      </c>
      <c r="Y44">
        <v>11</v>
      </c>
      <c r="Z44">
        <v>2</v>
      </c>
      <c r="AA44">
        <v>6</v>
      </c>
      <c r="AB44">
        <v>3</v>
      </c>
      <c r="AC44">
        <v>3</v>
      </c>
      <c r="AD44">
        <v>26</v>
      </c>
      <c r="AE44">
        <v>7</v>
      </c>
      <c r="AF44">
        <v>13</v>
      </c>
      <c r="AG44">
        <v>6</v>
      </c>
      <c r="AH44">
        <v>1</v>
      </c>
      <c r="AI44">
        <v>1</v>
      </c>
      <c r="AJ44" t="s">
        <v>161</v>
      </c>
      <c r="AK44">
        <v>0</v>
      </c>
    </row>
    <row r="45" spans="1:37" x14ac:dyDescent="0.25">
      <c r="A45">
        <v>2024</v>
      </c>
      <c r="B45" s="1">
        <v>45449</v>
      </c>
      <c r="C45">
        <v>5</v>
      </c>
      <c r="D45">
        <v>5123</v>
      </c>
      <c r="E45">
        <v>23726</v>
      </c>
      <c r="F45" t="s">
        <v>44</v>
      </c>
      <c r="G45" t="s">
        <v>76</v>
      </c>
      <c r="H45" t="s">
        <v>46</v>
      </c>
      <c r="I45" t="s">
        <v>78</v>
      </c>
      <c r="J45">
        <v>11</v>
      </c>
      <c r="K45">
        <v>19</v>
      </c>
      <c r="L45">
        <v>810</v>
      </c>
      <c r="M45">
        <v>750</v>
      </c>
      <c r="N45" t="s">
        <v>105</v>
      </c>
      <c r="O45" t="s">
        <v>128</v>
      </c>
      <c r="P45">
        <v>1</v>
      </c>
      <c r="Q45">
        <v>0</v>
      </c>
      <c r="R45">
        <v>1</v>
      </c>
      <c r="S45">
        <v>0</v>
      </c>
      <c r="T45">
        <v>4</v>
      </c>
      <c r="U45">
        <v>7</v>
      </c>
      <c r="V45">
        <v>13</v>
      </c>
      <c r="W45">
        <v>12</v>
      </c>
      <c r="X45">
        <v>11</v>
      </c>
      <c r="Y45">
        <v>12</v>
      </c>
      <c r="Z45">
        <v>5</v>
      </c>
      <c r="AA45">
        <v>1</v>
      </c>
      <c r="AB45">
        <v>1</v>
      </c>
      <c r="AC45">
        <v>1</v>
      </c>
      <c r="AD45">
        <v>8</v>
      </c>
      <c r="AE45">
        <v>22</v>
      </c>
      <c r="AF45">
        <v>5</v>
      </c>
      <c r="AG45">
        <v>9</v>
      </c>
      <c r="AH45">
        <v>1</v>
      </c>
      <c r="AI45">
        <v>1</v>
      </c>
      <c r="AJ45" t="s">
        <v>162</v>
      </c>
      <c r="AK45">
        <v>1</v>
      </c>
    </row>
    <row r="46" spans="1:37" x14ac:dyDescent="0.25">
      <c r="A46">
        <v>2024</v>
      </c>
      <c r="B46" s="1">
        <v>45533</v>
      </c>
      <c r="C46">
        <v>5</v>
      </c>
      <c r="D46">
        <v>35238</v>
      </c>
      <c r="E46">
        <v>61927</v>
      </c>
      <c r="F46" t="s">
        <v>50</v>
      </c>
      <c r="G46" t="s">
        <v>37</v>
      </c>
      <c r="H46" t="s">
        <v>52</v>
      </c>
      <c r="I46" t="s">
        <v>46</v>
      </c>
      <c r="J46">
        <v>9</v>
      </c>
      <c r="K46">
        <v>8</v>
      </c>
      <c r="L46">
        <v>4120</v>
      </c>
      <c r="M46">
        <v>3045</v>
      </c>
      <c r="N46">
        <v>28</v>
      </c>
      <c r="O46" t="s">
        <v>163</v>
      </c>
      <c r="P46">
        <v>0</v>
      </c>
      <c r="Q46">
        <v>0</v>
      </c>
      <c r="R46">
        <v>0</v>
      </c>
      <c r="S46">
        <v>0</v>
      </c>
      <c r="T46">
        <v>10</v>
      </c>
      <c r="U46">
        <v>3</v>
      </c>
      <c r="V46">
        <v>12</v>
      </c>
      <c r="W46">
        <v>13</v>
      </c>
      <c r="X46">
        <v>12</v>
      </c>
      <c r="Y46">
        <v>11</v>
      </c>
      <c r="Z46">
        <v>0</v>
      </c>
      <c r="AA46">
        <v>4</v>
      </c>
      <c r="AB46">
        <v>1</v>
      </c>
      <c r="AC46">
        <v>1</v>
      </c>
      <c r="AD46">
        <v>19</v>
      </c>
      <c r="AE46">
        <v>1</v>
      </c>
      <c r="AF46">
        <v>12</v>
      </c>
      <c r="AG46">
        <v>1</v>
      </c>
      <c r="AH46">
        <v>0</v>
      </c>
      <c r="AI46">
        <v>0</v>
      </c>
      <c r="AJ46" t="s">
        <v>162</v>
      </c>
      <c r="AK46">
        <v>0</v>
      </c>
    </row>
    <row r="47" spans="1:37" x14ac:dyDescent="0.25">
      <c r="A47">
        <v>2024</v>
      </c>
      <c r="B47" s="1">
        <v>45561</v>
      </c>
      <c r="C47">
        <v>5</v>
      </c>
      <c r="D47">
        <v>18457</v>
      </c>
      <c r="E47">
        <v>60540</v>
      </c>
      <c r="F47" t="s">
        <v>83</v>
      </c>
      <c r="G47" t="s">
        <v>43</v>
      </c>
      <c r="H47" t="s">
        <v>85</v>
      </c>
      <c r="I47" t="s">
        <v>45</v>
      </c>
      <c r="J47">
        <v>14</v>
      </c>
      <c r="K47">
        <v>5</v>
      </c>
      <c r="L47">
        <v>4120</v>
      </c>
      <c r="M47">
        <v>735</v>
      </c>
      <c r="N47" t="s">
        <v>86</v>
      </c>
      <c r="O47" t="s">
        <v>144</v>
      </c>
      <c r="P47">
        <v>1</v>
      </c>
      <c r="Q47">
        <v>2</v>
      </c>
      <c r="R47">
        <v>0</v>
      </c>
      <c r="S47">
        <v>1</v>
      </c>
      <c r="T47">
        <v>6</v>
      </c>
      <c r="U47">
        <v>3</v>
      </c>
      <c r="V47">
        <v>8</v>
      </c>
      <c r="W47">
        <v>12</v>
      </c>
      <c r="X47">
        <v>12</v>
      </c>
      <c r="Y47">
        <v>6</v>
      </c>
      <c r="Z47">
        <v>2</v>
      </c>
      <c r="AA47">
        <v>2</v>
      </c>
      <c r="AB47">
        <v>0</v>
      </c>
      <c r="AC47">
        <v>1</v>
      </c>
      <c r="AD47">
        <v>15</v>
      </c>
      <c r="AE47">
        <v>11</v>
      </c>
      <c r="AF47">
        <v>6</v>
      </c>
      <c r="AG47">
        <v>5</v>
      </c>
      <c r="AH47">
        <v>-1</v>
      </c>
      <c r="AI47">
        <v>0</v>
      </c>
      <c r="AJ47" t="s">
        <v>164</v>
      </c>
      <c r="AK47">
        <v>0</v>
      </c>
    </row>
    <row r="48" spans="1:37" x14ac:dyDescent="0.25">
      <c r="A48">
        <v>2024</v>
      </c>
      <c r="B48" s="1">
        <v>45423</v>
      </c>
      <c r="C48">
        <v>6</v>
      </c>
      <c r="D48">
        <v>56829</v>
      </c>
      <c r="E48">
        <v>78838</v>
      </c>
      <c r="F48" t="s">
        <v>77</v>
      </c>
      <c r="G48" t="s">
        <v>88</v>
      </c>
      <c r="H48" t="s">
        <v>79</v>
      </c>
      <c r="I48" t="s">
        <v>90</v>
      </c>
      <c r="J48">
        <v>4</v>
      </c>
      <c r="K48">
        <v>16</v>
      </c>
      <c r="L48">
        <v>9570</v>
      </c>
      <c r="M48">
        <v>2590</v>
      </c>
      <c r="N48">
        <v>27</v>
      </c>
      <c r="O48" t="s">
        <v>41</v>
      </c>
      <c r="P48">
        <v>2</v>
      </c>
      <c r="Q48">
        <v>0</v>
      </c>
      <c r="R48">
        <v>1</v>
      </c>
      <c r="S48">
        <v>0</v>
      </c>
      <c r="T48">
        <v>13</v>
      </c>
      <c r="U48">
        <v>6</v>
      </c>
      <c r="V48">
        <v>12</v>
      </c>
      <c r="W48">
        <v>16</v>
      </c>
      <c r="X48">
        <v>16</v>
      </c>
      <c r="Y48">
        <v>11</v>
      </c>
      <c r="Z48">
        <v>3</v>
      </c>
      <c r="AA48">
        <v>8</v>
      </c>
      <c r="AB48">
        <v>1</v>
      </c>
      <c r="AC48">
        <v>1</v>
      </c>
      <c r="AD48">
        <v>18</v>
      </c>
      <c r="AE48">
        <v>13</v>
      </c>
      <c r="AF48">
        <v>4</v>
      </c>
      <c r="AG48">
        <v>5</v>
      </c>
      <c r="AH48">
        <v>2</v>
      </c>
      <c r="AI48">
        <v>1</v>
      </c>
      <c r="AJ48" t="s">
        <v>165</v>
      </c>
      <c r="AK48">
        <v>0</v>
      </c>
    </row>
    <row r="49" spans="1:37" x14ac:dyDescent="0.25">
      <c r="A49">
        <v>2024</v>
      </c>
      <c r="B49" s="1">
        <v>45424</v>
      </c>
      <c r="C49">
        <v>6</v>
      </c>
      <c r="D49">
        <v>15914</v>
      </c>
      <c r="E49">
        <v>60326</v>
      </c>
      <c r="F49" t="s">
        <v>63</v>
      </c>
      <c r="G49" t="s">
        <v>51</v>
      </c>
      <c r="H49" t="s">
        <v>65</v>
      </c>
      <c r="I49" t="s">
        <v>53</v>
      </c>
      <c r="J49">
        <v>13</v>
      </c>
      <c r="K49">
        <v>7</v>
      </c>
      <c r="L49">
        <v>1495</v>
      </c>
      <c r="M49">
        <v>3210</v>
      </c>
      <c r="N49" t="s">
        <v>166</v>
      </c>
      <c r="O49" t="s">
        <v>120</v>
      </c>
      <c r="P49">
        <v>1</v>
      </c>
      <c r="Q49">
        <v>1</v>
      </c>
      <c r="R49">
        <v>1</v>
      </c>
      <c r="S49">
        <v>1</v>
      </c>
      <c r="T49">
        <v>6</v>
      </c>
      <c r="U49">
        <v>5</v>
      </c>
      <c r="V49">
        <v>12</v>
      </c>
      <c r="W49">
        <v>19</v>
      </c>
      <c r="X49">
        <v>18</v>
      </c>
      <c r="Y49">
        <v>10</v>
      </c>
      <c r="Z49">
        <v>4</v>
      </c>
      <c r="AA49">
        <v>2</v>
      </c>
      <c r="AB49">
        <v>5</v>
      </c>
      <c r="AC49">
        <v>0</v>
      </c>
      <c r="AD49">
        <v>10</v>
      </c>
      <c r="AE49">
        <v>11</v>
      </c>
      <c r="AF49">
        <v>5</v>
      </c>
      <c r="AG49">
        <v>5</v>
      </c>
      <c r="AH49">
        <v>0</v>
      </c>
      <c r="AI49">
        <v>0</v>
      </c>
      <c r="AJ49" t="s">
        <v>167</v>
      </c>
      <c r="AK49">
        <v>0</v>
      </c>
    </row>
    <row r="50" spans="1:37" x14ac:dyDescent="0.25">
      <c r="A50">
        <v>2024</v>
      </c>
      <c r="B50" s="1">
        <v>45424</v>
      </c>
      <c r="C50">
        <v>6</v>
      </c>
      <c r="D50">
        <v>11084</v>
      </c>
      <c r="E50">
        <v>24584</v>
      </c>
      <c r="F50" t="s">
        <v>82</v>
      </c>
      <c r="G50" t="s">
        <v>94</v>
      </c>
      <c r="H50" t="s">
        <v>160</v>
      </c>
      <c r="I50" t="s">
        <v>96</v>
      </c>
      <c r="J50">
        <v>15</v>
      </c>
      <c r="K50">
        <v>19</v>
      </c>
      <c r="L50">
        <v>3085</v>
      </c>
      <c r="M50">
        <v>1250</v>
      </c>
      <c r="N50" t="s">
        <v>111</v>
      </c>
      <c r="O50" t="s">
        <v>151</v>
      </c>
      <c r="P50">
        <v>2</v>
      </c>
      <c r="Q50">
        <v>1</v>
      </c>
      <c r="R50">
        <v>0</v>
      </c>
      <c r="S50">
        <v>0</v>
      </c>
      <c r="T50">
        <v>4</v>
      </c>
      <c r="U50">
        <v>4</v>
      </c>
      <c r="V50">
        <v>12</v>
      </c>
      <c r="W50">
        <v>12</v>
      </c>
      <c r="X50">
        <v>12</v>
      </c>
      <c r="Y50">
        <v>12</v>
      </c>
      <c r="Z50">
        <v>4</v>
      </c>
      <c r="AA50">
        <v>6</v>
      </c>
      <c r="AB50">
        <v>1</v>
      </c>
      <c r="AC50">
        <v>0</v>
      </c>
      <c r="AD50">
        <v>17</v>
      </c>
      <c r="AE50">
        <v>13</v>
      </c>
      <c r="AF50">
        <v>3</v>
      </c>
      <c r="AG50">
        <v>5</v>
      </c>
      <c r="AH50">
        <v>1</v>
      </c>
      <c r="AI50">
        <v>1</v>
      </c>
      <c r="AJ50" t="s">
        <v>131</v>
      </c>
      <c r="AK50">
        <v>0</v>
      </c>
    </row>
    <row r="51" spans="1:37" x14ac:dyDescent="0.25">
      <c r="A51">
        <v>2024</v>
      </c>
      <c r="B51" s="1">
        <v>45424</v>
      </c>
      <c r="C51">
        <v>6</v>
      </c>
      <c r="D51">
        <v>12108</v>
      </c>
      <c r="E51">
        <v>32713</v>
      </c>
      <c r="F51" t="s">
        <v>95</v>
      </c>
      <c r="G51" t="s">
        <v>69</v>
      </c>
      <c r="H51" t="s">
        <v>97</v>
      </c>
      <c r="I51" t="s">
        <v>71</v>
      </c>
      <c r="J51">
        <v>11</v>
      </c>
      <c r="K51">
        <v>1</v>
      </c>
      <c r="L51">
        <v>13600</v>
      </c>
      <c r="M51">
        <v>3685</v>
      </c>
      <c r="N51" t="s">
        <v>41</v>
      </c>
      <c r="O51" t="s">
        <v>168</v>
      </c>
      <c r="P51">
        <v>0</v>
      </c>
      <c r="Q51">
        <v>2</v>
      </c>
      <c r="R51">
        <v>0</v>
      </c>
      <c r="S51">
        <v>1</v>
      </c>
      <c r="T51">
        <v>9</v>
      </c>
      <c r="U51">
        <v>6</v>
      </c>
      <c r="V51">
        <v>11</v>
      </c>
      <c r="W51">
        <v>17</v>
      </c>
      <c r="X51">
        <v>17</v>
      </c>
      <c r="Y51">
        <v>9</v>
      </c>
      <c r="Z51">
        <v>5</v>
      </c>
      <c r="AA51">
        <v>5</v>
      </c>
      <c r="AB51">
        <v>1</v>
      </c>
      <c r="AC51">
        <v>1</v>
      </c>
      <c r="AD51">
        <v>23</v>
      </c>
      <c r="AE51">
        <v>11</v>
      </c>
      <c r="AF51">
        <v>11</v>
      </c>
      <c r="AG51">
        <v>2</v>
      </c>
      <c r="AH51">
        <v>-2</v>
      </c>
      <c r="AI51">
        <v>0</v>
      </c>
      <c r="AJ51" t="s">
        <v>169</v>
      </c>
      <c r="AK51">
        <v>0</v>
      </c>
    </row>
    <row r="52" spans="1:37" x14ac:dyDescent="0.25">
      <c r="A52">
        <v>2024</v>
      </c>
      <c r="B52" s="1">
        <v>45424</v>
      </c>
      <c r="C52">
        <v>6</v>
      </c>
      <c r="D52">
        <v>7576</v>
      </c>
      <c r="E52">
        <v>13000</v>
      </c>
      <c r="F52" t="s">
        <v>76</v>
      </c>
      <c r="G52" t="s">
        <v>50</v>
      </c>
      <c r="H52" t="s">
        <v>78</v>
      </c>
      <c r="I52" t="s">
        <v>52</v>
      </c>
      <c r="J52">
        <v>20</v>
      </c>
      <c r="K52">
        <v>6</v>
      </c>
      <c r="L52">
        <v>840</v>
      </c>
      <c r="M52">
        <v>2865</v>
      </c>
      <c r="N52" t="s">
        <v>104</v>
      </c>
      <c r="O52" t="s">
        <v>73</v>
      </c>
      <c r="P52">
        <v>0</v>
      </c>
      <c r="Q52">
        <v>1</v>
      </c>
      <c r="R52">
        <v>0</v>
      </c>
      <c r="S52">
        <v>0</v>
      </c>
      <c r="T52">
        <v>5</v>
      </c>
      <c r="U52">
        <v>5</v>
      </c>
      <c r="V52">
        <v>13</v>
      </c>
      <c r="W52">
        <v>10</v>
      </c>
      <c r="X52">
        <v>9</v>
      </c>
      <c r="Y52">
        <v>12</v>
      </c>
      <c r="Z52">
        <v>3</v>
      </c>
      <c r="AA52">
        <v>5</v>
      </c>
      <c r="AB52">
        <v>0</v>
      </c>
      <c r="AC52">
        <v>2</v>
      </c>
      <c r="AD52">
        <v>17</v>
      </c>
      <c r="AE52">
        <v>12</v>
      </c>
      <c r="AF52">
        <v>6</v>
      </c>
      <c r="AG52">
        <v>3</v>
      </c>
      <c r="AH52">
        <v>-1</v>
      </c>
      <c r="AI52">
        <v>0</v>
      </c>
      <c r="AJ52" t="s">
        <v>170</v>
      </c>
      <c r="AK52">
        <v>0</v>
      </c>
    </row>
    <row r="53" spans="1:37" x14ac:dyDescent="0.25">
      <c r="A53">
        <v>2024</v>
      </c>
      <c r="B53" s="1">
        <v>45424</v>
      </c>
      <c r="C53">
        <v>6</v>
      </c>
      <c r="D53">
        <v>36820</v>
      </c>
      <c r="E53">
        <v>47364</v>
      </c>
      <c r="F53" t="s">
        <v>38</v>
      </c>
      <c r="G53" t="s">
        <v>56</v>
      </c>
      <c r="H53" t="s">
        <v>40</v>
      </c>
      <c r="I53" t="s">
        <v>58</v>
      </c>
      <c r="J53">
        <v>2</v>
      </c>
      <c r="K53">
        <v>10</v>
      </c>
      <c r="L53">
        <v>3120</v>
      </c>
      <c r="M53">
        <v>4390</v>
      </c>
      <c r="N53" t="s">
        <v>137</v>
      </c>
      <c r="O53" t="s">
        <v>171</v>
      </c>
      <c r="P53">
        <v>1</v>
      </c>
      <c r="Q53">
        <v>0</v>
      </c>
      <c r="R53">
        <v>1</v>
      </c>
      <c r="S53">
        <v>0</v>
      </c>
      <c r="T53">
        <v>6</v>
      </c>
      <c r="U53">
        <v>7</v>
      </c>
      <c r="V53">
        <v>12</v>
      </c>
      <c r="W53">
        <v>15</v>
      </c>
      <c r="X53">
        <v>14</v>
      </c>
      <c r="Y53">
        <v>10</v>
      </c>
      <c r="Z53">
        <v>5</v>
      </c>
      <c r="AA53">
        <v>2</v>
      </c>
      <c r="AB53">
        <v>4</v>
      </c>
      <c r="AC53">
        <v>3</v>
      </c>
      <c r="AD53">
        <v>8</v>
      </c>
      <c r="AE53">
        <v>15</v>
      </c>
      <c r="AF53">
        <v>3</v>
      </c>
      <c r="AG53">
        <v>6</v>
      </c>
      <c r="AH53">
        <v>1</v>
      </c>
      <c r="AI53">
        <v>1</v>
      </c>
      <c r="AJ53" t="s">
        <v>167</v>
      </c>
      <c r="AK53">
        <v>0</v>
      </c>
    </row>
    <row r="54" spans="1:37" x14ac:dyDescent="0.25">
      <c r="A54">
        <v>2024</v>
      </c>
      <c r="B54" s="1">
        <v>45426</v>
      </c>
      <c r="C54">
        <v>6</v>
      </c>
      <c r="D54">
        <v>39515</v>
      </c>
      <c r="E54">
        <v>72039</v>
      </c>
      <c r="F54" t="s">
        <v>62</v>
      </c>
      <c r="G54" t="s">
        <v>55</v>
      </c>
      <c r="H54" t="s">
        <v>153</v>
      </c>
      <c r="I54" t="s">
        <v>57</v>
      </c>
      <c r="J54">
        <v>8</v>
      </c>
      <c r="K54">
        <v>17</v>
      </c>
      <c r="L54">
        <v>2810</v>
      </c>
      <c r="M54">
        <v>4595</v>
      </c>
      <c r="N54" t="s">
        <v>114</v>
      </c>
      <c r="O54" t="s">
        <v>137</v>
      </c>
      <c r="P54">
        <v>2</v>
      </c>
      <c r="Q54">
        <v>1</v>
      </c>
      <c r="R54">
        <v>1</v>
      </c>
      <c r="S54">
        <v>1</v>
      </c>
      <c r="T54">
        <v>7</v>
      </c>
      <c r="U54">
        <v>4</v>
      </c>
      <c r="V54">
        <v>15</v>
      </c>
      <c r="W54">
        <v>12</v>
      </c>
      <c r="X54">
        <v>11</v>
      </c>
      <c r="Y54">
        <v>13</v>
      </c>
      <c r="Z54">
        <v>2</v>
      </c>
      <c r="AA54">
        <v>6</v>
      </c>
      <c r="AB54">
        <v>4</v>
      </c>
      <c r="AC54">
        <v>0</v>
      </c>
      <c r="AD54">
        <v>15</v>
      </c>
      <c r="AE54">
        <v>7</v>
      </c>
      <c r="AF54">
        <v>4</v>
      </c>
      <c r="AG54">
        <v>4</v>
      </c>
      <c r="AH54">
        <v>1</v>
      </c>
      <c r="AI54">
        <v>1</v>
      </c>
      <c r="AJ54" t="s">
        <v>172</v>
      </c>
      <c r="AK54">
        <v>0</v>
      </c>
    </row>
    <row r="55" spans="1:37" x14ac:dyDescent="0.25">
      <c r="A55">
        <v>2024</v>
      </c>
      <c r="B55" s="1">
        <v>45519</v>
      </c>
      <c r="C55">
        <v>6</v>
      </c>
      <c r="D55">
        <v>11920</v>
      </c>
      <c r="E55">
        <v>50848</v>
      </c>
      <c r="F55" t="s">
        <v>37</v>
      </c>
      <c r="G55" t="s">
        <v>44</v>
      </c>
      <c r="H55" t="s">
        <v>46</v>
      </c>
      <c r="I55" t="s">
        <v>78</v>
      </c>
      <c r="J55">
        <v>5</v>
      </c>
      <c r="K55">
        <v>12</v>
      </c>
      <c r="L55">
        <v>2655</v>
      </c>
      <c r="M55">
        <v>945</v>
      </c>
      <c r="N55" t="s">
        <v>168</v>
      </c>
      <c r="O55" t="s">
        <v>111</v>
      </c>
      <c r="P55">
        <v>2</v>
      </c>
      <c r="Q55">
        <v>1</v>
      </c>
      <c r="R55">
        <v>0</v>
      </c>
      <c r="S55">
        <v>1</v>
      </c>
      <c r="T55">
        <v>8</v>
      </c>
      <c r="U55">
        <v>1</v>
      </c>
      <c r="V55">
        <v>19</v>
      </c>
      <c r="W55">
        <v>17</v>
      </c>
      <c r="X55">
        <v>16</v>
      </c>
      <c r="Y55">
        <v>19</v>
      </c>
      <c r="Z55">
        <v>2</v>
      </c>
      <c r="AA55">
        <v>8</v>
      </c>
      <c r="AB55">
        <v>1</v>
      </c>
      <c r="AC55">
        <v>0</v>
      </c>
      <c r="AD55">
        <v>21</v>
      </c>
      <c r="AE55">
        <v>8</v>
      </c>
      <c r="AF55">
        <v>7</v>
      </c>
      <c r="AG55">
        <v>4</v>
      </c>
      <c r="AH55">
        <v>1</v>
      </c>
      <c r="AI55">
        <v>1</v>
      </c>
      <c r="AJ55" t="s">
        <v>173</v>
      </c>
      <c r="AK55">
        <v>0</v>
      </c>
    </row>
    <row r="56" spans="1:37" x14ac:dyDescent="0.25">
      <c r="A56">
        <v>2024</v>
      </c>
      <c r="B56" s="1">
        <v>45575</v>
      </c>
      <c r="C56">
        <v>6</v>
      </c>
      <c r="D56">
        <v>22053</v>
      </c>
      <c r="E56">
        <v>46000</v>
      </c>
      <c r="F56" t="s">
        <v>89</v>
      </c>
      <c r="G56" t="s">
        <v>83</v>
      </c>
      <c r="H56" t="s">
        <v>91</v>
      </c>
      <c r="I56" t="s">
        <v>85</v>
      </c>
      <c r="J56">
        <v>3</v>
      </c>
      <c r="K56">
        <v>14</v>
      </c>
      <c r="L56">
        <v>4760</v>
      </c>
      <c r="M56">
        <v>2910</v>
      </c>
      <c r="N56" t="s">
        <v>174</v>
      </c>
      <c r="O56" t="s">
        <v>166</v>
      </c>
      <c r="P56">
        <v>2</v>
      </c>
      <c r="Q56">
        <v>1</v>
      </c>
      <c r="R56">
        <v>2</v>
      </c>
      <c r="S56">
        <v>1</v>
      </c>
      <c r="T56">
        <v>4</v>
      </c>
      <c r="U56">
        <v>10</v>
      </c>
      <c r="V56">
        <v>15</v>
      </c>
      <c r="W56">
        <v>7</v>
      </c>
      <c r="X56">
        <v>6</v>
      </c>
      <c r="Y56">
        <v>14</v>
      </c>
      <c r="Z56">
        <v>3</v>
      </c>
      <c r="AA56">
        <v>3</v>
      </c>
      <c r="AB56">
        <v>0</v>
      </c>
      <c r="AC56">
        <v>1</v>
      </c>
      <c r="AD56">
        <v>14</v>
      </c>
      <c r="AE56">
        <v>14</v>
      </c>
      <c r="AF56">
        <v>7</v>
      </c>
      <c r="AG56">
        <v>5</v>
      </c>
      <c r="AH56">
        <v>1</v>
      </c>
      <c r="AI56">
        <v>1</v>
      </c>
      <c r="AJ56" t="s">
        <v>175</v>
      </c>
      <c r="AK56">
        <v>0</v>
      </c>
    </row>
    <row r="57" spans="1:37" x14ac:dyDescent="0.25">
      <c r="A57">
        <v>2024</v>
      </c>
      <c r="B57" s="1">
        <v>45444</v>
      </c>
      <c r="C57">
        <v>7</v>
      </c>
      <c r="D57">
        <v>7563</v>
      </c>
      <c r="E57">
        <v>60540</v>
      </c>
      <c r="F57" t="s">
        <v>83</v>
      </c>
      <c r="G57" t="s">
        <v>56</v>
      </c>
      <c r="H57" t="s">
        <v>85</v>
      </c>
      <c r="I57" t="s">
        <v>58</v>
      </c>
      <c r="J57">
        <v>14</v>
      </c>
      <c r="K57">
        <v>8</v>
      </c>
      <c r="L57">
        <v>2960</v>
      </c>
      <c r="M57">
        <v>4550</v>
      </c>
      <c r="N57" t="s">
        <v>120</v>
      </c>
      <c r="O57" t="s">
        <v>176</v>
      </c>
      <c r="P57">
        <v>0</v>
      </c>
      <c r="Q57">
        <v>2</v>
      </c>
      <c r="R57">
        <v>0</v>
      </c>
      <c r="S57">
        <v>1</v>
      </c>
      <c r="T57">
        <v>6</v>
      </c>
      <c r="U57">
        <v>0</v>
      </c>
      <c r="V57">
        <v>16</v>
      </c>
      <c r="W57">
        <v>19</v>
      </c>
      <c r="X57">
        <v>19</v>
      </c>
      <c r="Y57">
        <v>15</v>
      </c>
      <c r="Z57">
        <v>2</v>
      </c>
      <c r="AA57">
        <v>1</v>
      </c>
      <c r="AB57">
        <v>0</v>
      </c>
      <c r="AC57">
        <v>1</v>
      </c>
      <c r="AD57">
        <v>9</v>
      </c>
      <c r="AE57">
        <v>14</v>
      </c>
      <c r="AF57">
        <v>4</v>
      </c>
      <c r="AG57">
        <v>7</v>
      </c>
      <c r="AH57">
        <v>-2</v>
      </c>
      <c r="AI57">
        <v>0</v>
      </c>
      <c r="AJ57" t="s">
        <v>141</v>
      </c>
      <c r="AK57">
        <v>0</v>
      </c>
    </row>
    <row r="58" spans="1:37" x14ac:dyDescent="0.25">
      <c r="A58">
        <v>2024</v>
      </c>
      <c r="B58" s="1">
        <v>45444</v>
      </c>
      <c r="C58">
        <v>7</v>
      </c>
      <c r="D58">
        <v>5747</v>
      </c>
      <c r="E58">
        <v>42968</v>
      </c>
      <c r="F58" t="s">
        <v>70</v>
      </c>
      <c r="G58" t="s">
        <v>37</v>
      </c>
      <c r="H58" t="s">
        <v>119</v>
      </c>
      <c r="I58" t="s">
        <v>39</v>
      </c>
      <c r="J58">
        <v>19</v>
      </c>
      <c r="K58">
        <v>3</v>
      </c>
      <c r="L58">
        <v>1485</v>
      </c>
      <c r="M58">
        <v>5615</v>
      </c>
      <c r="N58">
        <v>28</v>
      </c>
      <c r="O58" t="s">
        <v>105</v>
      </c>
      <c r="P58">
        <v>0</v>
      </c>
      <c r="Q58">
        <v>1</v>
      </c>
      <c r="R58">
        <v>0</v>
      </c>
      <c r="S58">
        <v>0</v>
      </c>
      <c r="T58">
        <v>0</v>
      </c>
      <c r="U58">
        <v>2</v>
      </c>
      <c r="V58">
        <v>12</v>
      </c>
      <c r="W58">
        <v>21</v>
      </c>
      <c r="X58">
        <v>21</v>
      </c>
      <c r="Y58">
        <v>11</v>
      </c>
      <c r="Z58">
        <v>1</v>
      </c>
      <c r="AA58">
        <v>3</v>
      </c>
      <c r="AB58">
        <v>4</v>
      </c>
      <c r="AC58">
        <v>1</v>
      </c>
      <c r="AD58">
        <v>8</v>
      </c>
      <c r="AE58">
        <v>9</v>
      </c>
      <c r="AF58">
        <v>4</v>
      </c>
      <c r="AG58">
        <v>3</v>
      </c>
      <c r="AH58">
        <v>-1</v>
      </c>
      <c r="AI58">
        <v>0</v>
      </c>
      <c r="AJ58" t="s">
        <v>177</v>
      </c>
      <c r="AK58">
        <v>0</v>
      </c>
    </row>
    <row r="59" spans="1:37" x14ac:dyDescent="0.25">
      <c r="A59">
        <v>2024</v>
      </c>
      <c r="B59" s="1">
        <v>45444</v>
      </c>
      <c r="C59">
        <v>7</v>
      </c>
      <c r="D59">
        <v>16008</v>
      </c>
      <c r="E59">
        <v>30618</v>
      </c>
      <c r="F59" t="s">
        <v>94</v>
      </c>
      <c r="G59" t="s">
        <v>76</v>
      </c>
      <c r="H59" t="s">
        <v>64</v>
      </c>
      <c r="I59" t="s">
        <v>78</v>
      </c>
      <c r="J59">
        <v>20</v>
      </c>
      <c r="K59">
        <v>18</v>
      </c>
      <c r="L59">
        <v>1140</v>
      </c>
      <c r="M59">
        <v>750</v>
      </c>
      <c r="N59" t="s">
        <v>117</v>
      </c>
      <c r="O59" t="s">
        <v>128</v>
      </c>
      <c r="P59">
        <v>0</v>
      </c>
      <c r="Q59">
        <v>2</v>
      </c>
      <c r="R59">
        <v>0</v>
      </c>
      <c r="S59">
        <v>1</v>
      </c>
      <c r="T59">
        <v>3</v>
      </c>
      <c r="U59">
        <v>4</v>
      </c>
      <c r="V59">
        <v>7</v>
      </c>
      <c r="W59">
        <v>9</v>
      </c>
      <c r="X59">
        <v>9</v>
      </c>
      <c r="Y59">
        <v>7</v>
      </c>
      <c r="Z59">
        <v>3</v>
      </c>
      <c r="AA59">
        <v>3</v>
      </c>
      <c r="AB59">
        <v>0</v>
      </c>
      <c r="AC59">
        <v>1</v>
      </c>
      <c r="AD59">
        <v>12</v>
      </c>
      <c r="AE59">
        <v>12</v>
      </c>
      <c r="AF59">
        <v>4</v>
      </c>
      <c r="AG59">
        <v>5</v>
      </c>
      <c r="AH59">
        <v>-2</v>
      </c>
      <c r="AI59">
        <v>0</v>
      </c>
      <c r="AJ59" t="s">
        <v>178</v>
      </c>
      <c r="AK59">
        <v>1</v>
      </c>
    </row>
    <row r="60" spans="1:37" x14ac:dyDescent="0.25">
      <c r="A60">
        <v>2024</v>
      </c>
      <c r="B60" s="1">
        <v>45444</v>
      </c>
      <c r="C60">
        <v>7</v>
      </c>
      <c r="D60">
        <v>21037</v>
      </c>
      <c r="E60">
        <v>82238</v>
      </c>
      <c r="F60" t="s">
        <v>55</v>
      </c>
      <c r="G60" t="s">
        <v>44</v>
      </c>
      <c r="H60" t="s">
        <v>57</v>
      </c>
      <c r="I60" t="s">
        <v>46</v>
      </c>
      <c r="J60">
        <v>16</v>
      </c>
      <c r="K60">
        <v>13</v>
      </c>
      <c r="L60">
        <v>4505</v>
      </c>
      <c r="M60">
        <v>815</v>
      </c>
      <c r="N60" t="s">
        <v>179</v>
      </c>
      <c r="O60" t="s">
        <v>86</v>
      </c>
      <c r="P60">
        <v>1</v>
      </c>
      <c r="Q60">
        <v>1</v>
      </c>
      <c r="R60">
        <v>1</v>
      </c>
      <c r="S60">
        <v>0</v>
      </c>
      <c r="T60">
        <v>5</v>
      </c>
      <c r="U60">
        <v>3</v>
      </c>
      <c r="V60">
        <v>13</v>
      </c>
      <c r="W60">
        <v>19</v>
      </c>
      <c r="X60">
        <v>19</v>
      </c>
      <c r="Y60">
        <v>13</v>
      </c>
      <c r="Z60">
        <v>2</v>
      </c>
      <c r="AA60">
        <v>3</v>
      </c>
      <c r="AB60">
        <v>1</v>
      </c>
      <c r="AC60">
        <v>3</v>
      </c>
      <c r="AD60">
        <v>17</v>
      </c>
      <c r="AE60">
        <v>12</v>
      </c>
      <c r="AF60">
        <v>8</v>
      </c>
      <c r="AG60">
        <v>5</v>
      </c>
      <c r="AH60">
        <v>0</v>
      </c>
      <c r="AI60">
        <v>0</v>
      </c>
      <c r="AJ60" t="s">
        <v>180</v>
      </c>
      <c r="AK60">
        <v>0</v>
      </c>
    </row>
    <row r="61" spans="1:37" x14ac:dyDescent="0.25">
      <c r="A61">
        <v>2024</v>
      </c>
      <c r="B61" s="1">
        <v>45445</v>
      </c>
      <c r="C61">
        <v>7</v>
      </c>
      <c r="D61">
        <v>37994</v>
      </c>
      <c r="E61">
        <v>46000</v>
      </c>
      <c r="F61" t="s">
        <v>89</v>
      </c>
      <c r="G61" t="s">
        <v>38</v>
      </c>
      <c r="H61" t="s">
        <v>91</v>
      </c>
      <c r="I61" t="s">
        <v>40</v>
      </c>
      <c r="J61">
        <v>7</v>
      </c>
      <c r="K61">
        <v>2</v>
      </c>
      <c r="L61">
        <v>5450</v>
      </c>
      <c r="M61">
        <v>3120</v>
      </c>
      <c r="N61" t="s">
        <v>129</v>
      </c>
      <c r="O61" t="s">
        <v>137</v>
      </c>
      <c r="P61">
        <v>1</v>
      </c>
      <c r="Q61">
        <v>1</v>
      </c>
      <c r="R61">
        <v>0</v>
      </c>
      <c r="S61">
        <v>0</v>
      </c>
      <c r="T61">
        <v>5</v>
      </c>
      <c r="U61">
        <v>4</v>
      </c>
      <c r="V61">
        <v>13</v>
      </c>
      <c r="W61">
        <v>9</v>
      </c>
      <c r="X61">
        <v>8</v>
      </c>
      <c r="Y61">
        <v>13</v>
      </c>
      <c r="Z61">
        <v>1</v>
      </c>
      <c r="AA61">
        <v>3</v>
      </c>
      <c r="AB61">
        <v>6</v>
      </c>
      <c r="AC61">
        <v>0</v>
      </c>
      <c r="AD61">
        <v>20</v>
      </c>
      <c r="AE61">
        <v>9</v>
      </c>
      <c r="AF61">
        <v>11</v>
      </c>
      <c r="AG61">
        <v>4</v>
      </c>
      <c r="AH61">
        <v>0</v>
      </c>
      <c r="AI61">
        <v>0</v>
      </c>
      <c r="AJ61" t="s">
        <v>181</v>
      </c>
      <c r="AK61">
        <v>0</v>
      </c>
    </row>
    <row r="62" spans="1:37" x14ac:dyDescent="0.25">
      <c r="A62">
        <v>2024</v>
      </c>
      <c r="B62" s="1">
        <v>45445</v>
      </c>
      <c r="C62">
        <v>7</v>
      </c>
      <c r="D62">
        <v>44928</v>
      </c>
      <c r="E62">
        <v>72039</v>
      </c>
      <c r="F62" t="s">
        <v>62</v>
      </c>
      <c r="G62" t="s">
        <v>50</v>
      </c>
      <c r="H62" t="s">
        <v>153</v>
      </c>
      <c r="I62" t="s">
        <v>52</v>
      </c>
      <c r="J62">
        <v>5</v>
      </c>
      <c r="K62">
        <v>10</v>
      </c>
      <c r="L62">
        <v>3310</v>
      </c>
      <c r="M62">
        <v>3365</v>
      </c>
      <c r="N62" t="s">
        <v>114</v>
      </c>
      <c r="O62" t="s">
        <v>114</v>
      </c>
      <c r="P62">
        <v>2</v>
      </c>
      <c r="Q62">
        <v>0</v>
      </c>
      <c r="R62">
        <v>1</v>
      </c>
      <c r="S62">
        <v>0</v>
      </c>
      <c r="T62">
        <v>4</v>
      </c>
      <c r="U62">
        <v>2</v>
      </c>
      <c r="V62">
        <v>18</v>
      </c>
      <c r="W62">
        <v>11</v>
      </c>
      <c r="X62">
        <v>11</v>
      </c>
      <c r="Y62">
        <v>17</v>
      </c>
      <c r="Z62">
        <v>3</v>
      </c>
      <c r="AA62">
        <v>2</v>
      </c>
      <c r="AB62">
        <v>0</v>
      </c>
      <c r="AC62">
        <v>1</v>
      </c>
      <c r="AD62">
        <v>11</v>
      </c>
      <c r="AE62">
        <v>10</v>
      </c>
      <c r="AF62">
        <v>6</v>
      </c>
      <c r="AG62">
        <v>5</v>
      </c>
      <c r="AH62">
        <v>2</v>
      </c>
      <c r="AI62">
        <v>1</v>
      </c>
      <c r="AJ62" t="s">
        <v>182</v>
      </c>
      <c r="AK62">
        <v>0</v>
      </c>
    </row>
    <row r="63" spans="1:37" hidden="1" x14ac:dyDescent="0.25">
      <c r="A63">
        <v>2024</v>
      </c>
      <c r="B63" s="1">
        <v>45452</v>
      </c>
      <c r="C63">
        <v>6</v>
      </c>
      <c r="D63">
        <v>13846</v>
      </c>
      <c r="F63" t="s">
        <v>43</v>
      </c>
      <c r="G63" t="s">
        <v>70</v>
      </c>
      <c r="H63" t="s">
        <v>45</v>
      </c>
      <c r="I63" t="s">
        <v>119</v>
      </c>
      <c r="J63">
        <v>9</v>
      </c>
      <c r="K63">
        <v>18</v>
      </c>
      <c r="L63">
        <v>705</v>
      </c>
      <c r="M63">
        <v>1320</v>
      </c>
      <c r="N63" t="s">
        <v>67</v>
      </c>
      <c r="O63" t="s">
        <v>128</v>
      </c>
      <c r="P63">
        <v>2</v>
      </c>
      <c r="Q63">
        <v>5</v>
      </c>
      <c r="R63">
        <v>0</v>
      </c>
      <c r="S63">
        <v>3</v>
      </c>
      <c r="T63">
        <v>6</v>
      </c>
      <c r="U63">
        <v>2</v>
      </c>
      <c r="V63">
        <v>10</v>
      </c>
      <c r="W63">
        <v>13</v>
      </c>
      <c r="X63">
        <v>13</v>
      </c>
      <c r="Y63">
        <v>10</v>
      </c>
      <c r="Z63">
        <v>2</v>
      </c>
      <c r="AA63">
        <v>6</v>
      </c>
      <c r="AB63">
        <v>5</v>
      </c>
      <c r="AC63">
        <v>0</v>
      </c>
      <c r="AD63">
        <v>22</v>
      </c>
      <c r="AE63">
        <v>13</v>
      </c>
      <c r="AF63">
        <v>9</v>
      </c>
      <c r="AG63">
        <v>4</v>
      </c>
      <c r="AH63">
        <v>-3</v>
      </c>
      <c r="AI63">
        <v>0</v>
      </c>
    </row>
    <row r="64" spans="1:37" x14ac:dyDescent="0.25">
      <c r="A64">
        <v>2024</v>
      </c>
      <c r="B64" s="1">
        <v>45445</v>
      </c>
      <c r="C64">
        <v>7</v>
      </c>
      <c r="D64">
        <v>19027</v>
      </c>
      <c r="E64">
        <v>19225</v>
      </c>
      <c r="F64" t="s">
        <v>43</v>
      </c>
      <c r="G64" t="s">
        <v>95</v>
      </c>
      <c r="H64" t="s">
        <v>45</v>
      </c>
      <c r="I64" t="s">
        <v>183</v>
      </c>
      <c r="J64">
        <v>12</v>
      </c>
      <c r="K64">
        <v>9</v>
      </c>
      <c r="L64">
        <v>580</v>
      </c>
      <c r="M64">
        <v>8470</v>
      </c>
      <c r="N64" t="s">
        <v>138</v>
      </c>
      <c r="O64" t="s">
        <v>120</v>
      </c>
      <c r="P64">
        <v>1</v>
      </c>
      <c r="Q64">
        <v>2</v>
      </c>
      <c r="R64">
        <v>0</v>
      </c>
      <c r="S64">
        <v>0</v>
      </c>
      <c r="T64">
        <v>4</v>
      </c>
      <c r="U64">
        <v>6</v>
      </c>
      <c r="V64">
        <v>17</v>
      </c>
      <c r="W64">
        <v>9</v>
      </c>
      <c r="X64">
        <v>7</v>
      </c>
      <c r="Y64">
        <v>15</v>
      </c>
      <c r="Z64">
        <v>3</v>
      </c>
      <c r="AA64">
        <v>3</v>
      </c>
      <c r="AB64">
        <v>0</v>
      </c>
      <c r="AC64">
        <v>1</v>
      </c>
      <c r="AD64">
        <v>12</v>
      </c>
      <c r="AE64">
        <v>23</v>
      </c>
      <c r="AF64">
        <v>4</v>
      </c>
      <c r="AG64">
        <v>11</v>
      </c>
      <c r="AH64">
        <v>-1</v>
      </c>
      <c r="AI64">
        <v>0</v>
      </c>
      <c r="AJ64" t="s">
        <v>162</v>
      </c>
      <c r="AK64">
        <v>0</v>
      </c>
    </row>
    <row r="65" spans="1:37" x14ac:dyDescent="0.25">
      <c r="A65">
        <v>2024</v>
      </c>
      <c r="B65" s="1">
        <v>45445</v>
      </c>
      <c r="C65">
        <v>7</v>
      </c>
      <c r="D65">
        <v>62228</v>
      </c>
      <c r="E65">
        <v>78584</v>
      </c>
      <c r="F65" t="s">
        <v>82</v>
      </c>
      <c r="G65" t="s">
        <v>77</v>
      </c>
      <c r="H65" t="s">
        <v>184</v>
      </c>
      <c r="I65" t="s">
        <v>79</v>
      </c>
      <c r="J65">
        <v>15</v>
      </c>
      <c r="K65">
        <v>1</v>
      </c>
      <c r="L65">
        <v>3545</v>
      </c>
      <c r="M65">
        <v>10110</v>
      </c>
      <c r="N65" t="s">
        <v>107</v>
      </c>
      <c r="O65">
        <v>29</v>
      </c>
      <c r="P65">
        <v>1</v>
      </c>
      <c r="Q65">
        <v>6</v>
      </c>
      <c r="R65">
        <v>1</v>
      </c>
      <c r="S65">
        <v>3</v>
      </c>
      <c r="T65">
        <v>1</v>
      </c>
      <c r="U65">
        <v>8</v>
      </c>
      <c r="V65">
        <v>18</v>
      </c>
      <c r="W65">
        <v>6</v>
      </c>
      <c r="X65">
        <v>5</v>
      </c>
      <c r="Y65">
        <v>18</v>
      </c>
      <c r="Z65">
        <v>12</v>
      </c>
      <c r="AA65">
        <v>1</v>
      </c>
      <c r="AB65">
        <v>1</v>
      </c>
      <c r="AC65">
        <v>1</v>
      </c>
      <c r="AD65">
        <v>2</v>
      </c>
      <c r="AE65">
        <v>30</v>
      </c>
      <c r="AF65">
        <v>0</v>
      </c>
      <c r="AG65">
        <v>4</v>
      </c>
      <c r="AH65">
        <v>-5</v>
      </c>
      <c r="AI65">
        <v>0</v>
      </c>
      <c r="AJ65" t="s">
        <v>185</v>
      </c>
      <c r="AK65">
        <v>1</v>
      </c>
    </row>
    <row r="66" spans="1:37" x14ac:dyDescent="0.25">
      <c r="A66">
        <v>2024</v>
      </c>
      <c r="B66" s="1">
        <v>45445</v>
      </c>
      <c r="C66">
        <v>7</v>
      </c>
      <c r="D66">
        <v>12191</v>
      </c>
      <c r="E66">
        <v>20326</v>
      </c>
      <c r="F66" t="s">
        <v>63</v>
      </c>
      <c r="G66" t="s">
        <v>69</v>
      </c>
      <c r="H66" t="s">
        <v>65</v>
      </c>
      <c r="I66" t="s">
        <v>71</v>
      </c>
      <c r="J66">
        <v>11</v>
      </c>
      <c r="K66">
        <v>6</v>
      </c>
      <c r="L66">
        <v>1755</v>
      </c>
      <c r="M66">
        <v>3445</v>
      </c>
      <c r="N66" t="s">
        <v>66</v>
      </c>
      <c r="O66" t="s">
        <v>41</v>
      </c>
      <c r="P66">
        <v>1</v>
      </c>
      <c r="Q66">
        <v>0</v>
      </c>
      <c r="R66">
        <v>1</v>
      </c>
      <c r="S66">
        <v>0</v>
      </c>
      <c r="T66">
        <v>2</v>
      </c>
      <c r="U66">
        <v>4</v>
      </c>
      <c r="V66">
        <v>12</v>
      </c>
      <c r="W66">
        <v>17</v>
      </c>
      <c r="X66">
        <v>15</v>
      </c>
      <c r="Y66">
        <v>11</v>
      </c>
      <c r="Z66">
        <v>2</v>
      </c>
      <c r="AA66">
        <v>3</v>
      </c>
      <c r="AB66">
        <v>0</v>
      </c>
      <c r="AC66">
        <v>2</v>
      </c>
      <c r="AD66">
        <v>11</v>
      </c>
      <c r="AE66">
        <v>14</v>
      </c>
      <c r="AF66">
        <v>4</v>
      </c>
      <c r="AG66">
        <v>8</v>
      </c>
      <c r="AH66">
        <v>1</v>
      </c>
      <c r="AI66">
        <v>1</v>
      </c>
      <c r="AJ66" t="s">
        <v>186</v>
      </c>
      <c r="AK66">
        <v>0</v>
      </c>
    </row>
    <row r="67" spans="1:37" x14ac:dyDescent="0.25">
      <c r="A67">
        <v>2024</v>
      </c>
      <c r="B67" s="1">
        <v>45445</v>
      </c>
      <c r="C67">
        <v>7</v>
      </c>
      <c r="D67">
        <v>40937</v>
      </c>
      <c r="E67">
        <v>49205</v>
      </c>
      <c r="F67" t="s">
        <v>88</v>
      </c>
      <c r="G67" t="s">
        <v>51</v>
      </c>
      <c r="H67" t="s">
        <v>90</v>
      </c>
      <c r="I67" t="s">
        <v>53</v>
      </c>
      <c r="J67">
        <v>17</v>
      </c>
      <c r="K67">
        <v>4</v>
      </c>
      <c r="L67">
        <v>4770</v>
      </c>
      <c r="M67">
        <v>3285</v>
      </c>
      <c r="N67" t="s">
        <v>176</v>
      </c>
      <c r="O67" t="s">
        <v>129</v>
      </c>
      <c r="P67">
        <v>0</v>
      </c>
      <c r="Q67">
        <v>1</v>
      </c>
      <c r="R67">
        <v>0</v>
      </c>
      <c r="S67">
        <v>0</v>
      </c>
      <c r="T67">
        <v>2</v>
      </c>
      <c r="U67">
        <v>5</v>
      </c>
      <c r="V67">
        <v>7</v>
      </c>
      <c r="W67">
        <v>16</v>
      </c>
      <c r="X67">
        <v>15</v>
      </c>
      <c r="Y67">
        <v>7</v>
      </c>
      <c r="Z67">
        <v>1</v>
      </c>
      <c r="AA67">
        <v>7</v>
      </c>
      <c r="AB67">
        <v>3</v>
      </c>
      <c r="AC67">
        <v>2</v>
      </c>
      <c r="AD67">
        <v>16</v>
      </c>
      <c r="AE67">
        <v>9</v>
      </c>
      <c r="AF67">
        <v>7</v>
      </c>
      <c r="AG67">
        <v>3</v>
      </c>
      <c r="AH67">
        <v>-1</v>
      </c>
      <c r="AI67">
        <v>0</v>
      </c>
      <c r="AJ67" t="s">
        <v>187</v>
      </c>
      <c r="AK67">
        <v>0</v>
      </c>
    </row>
    <row r="68" spans="1:37" x14ac:dyDescent="0.25">
      <c r="A68">
        <v>2024</v>
      </c>
      <c r="B68" s="1">
        <v>45455</v>
      </c>
      <c r="C68">
        <v>8</v>
      </c>
      <c r="D68">
        <v>27239</v>
      </c>
      <c r="E68">
        <v>46931</v>
      </c>
      <c r="F68" t="s">
        <v>51</v>
      </c>
      <c r="G68" t="s">
        <v>55</v>
      </c>
      <c r="H68" t="s">
        <v>53</v>
      </c>
      <c r="I68" t="s">
        <v>57</v>
      </c>
      <c r="J68">
        <v>3</v>
      </c>
      <c r="K68">
        <v>17</v>
      </c>
      <c r="L68">
        <v>3185</v>
      </c>
      <c r="M68">
        <v>3470</v>
      </c>
      <c r="N68" t="s">
        <v>92</v>
      </c>
      <c r="O68" t="s">
        <v>47</v>
      </c>
      <c r="P68">
        <v>1</v>
      </c>
      <c r="Q68">
        <v>0</v>
      </c>
      <c r="R68">
        <v>0</v>
      </c>
      <c r="S68">
        <v>0</v>
      </c>
      <c r="T68">
        <v>14</v>
      </c>
      <c r="U68">
        <v>2</v>
      </c>
      <c r="V68">
        <v>22</v>
      </c>
      <c r="W68">
        <v>14</v>
      </c>
      <c r="X68">
        <v>14</v>
      </c>
      <c r="Y68">
        <v>22</v>
      </c>
      <c r="Z68">
        <v>0</v>
      </c>
      <c r="AA68">
        <v>5</v>
      </c>
      <c r="AB68">
        <v>4</v>
      </c>
      <c r="AC68">
        <v>0</v>
      </c>
      <c r="AD68">
        <v>19</v>
      </c>
      <c r="AE68">
        <v>6</v>
      </c>
      <c r="AF68">
        <v>9</v>
      </c>
      <c r="AG68">
        <v>5</v>
      </c>
      <c r="AH68">
        <v>1</v>
      </c>
      <c r="AI68">
        <v>1</v>
      </c>
      <c r="AJ68" t="s">
        <v>188</v>
      </c>
      <c r="AK68">
        <v>0</v>
      </c>
    </row>
    <row r="69" spans="1:37" x14ac:dyDescent="0.25">
      <c r="A69">
        <v>2024</v>
      </c>
      <c r="B69" s="1">
        <v>45455</v>
      </c>
      <c r="C69">
        <v>8</v>
      </c>
      <c r="D69">
        <v>12089</v>
      </c>
      <c r="E69">
        <v>13000</v>
      </c>
      <c r="F69" t="s">
        <v>76</v>
      </c>
      <c r="G69" t="s">
        <v>88</v>
      </c>
      <c r="H69" t="s">
        <v>78</v>
      </c>
      <c r="I69" t="s">
        <v>90</v>
      </c>
      <c r="J69">
        <v>18</v>
      </c>
      <c r="K69">
        <v>16</v>
      </c>
      <c r="L69">
        <v>860</v>
      </c>
      <c r="M69">
        <v>4290</v>
      </c>
      <c r="N69" t="s">
        <v>151</v>
      </c>
      <c r="O69" t="s">
        <v>189</v>
      </c>
      <c r="P69">
        <v>2</v>
      </c>
      <c r="Q69">
        <v>2</v>
      </c>
      <c r="R69">
        <v>0</v>
      </c>
      <c r="S69">
        <v>1</v>
      </c>
      <c r="T69">
        <v>3</v>
      </c>
      <c r="U69">
        <v>4</v>
      </c>
      <c r="V69">
        <v>12</v>
      </c>
      <c r="W69">
        <v>13</v>
      </c>
      <c r="X69">
        <v>12</v>
      </c>
      <c r="Y69">
        <v>12</v>
      </c>
      <c r="Z69">
        <v>1</v>
      </c>
      <c r="AA69">
        <v>6</v>
      </c>
      <c r="AB69">
        <v>1</v>
      </c>
      <c r="AC69">
        <v>0</v>
      </c>
      <c r="AD69">
        <v>22</v>
      </c>
      <c r="AE69">
        <v>7</v>
      </c>
      <c r="AF69">
        <v>8</v>
      </c>
      <c r="AG69">
        <v>3</v>
      </c>
      <c r="AH69">
        <v>0</v>
      </c>
      <c r="AI69">
        <v>0</v>
      </c>
      <c r="AJ69" t="s">
        <v>190</v>
      </c>
      <c r="AK69">
        <v>0</v>
      </c>
    </row>
    <row r="70" spans="1:37" x14ac:dyDescent="0.25">
      <c r="A70">
        <v>2024</v>
      </c>
      <c r="B70" s="1">
        <v>45455</v>
      </c>
      <c r="C70">
        <v>8</v>
      </c>
      <c r="D70">
        <v>6186</v>
      </c>
      <c r="E70">
        <v>23726</v>
      </c>
      <c r="F70" t="s">
        <v>44</v>
      </c>
      <c r="G70" t="s">
        <v>94</v>
      </c>
      <c r="H70" t="s">
        <v>46</v>
      </c>
      <c r="I70" t="s">
        <v>64</v>
      </c>
      <c r="J70">
        <v>12</v>
      </c>
      <c r="K70">
        <v>20</v>
      </c>
      <c r="L70">
        <v>690</v>
      </c>
      <c r="M70">
        <v>1433</v>
      </c>
      <c r="N70" t="s">
        <v>105</v>
      </c>
      <c r="O70" t="s">
        <v>120</v>
      </c>
      <c r="P70">
        <v>1</v>
      </c>
      <c r="Q70">
        <v>1</v>
      </c>
      <c r="R70">
        <v>1</v>
      </c>
      <c r="S70">
        <v>1</v>
      </c>
      <c r="T70">
        <v>5</v>
      </c>
      <c r="U70">
        <v>4</v>
      </c>
      <c r="V70">
        <v>16</v>
      </c>
      <c r="W70">
        <v>8</v>
      </c>
      <c r="X70">
        <v>7</v>
      </c>
      <c r="Y70">
        <v>16</v>
      </c>
      <c r="Z70">
        <v>3</v>
      </c>
      <c r="AA70">
        <v>1</v>
      </c>
      <c r="AB70">
        <v>1</v>
      </c>
      <c r="AC70">
        <v>1</v>
      </c>
      <c r="AD70">
        <v>12</v>
      </c>
      <c r="AE70">
        <v>18</v>
      </c>
      <c r="AF70">
        <v>8</v>
      </c>
      <c r="AG70">
        <v>9</v>
      </c>
      <c r="AH70">
        <v>0</v>
      </c>
      <c r="AI70">
        <v>0</v>
      </c>
      <c r="AJ70" t="s">
        <v>191</v>
      </c>
      <c r="AK70">
        <v>0</v>
      </c>
    </row>
    <row r="71" spans="1:37" x14ac:dyDescent="0.25">
      <c r="A71">
        <v>2024</v>
      </c>
      <c r="B71" s="1">
        <v>45455</v>
      </c>
      <c r="C71">
        <v>8</v>
      </c>
      <c r="D71">
        <v>4516</v>
      </c>
      <c r="E71">
        <v>15010</v>
      </c>
      <c r="F71" t="s">
        <v>56</v>
      </c>
      <c r="G71" t="s">
        <v>89</v>
      </c>
      <c r="H71" t="s">
        <v>58</v>
      </c>
      <c r="I71" t="s">
        <v>91</v>
      </c>
      <c r="J71">
        <v>10</v>
      </c>
      <c r="K71">
        <v>5</v>
      </c>
      <c r="L71">
        <v>4340</v>
      </c>
      <c r="M71">
        <v>4465</v>
      </c>
      <c r="N71">
        <v>25</v>
      </c>
      <c r="O71" t="s">
        <v>80</v>
      </c>
      <c r="P71">
        <v>1</v>
      </c>
      <c r="Q71">
        <v>2</v>
      </c>
      <c r="R71">
        <v>1</v>
      </c>
      <c r="S71">
        <v>2</v>
      </c>
      <c r="T71">
        <v>8</v>
      </c>
      <c r="U71">
        <v>5</v>
      </c>
      <c r="V71">
        <v>17</v>
      </c>
      <c r="W71">
        <v>18</v>
      </c>
      <c r="X71">
        <v>17</v>
      </c>
      <c r="Y71">
        <v>17</v>
      </c>
      <c r="Z71">
        <v>2</v>
      </c>
      <c r="AA71">
        <v>4</v>
      </c>
      <c r="AB71">
        <v>1</v>
      </c>
      <c r="AC71">
        <v>2</v>
      </c>
      <c r="AD71">
        <v>15</v>
      </c>
      <c r="AE71">
        <v>10</v>
      </c>
      <c r="AF71">
        <v>7</v>
      </c>
      <c r="AG71">
        <v>2</v>
      </c>
      <c r="AH71">
        <v>-1</v>
      </c>
      <c r="AI71">
        <v>0</v>
      </c>
      <c r="AJ71" t="s">
        <v>192</v>
      </c>
      <c r="AK71">
        <v>1</v>
      </c>
    </row>
    <row r="72" spans="1:37" x14ac:dyDescent="0.25">
      <c r="A72">
        <v>2024</v>
      </c>
      <c r="B72" s="1">
        <v>45457</v>
      </c>
      <c r="C72">
        <v>8</v>
      </c>
      <c r="D72">
        <v>51785</v>
      </c>
      <c r="E72">
        <v>78838</v>
      </c>
      <c r="F72" t="s">
        <v>77</v>
      </c>
      <c r="G72" t="s">
        <v>83</v>
      </c>
      <c r="H72" t="s">
        <v>79</v>
      </c>
      <c r="I72" t="s">
        <v>85</v>
      </c>
      <c r="J72">
        <v>1</v>
      </c>
      <c r="K72">
        <v>14</v>
      </c>
      <c r="L72">
        <v>7990</v>
      </c>
      <c r="M72">
        <v>3030</v>
      </c>
      <c r="N72" t="s">
        <v>151</v>
      </c>
      <c r="O72" t="s">
        <v>193</v>
      </c>
      <c r="P72">
        <v>2</v>
      </c>
      <c r="Q72">
        <v>1</v>
      </c>
      <c r="R72">
        <v>1</v>
      </c>
      <c r="S72">
        <v>0</v>
      </c>
      <c r="T72">
        <v>4</v>
      </c>
      <c r="U72">
        <v>6</v>
      </c>
      <c r="V72">
        <v>9</v>
      </c>
      <c r="W72">
        <v>10</v>
      </c>
      <c r="X72">
        <v>10</v>
      </c>
      <c r="Y72">
        <v>7</v>
      </c>
      <c r="Z72">
        <v>4</v>
      </c>
      <c r="AA72">
        <v>4</v>
      </c>
      <c r="AB72">
        <v>0</v>
      </c>
      <c r="AC72">
        <v>0</v>
      </c>
      <c r="AD72">
        <v>16</v>
      </c>
      <c r="AE72">
        <v>15</v>
      </c>
      <c r="AF72">
        <v>8</v>
      </c>
      <c r="AG72">
        <v>6</v>
      </c>
      <c r="AH72">
        <v>1</v>
      </c>
      <c r="AI72">
        <v>1</v>
      </c>
      <c r="AJ72" t="s">
        <v>194</v>
      </c>
      <c r="AK72">
        <v>0</v>
      </c>
    </row>
    <row r="73" spans="1:37" x14ac:dyDescent="0.25">
      <c r="A73">
        <v>2024</v>
      </c>
      <c r="B73" s="1">
        <v>45457</v>
      </c>
      <c r="C73">
        <v>8</v>
      </c>
      <c r="D73">
        <v>26595</v>
      </c>
      <c r="E73">
        <v>61927</v>
      </c>
      <c r="F73" t="s">
        <v>50</v>
      </c>
      <c r="G73" t="s">
        <v>70</v>
      </c>
      <c r="H73" t="s">
        <v>52</v>
      </c>
      <c r="I73" t="s">
        <v>119</v>
      </c>
      <c r="J73">
        <v>9</v>
      </c>
      <c r="K73">
        <v>19</v>
      </c>
      <c r="L73">
        <v>3015</v>
      </c>
      <c r="M73">
        <v>1185</v>
      </c>
      <c r="N73" t="s">
        <v>116</v>
      </c>
      <c r="O73">
        <v>28</v>
      </c>
      <c r="P73">
        <v>2</v>
      </c>
      <c r="Q73">
        <v>1</v>
      </c>
      <c r="R73">
        <v>1</v>
      </c>
      <c r="S73">
        <v>0</v>
      </c>
      <c r="T73">
        <v>6</v>
      </c>
      <c r="U73">
        <v>4</v>
      </c>
      <c r="V73">
        <v>9</v>
      </c>
      <c r="W73">
        <v>12</v>
      </c>
      <c r="X73">
        <v>12</v>
      </c>
      <c r="Y73">
        <v>9</v>
      </c>
      <c r="Z73">
        <v>4</v>
      </c>
      <c r="AA73">
        <v>4</v>
      </c>
      <c r="AB73">
        <v>0</v>
      </c>
      <c r="AC73">
        <v>1</v>
      </c>
      <c r="AD73">
        <v>12</v>
      </c>
      <c r="AE73">
        <v>16</v>
      </c>
      <c r="AF73">
        <v>5</v>
      </c>
      <c r="AG73">
        <v>5</v>
      </c>
      <c r="AH73">
        <v>1</v>
      </c>
      <c r="AI73">
        <v>1</v>
      </c>
      <c r="AJ73" t="s">
        <v>195</v>
      </c>
      <c r="AK73">
        <v>0</v>
      </c>
    </row>
    <row r="74" spans="1:37" x14ac:dyDescent="0.25">
      <c r="A74">
        <v>2024</v>
      </c>
      <c r="B74" s="1">
        <v>45457</v>
      </c>
      <c r="C74">
        <v>8</v>
      </c>
      <c r="D74">
        <v>37641</v>
      </c>
      <c r="E74">
        <v>43713</v>
      </c>
      <c r="F74" t="s">
        <v>95</v>
      </c>
      <c r="G74" t="s">
        <v>82</v>
      </c>
      <c r="H74" t="s">
        <v>97</v>
      </c>
      <c r="I74" t="s">
        <v>184</v>
      </c>
      <c r="J74">
        <v>8</v>
      </c>
      <c r="K74">
        <v>15</v>
      </c>
      <c r="L74">
        <v>8070</v>
      </c>
      <c r="M74">
        <v>2695</v>
      </c>
      <c r="N74" t="s">
        <v>114</v>
      </c>
      <c r="O74" t="s">
        <v>74</v>
      </c>
      <c r="P74">
        <v>2</v>
      </c>
      <c r="Q74">
        <v>0</v>
      </c>
      <c r="R74">
        <v>1</v>
      </c>
      <c r="S74">
        <v>0</v>
      </c>
      <c r="T74">
        <v>10</v>
      </c>
      <c r="U74">
        <v>6</v>
      </c>
      <c r="V74">
        <v>10</v>
      </c>
      <c r="W74">
        <v>14</v>
      </c>
      <c r="X74">
        <v>13</v>
      </c>
      <c r="Y74">
        <v>10</v>
      </c>
      <c r="Z74">
        <v>2</v>
      </c>
      <c r="AA74">
        <v>4</v>
      </c>
      <c r="AB74">
        <v>1</v>
      </c>
      <c r="AC74">
        <v>1</v>
      </c>
      <c r="AD74">
        <v>28</v>
      </c>
      <c r="AE74">
        <v>9</v>
      </c>
      <c r="AF74">
        <v>13</v>
      </c>
      <c r="AG74">
        <v>6</v>
      </c>
      <c r="AH74">
        <v>2</v>
      </c>
      <c r="AI74">
        <v>1</v>
      </c>
      <c r="AJ74" t="s">
        <v>196</v>
      </c>
      <c r="AK74">
        <v>0</v>
      </c>
    </row>
    <row r="75" spans="1:37" x14ac:dyDescent="0.25">
      <c r="A75">
        <v>2024</v>
      </c>
      <c r="B75" s="1">
        <v>45457</v>
      </c>
      <c r="C75">
        <v>8</v>
      </c>
      <c r="D75">
        <v>23424</v>
      </c>
      <c r="E75">
        <v>42372</v>
      </c>
      <c r="F75" t="s">
        <v>69</v>
      </c>
      <c r="G75" t="s">
        <v>43</v>
      </c>
      <c r="H75" t="s">
        <v>71</v>
      </c>
      <c r="I75" t="s">
        <v>45</v>
      </c>
      <c r="J75">
        <v>4</v>
      </c>
      <c r="K75">
        <v>13</v>
      </c>
      <c r="L75">
        <v>2845</v>
      </c>
      <c r="M75">
        <v>688</v>
      </c>
      <c r="N75" t="s">
        <v>128</v>
      </c>
      <c r="O75" t="s">
        <v>197</v>
      </c>
      <c r="P75">
        <v>3</v>
      </c>
      <c r="Q75">
        <v>1</v>
      </c>
      <c r="R75">
        <v>1</v>
      </c>
      <c r="S75">
        <v>1</v>
      </c>
      <c r="T75">
        <v>5</v>
      </c>
      <c r="U75">
        <v>3</v>
      </c>
      <c r="V75">
        <v>9</v>
      </c>
      <c r="W75">
        <v>12</v>
      </c>
      <c r="X75">
        <v>10</v>
      </c>
      <c r="Y75">
        <v>9</v>
      </c>
      <c r="Z75">
        <v>3</v>
      </c>
      <c r="AA75">
        <v>4</v>
      </c>
      <c r="AB75">
        <v>2</v>
      </c>
      <c r="AC75">
        <v>3</v>
      </c>
      <c r="AD75">
        <v>23</v>
      </c>
      <c r="AE75">
        <v>12</v>
      </c>
      <c r="AF75">
        <v>10</v>
      </c>
      <c r="AG75">
        <v>5</v>
      </c>
      <c r="AH75">
        <v>2</v>
      </c>
      <c r="AI75">
        <v>1</v>
      </c>
      <c r="AJ75" t="s">
        <v>198</v>
      </c>
      <c r="AK75">
        <v>0</v>
      </c>
    </row>
    <row r="76" spans="1:37" x14ac:dyDescent="0.25">
      <c r="A76">
        <v>2024</v>
      </c>
      <c r="B76" s="1">
        <v>45457</v>
      </c>
      <c r="C76">
        <v>8</v>
      </c>
      <c r="D76">
        <v>17987</v>
      </c>
      <c r="E76">
        <v>19848</v>
      </c>
      <c r="F76" t="s">
        <v>37</v>
      </c>
      <c r="G76" t="s">
        <v>62</v>
      </c>
      <c r="H76" t="s">
        <v>39</v>
      </c>
      <c r="I76" t="s">
        <v>153</v>
      </c>
      <c r="J76">
        <v>6</v>
      </c>
      <c r="K76">
        <v>7</v>
      </c>
      <c r="L76">
        <v>3580</v>
      </c>
      <c r="M76">
        <v>3485</v>
      </c>
      <c r="N76" t="s">
        <v>109</v>
      </c>
      <c r="O76" t="s">
        <v>105</v>
      </c>
      <c r="P76">
        <v>0</v>
      </c>
      <c r="Q76">
        <v>0</v>
      </c>
      <c r="R76">
        <v>0</v>
      </c>
      <c r="S76">
        <v>0</v>
      </c>
      <c r="T76">
        <v>5</v>
      </c>
      <c r="U76">
        <v>3</v>
      </c>
      <c r="V76">
        <v>15</v>
      </c>
      <c r="W76">
        <v>18</v>
      </c>
      <c r="X76">
        <v>16</v>
      </c>
      <c r="Y76">
        <v>15</v>
      </c>
      <c r="Z76">
        <v>5</v>
      </c>
      <c r="AA76">
        <v>0</v>
      </c>
      <c r="AB76">
        <v>1</v>
      </c>
      <c r="AC76">
        <v>3</v>
      </c>
      <c r="AD76">
        <v>7</v>
      </c>
      <c r="AE76">
        <v>9</v>
      </c>
      <c r="AF76">
        <v>6</v>
      </c>
      <c r="AG76">
        <v>3</v>
      </c>
      <c r="AH76">
        <v>0</v>
      </c>
      <c r="AI76">
        <v>0</v>
      </c>
      <c r="AJ76" t="s">
        <v>199</v>
      </c>
      <c r="AK76">
        <v>0</v>
      </c>
    </row>
    <row r="77" spans="1:37" x14ac:dyDescent="0.25">
      <c r="A77">
        <v>2024</v>
      </c>
      <c r="B77" s="1">
        <v>45457</v>
      </c>
      <c r="C77">
        <v>8</v>
      </c>
      <c r="D77">
        <v>30048</v>
      </c>
      <c r="E77">
        <v>47364</v>
      </c>
      <c r="F77" t="s">
        <v>38</v>
      </c>
      <c r="G77" t="s">
        <v>63</v>
      </c>
      <c r="H77" t="s">
        <v>40</v>
      </c>
      <c r="I77" t="s">
        <v>65</v>
      </c>
      <c r="J77">
        <v>2</v>
      </c>
      <c r="K77">
        <v>11</v>
      </c>
      <c r="L77">
        <v>3000</v>
      </c>
      <c r="M77">
        <v>1565</v>
      </c>
      <c r="N77" t="s">
        <v>134</v>
      </c>
      <c r="O77" t="s">
        <v>200</v>
      </c>
      <c r="P77">
        <v>1</v>
      </c>
      <c r="Q77">
        <v>0</v>
      </c>
      <c r="R77">
        <v>0</v>
      </c>
      <c r="S77">
        <v>0</v>
      </c>
      <c r="T77">
        <v>5</v>
      </c>
      <c r="U77">
        <v>9</v>
      </c>
      <c r="V77">
        <v>14</v>
      </c>
      <c r="W77">
        <v>9</v>
      </c>
      <c r="X77">
        <v>9</v>
      </c>
      <c r="Y77">
        <v>12</v>
      </c>
      <c r="Z77">
        <v>6</v>
      </c>
      <c r="AA77">
        <v>2</v>
      </c>
      <c r="AB77">
        <v>0</v>
      </c>
      <c r="AC77">
        <v>6</v>
      </c>
      <c r="AD77">
        <v>12</v>
      </c>
      <c r="AE77">
        <v>21</v>
      </c>
      <c r="AF77">
        <v>6</v>
      </c>
      <c r="AG77">
        <v>8</v>
      </c>
      <c r="AH77">
        <v>1</v>
      </c>
      <c r="AI77">
        <v>1</v>
      </c>
      <c r="AJ77" t="s">
        <v>201</v>
      </c>
      <c r="AK77">
        <v>0</v>
      </c>
    </row>
    <row r="78" spans="1:37" x14ac:dyDescent="0.25">
      <c r="A78">
        <v>2024</v>
      </c>
      <c r="B78" s="1">
        <v>45458</v>
      </c>
      <c r="C78">
        <v>9</v>
      </c>
      <c r="D78">
        <v>3338</v>
      </c>
      <c r="E78">
        <v>15010</v>
      </c>
      <c r="F78" t="s">
        <v>56</v>
      </c>
      <c r="G78" t="s">
        <v>44</v>
      </c>
      <c r="H78" t="s">
        <v>58</v>
      </c>
      <c r="I78" t="s">
        <v>46</v>
      </c>
      <c r="J78">
        <v>8</v>
      </c>
      <c r="K78">
        <v>13</v>
      </c>
      <c r="L78">
        <v>4190</v>
      </c>
      <c r="M78">
        <v>765</v>
      </c>
      <c r="N78" t="s">
        <v>202</v>
      </c>
      <c r="O78" t="s">
        <v>135</v>
      </c>
      <c r="P78">
        <v>2</v>
      </c>
      <c r="Q78">
        <v>1</v>
      </c>
      <c r="R78">
        <v>1</v>
      </c>
      <c r="S78">
        <v>1</v>
      </c>
      <c r="T78">
        <v>1</v>
      </c>
      <c r="U78">
        <v>1</v>
      </c>
      <c r="V78">
        <v>12</v>
      </c>
      <c r="W78">
        <v>12</v>
      </c>
      <c r="X78">
        <v>12</v>
      </c>
      <c r="Y78">
        <v>12</v>
      </c>
      <c r="Z78">
        <v>5</v>
      </c>
      <c r="AA78">
        <v>0</v>
      </c>
      <c r="AB78">
        <v>0</v>
      </c>
      <c r="AC78">
        <v>5</v>
      </c>
      <c r="AD78">
        <v>6</v>
      </c>
      <c r="AE78">
        <v>14</v>
      </c>
      <c r="AF78">
        <v>1</v>
      </c>
      <c r="AG78">
        <v>5</v>
      </c>
      <c r="AH78">
        <v>1</v>
      </c>
      <c r="AI78">
        <v>1</v>
      </c>
      <c r="AJ78" t="s">
        <v>203</v>
      </c>
      <c r="AK78">
        <v>1</v>
      </c>
    </row>
    <row r="79" spans="1:37" x14ac:dyDescent="0.25">
      <c r="A79">
        <v>2024</v>
      </c>
      <c r="B79" s="1">
        <v>45459</v>
      </c>
      <c r="C79">
        <v>9</v>
      </c>
      <c r="D79">
        <v>15811</v>
      </c>
      <c r="E79">
        <v>21540</v>
      </c>
      <c r="F79" t="s">
        <v>83</v>
      </c>
      <c r="G79" t="s">
        <v>51</v>
      </c>
      <c r="H79" t="s">
        <v>85</v>
      </c>
      <c r="I79" t="s">
        <v>53</v>
      </c>
      <c r="J79">
        <v>18</v>
      </c>
      <c r="K79">
        <v>1</v>
      </c>
      <c r="L79">
        <v>2910</v>
      </c>
      <c r="M79">
        <v>3135</v>
      </c>
      <c r="N79" t="s">
        <v>128</v>
      </c>
      <c r="O79" t="s">
        <v>105</v>
      </c>
      <c r="P79">
        <v>1</v>
      </c>
      <c r="Q79">
        <v>2</v>
      </c>
      <c r="R79">
        <v>1</v>
      </c>
      <c r="S79">
        <v>1</v>
      </c>
      <c r="T79">
        <v>7</v>
      </c>
      <c r="U79">
        <v>4</v>
      </c>
      <c r="V79">
        <v>12</v>
      </c>
      <c r="W79">
        <v>11</v>
      </c>
      <c r="X79">
        <v>11</v>
      </c>
      <c r="Y79">
        <v>12</v>
      </c>
      <c r="Z79">
        <v>3</v>
      </c>
      <c r="AA79">
        <v>2</v>
      </c>
      <c r="AB79">
        <v>0</v>
      </c>
      <c r="AC79">
        <v>0</v>
      </c>
      <c r="AD79">
        <v>15</v>
      </c>
      <c r="AE79">
        <v>14</v>
      </c>
      <c r="AF79">
        <v>5</v>
      </c>
      <c r="AG79">
        <v>5</v>
      </c>
      <c r="AH79">
        <v>-1</v>
      </c>
      <c r="AI79">
        <v>0</v>
      </c>
      <c r="AJ79" t="s">
        <v>204</v>
      </c>
      <c r="AK79">
        <v>0</v>
      </c>
    </row>
    <row r="80" spans="1:37" x14ac:dyDescent="0.25">
      <c r="A80">
        <v>2024</v>
      </c>
      <c r="B80" s="1">
        <v>45459</v>
      </c>
      <c r="C80">
        <v>9</v>
      </c>
      <c r="D80">
        <v>4474</v>
      </c>
      <c r="E80">
        <v>42968</v>
      </c>
      <c r="F80" t="s">
        <v>70</v>
      </c>
      <c r="G80" t="s">
        <v>63</v>
      </c>
      <c r="H80" t="s">
        <v>119</v>
      </c>
      <c r="I80" t="s">
        <v>65</v>
      </c>
      <c r="J80">
        <v>15</v>
      </c>
      <c r="K80">
        <v>11</v>
      </c>
      <c r="L80">
        <v>1340</v>
      </c>
      <c r="M80">
        <v>1425</v>
      </c>
      <c r="N80" t="s">
        <v>107</v>
      </c>
      <c r="O80" t="s">
        <v>205</v>
      </c>
      <c r="P80">
        <v>5</v>
      </c>
      <c r="Q80">
        <v>0</v>
      </c>
      <c r="R80">
        <v>4</v>
      </c>
      <c r="S80">
        <v>0</v>
      </c>
      <c r="T80">
        <v>5</v>
      </c>
      <c r="U80">
        <v>1</v>
      </c>
      <c r="V80">
        <v>9</v>
      </c>
      <c r="W80">
        <v>6</v>
      </c>
      <c r="X80">
        <v>4</v>
      </c>
      <c r="Y80">
        <v>9</v>
      </c>
      <c r="Z80">
        <v>0</v>
      </c>
      <c r="AA80">
        <v>8</v>
      </c>
      <c r="AB80">
        <v>1</v>
      </c>
      <c r="AC80">
        <v>1</v>
      </c>
      <c r="AD80">
        <v>21</v>
      </c>
      <c r="AE80">
        <v>2</v>
      </c>
      <c r="AF80">
        <v>5</v>
      </c>
      <c r="AG80">
        <v>2</v>
      </c>
      <c r="AH80">
        <v>5</v>
      </c>
      <c r="AI80">
        <v>1</v>
      </c>
      <c r="AJ80" t="s">
        <v>206</v>
      </c>
      <c r="AK80">
        <v>0</v>
      </c>
    </row>
    <row r="81" spans="1:37" x14ac:dyDescent="0.25">
      <c r="A81">
        <v>2024</v>
      </c>
      <c r="B81" s="1">
        <v>45459</v>
      </c>
      <c r="C81">
        <v>9</v>
      </c>
      <c r="D81">
        <v>14485</v>
      </c>
      <c r="E81">
        <v>82238</v>
      </c>
      <c r="F81" t="s">
        <v>55</v>
      </c>
      <c r="G81" t="s">
        <v>76</v>
      </c>
      <c r="H81" t="s">
        <v>57</v>
      </c>
      <c r="I81" t="s">
        <v>78</v>
      </c>
      <c r="J81">
        <v>19</v>
      </c>
      <c r="K81">
        <v>14</v>
      </c>
      <c r="L81">
        <v>2845</v>
      </c>
      <c r="M81">
        <v>960</v>
      </c>
      <c r="N81" t="s">
        <v>207</v>
      </c>
      <c r="O81" t="s">
        <v>163</v>
      </c>
      <c r="P81">
        <v>1</v>
      </c>
      <c r="Q81">
        <v>2</v>
      </c>
      <c r="R81">
        <v>1</v>
      </c>
      <c r="S81">
        <v>0</v>
      </c>
      <c r="T81">
        <v>3</v>
      </c>
      <c r="U81">
        <v>3</v>
      </c>
      <c r="V81">
        <v>10</v>
      </c>
      <c r="W81">
        <v>12</v>
      </c>
      <c r="X81">
        <v>11</v>
      </c>
      <c r="Y81">
        <v>10</v>
      </c>
      <c r="Z81">
        <v>5</v>
      </c>
      <c r="AA81">
        <v>4</v>
      </c>
      <c r="AB81">
        <v>1</v>
      </c>
      <c r="AC81">
        <v>1</v>
      </c>
      <c r="AD81">
        <v>9</v>
      </c>
      <c r="AE81">
        <v>17</v>
      </c>
      <c r="AF81">
        <v>4</v>
      </c>
      <c r="AG81">
        <v>7</v>
      </c>
      <c r="AH81">
        <v>-1</v>
      </c>
      <c r="AI81">
        <v>0</v>
      </c>
      <c r="AJ81" t="s">
        <v>182</v>
      </c>
      <c r="AK81">
        <v>0</v>
      </c>
    </row>
    <row r="82" spans="1:37" x14ac:dyDescent="0.25">
      <c r="A82">
        <v>2024</v>
      </c>
      <c r="B82" s="1">
        <v>45459</v>
      </c>
      <c r="C82">
        <v>9</v>
      </c>
      <c r="D82">
        <v>46129</v>
      </c>
      <c r="E82">
        <v>49205</v>
      </c>
      <c r="F82" t="s">
        <v>88</v>
      </c>
      <c r="G82" t="s">
        <v>62</v>
      </c>
      <c r="H82" t="s">
        <v>90</v>
      </c>
      <c r="I82" t="s">
        <v>153</v>
      </c>
      <c r="J82">
        <v>17</v>
      </c>
      <c r="K82">
        <v>7</v>
      </c>
      <c r="L82">
        <v>5300</v>
      </c>
      <c r="M82">
        <v>3435</v>
      </c>
      <c r="N82" t="s">
        <v>145</v>
      </c>
      <c r="O82" t="s">
        <v>111</v>
      </c>
      <c r="P82">
        <v>2</v>
      </c>
      <c r="Q82">
        <v>2</v>
      </c>
      <c r="R82">
        <v>2</v>
      </c>
      <c r="S82">
        <v>2</v>
      </c>
      <c r="T82">
        <v>9</v>
      </c>
      <c r="U82">
        <v>5</v>
      </c>
      <c r="V82">
        <v>15</v>
      </c>
      <c r="W82">
        <v>10</v>
      </c>
      <c r="X82">
        <v>10</v>
      </c>
      <c r="Y82">
        <v>15</v>
      </c>
      <c r="Z82">
        <v>6</v>
      </c>
      <c r="AA82">
        <v>6</v>
      </c>
      <c r="AB82">
        <v>1</v>
      </c>
      <c r="AC82">
        <v>1</v>
      </c>
      <c r="AD82">
        <v>16</v>
      </c>
      <c r="AE82">
        <v>12</v>
      </c>
      <c r="AF82">
        <v>4</v>
      </c>
      <c r="AG82">
        <v>2</v>
      </c>
      <c r="AH82">
        <v>0</v>
      </c>
      <c r="AI82">
        <v>0</v>
      </c>
      <c r="AJ82" t="s">
        <v>181</v>
      </c>
      <c r="AK82">
        <v>1</v>
      </c>
    </row>
    <row r="83" spans="1:37" x14ac:dyDescent="0.25">
      <c r="A83">
        <v>2024</v>
      </c>
      <c r="B83" s="1">
        <v>45459</v>
      </c>
      <c r="C83">
        <v>9</v>
      </c>
      <c r="D83">
        <v>8661</v>
      </c>
      <c r="E83">
        <v>19225</v>
      </c>
      <c r="F83" t="s">
        <v>43</v>
      </c>
      <c r="G83" t="s">
        <v>38</v>
      </c>
      <c r="H83" t="s">
        <v>45</v>
      </c>
      <c r="I83" t="s">
        <v>40</v>
      </c>
      <c r="J83">
        <v>12</v>
      </c>
      <c r="K83">
        <v>3</v>
      </c>
      <c r="L83">
        <v>645</v>
      </c>
      <c r="M83">
        <v>2880</v>
      </c>
      <c r="N83" t="s">
        <v>208</v>
      </c>
      <c r="O83" t="s">
        <v>105</v>
      </c>
      <c r="P83">
        <v>2</v>
      </c>
      <c r="Q83">
        <v>2</v>
      </c>
      <c r="R83">
        <v>1</v>
      </c>
      <c r="S83">
        <v>0</v>
      </c>
      <c r="T83">
        <v>6</v>
      </c>
      <c r="U83">
        <v>7</v>
      </c>
      <c r="V83">
        <v>14</v>
      </c>
      <c r="W83">
        <v>13</v>
      </c>
      <c r="X83">
        <v>11</v>
      </c>
      <c r="Y83">
        <v>14</v>
      </c>
      <c r="Z83">
        <v>4</v>
      </c>
      <c r="AA83">
        <v>3</v>
      </c>
      <c r="AB83">
        <v>4</v>
      </c>
      <c r="AC83">
        <v>1</v>
      </c>
      <c r="AD83">
        <v>17</v>
      </c>
      <c r="AE83">
        <v>22</v>
      </c>
      <c r="AF83">
        <v>6</v>
      </c>
      <c r="AG83">
        <v>10</v>
      </c>
      <c r="AH83">
        <v>0</v>
      </c>
      <c r="AI83">
        <v>0</v>
      </c>
      <c r="AJ83" t="s">
        <v>152</v>
      </c>
      <c r="AK83">
        <v>1</v>
      </c>
    </row>
    <row r="84" spans="1:37" x14ac:dyDescent="0.25">
      <c r="A84">
        <v>2024</v>
      </c>
      <c r="B84" s="1">
        <v>45459</v>
      </c>
      <c r="C84">
        <v>9</v>
      </c>
      <c r="D84">
        <v>14251</v>
      </c>
      <c r="E84">
        <v>30618</v>
      </c>
      <c r="F84" t="s">
        <v>94</v>
      </c>
      <c r="G84" t="s">
        <v>37</v>
      </c>
      <c r="H84" t="s">
        <v>64</v>
      </c>
      <c r="I84" t="s">
        <v>39</v>
      </c>
      <c r="J84">
        <v>20</v>
      </c>
      <c r="K84">
        <v>9</v>
      </c>
      <c r="L84">
        <v>1323</v>
      </c>
      <c r="M84">
        <v>3965</v>
      </c>
      <c r="N84" t="s">
        <v>209</v>
      </c>
      <c r="O84" t="s">
        <v>193</v>
      </c>
      <c r="P84">
        <v>2</v>
      </c>
      <c r="Q84">
        <v>1</v>
      </c>
      <c r="R84">
        <v>1</v>
      </c>
      <c r="S84">
        <v>0</v>
      </c>
      <c r="T84">
        <v>4</v>
      </c>
      <c r="U84">
        <v>2</v>
      </c>
      <c r="V84">
        <v>6</v>
      </c>
      <c r="W84">
        <v>16</v>
      </c>
      <c r="X84">
        <v>16</v>
      </c>
      <c r="Y84">
        <v>5</v>
      </c>
      <c r="Z84">
        <v>4</v>
      </c>
      <c r="AA84">
        <v>2</v>
      </c>
      <c r="AB84">
        <v>3</v>
      </c>
      <c r="AC84">
        <v>2</v>
      </c>
      <c r="AD84">
        <v>11</v>
      </c>
      <c r="AE84">
        <v>15</v>
      </c>
      <c r="AF84">
        <v>5</v>
      </c>
      <c r="AG84">
        <v>8</v>
      </c>
      <c r="AH84">
        <v>1</v>
      </c>
      <c r="AI84">
        <v>1</v>
      </c>
      <c r="AJ84" t="s">
        <v>170</v>
      </c>
      <c r="AK84">
        <v>0</v>
      </c>
    </row>
    <row r="85" spans="1:37" x14ac:dyDescent="0.25">
      <c r="A85">
        <v>2024</v>
      </c>
      <c r="B85" s="1">
        <v>45459</v>
      </c>
      <c r="C85">
        <v>9</v>
      </c>
      <c r="D85">
        <v>38641</v>
      </c>
      <c r="E85">
        <v>42372</v>
      </c>
      <c r="F85" t="s">
        <v>69</v>
      </c>
      <c r="G85" t="s">
        <v>77</v>
      </c>
      <c r="H85" t="s">
        <v>71</v>
      </c>
      <c r="I85" t="s">
        <v>79</v>
      </c>
      <c r="J85">
        <v>4</v>
      </c>
      <c r="K85">
        <v>2</v>
      </c>
      <c r="L85">
        <v>2005</v>
      </c>
      <c r="M85">
        <v>7390</v>
      </c>
      <c r="N85" t="s">
        <v>137</v>
      </c>
      <c r="O85" t="s">
        <v>98</v>
      </c>
      <c r="P85">
        <v>1</v>
      </c>
      <c r="Q85">
        <v>1</v>
      </c>
      <c r="R85">
        <v>0</v>
      </c>
      <c r="S85">
        <v>0</v>
      </c>
      <c r="T85">
        <v>5</v>
      </c>
      <c r="U85">
        <v>9</v>
      </c>
      <c r="V85">
        <v>11</v>
      </c>
      <c r="W85">
        <v>11</v>
      </c>
      <c r="X85">
        <v>10</v>
      </c>
      <c r="Y85">
        <v>11</v>
      </c>
      <c r="Z85">
        <v>5</v>
      </c>
      <c r="AA85">
        <v>2</v>
      </c>
      <c r="AB85">
        <v>0</v>
      </c>
      <c r="AC85">
        <v>2</v>
      </c>
      <c r="AD85">
        <v>14</v>
      </c>
      <c r="AE85">
        <v>9</v>
      </c>
      <c r="AF85">
        <v>6</v>
      </c>
      <c r="AG85">
        <v>1</v>
      </c>
      <c r="AH85">
        <v>0</v>
      </c>
      <c r="AI85">
        <v>0</v>
      </c>
      <c r="AJ85" t="s">
        <v>210</v>
      </c>
      <c r="AK85">
        <v>0</v>
      </c>
    </row>
    <row r="86" spans="1:37" x14ac:dyDescent="0.25">
      <c r="A86">
        <v>2024</v>
      </c>
      <c r="B86" s="1">
        <v>45459</v>
      </c>
      <c r="C86">
        <v>9</v>
      </c>
      <c r="D86">
        <v>11275</v>
      </c>
      <c r="E86">
        <v>24584</v>
      </c>
      <c r="F86" t="s">
        <v>82</v>
      </c>
      <c r="G86" t="s">
        <v>50</v>
      </c>
      <c r="H86" t="s">
        <v>184</v>
      </c>
      <c r="I86" t="s">
        <v>52</v>
      </c>
      <c r="J86">
        <v>16</v>
      </c>
      <c r="K86">
        <v>10</v>
      </c>
      <c r="L86">
        <v>1915</v>
      </c>
      <c r="M86">
        <v>2565</v>
      </c>
      <c r="N86" t="s">
        <v>134</v>
      </c>
      <c r="O86" t="s">
        <v>209</v>
      </c>
      <c r="P86">
        <v>0</v>
      </c>
      <c r="Q86">
        <v>0</v>
      </c>
      <c r="R86">
        <v>0</v>
      </c>
      <c r="S86">
        <v>0</v>
      </c>
      <c r="T86">
        <v>5</v>
      </c>
      <c r="U86">
        <v>5</v>
      </c>
      <c r="V86">
        <v>11</v>
      </c>
      <c r="W86">
        <v>11</v>
      </c>
      <c r="X86">
        <v>10</v>
      </c>
      <c r="Y86">
        <v>11</v>
      </c>
      <c r="Z86">
        <v>2</v>
      </c>
      <c r="AA86">
        <v>4</v>
      </c>
      <c r="AB86">
        <v>0</v>
      </c>
      <c r="AC86">
        <v>3</v>
      </c>
      <c r="AD86">
        <v>14</v>
      </c>
      <c r="AE86">
        <v>8</v>
      </c>
      <c r="AF86">
        <v>7</v>
      </c>
      <c r="AG86">
        <v>3</v>
      </c>
      <c r="AH86">
        <v>0</v>
      </c>
      <c r="AI86">
        <v>0</v>
      </c>
      <c r="AJ86" t="s">
        <v>211</v>
      </c>
      <c r="AK86">
        <v>0</v>
      </c>
    </row>
    <row r="87" spans="1:37" x14ac:dyDescent="0.25">
      <c r="A87">
        <v>2024</v>
      </c>
      <c r="B87" s="1">
        <v>45461</v>
      </c>
      <c r="C87">
        <v>9</v>
      </c>
      <c r="D87">
        <v>31448</v>
      </c>
      <c r="E87">
        <v>46000</v>
      </c>
      <c r="F87" t="s">
        <v>89</v>
      </c>
      <c r="G87" t="s">
        <v>95</v>
      </c>
      <c r="H87" t="s">
        <v>91</v>
      </c>
      <c r="I87" t="s">
        <v>97</v>
      </c>
      <c r="J87">
        <v>6</v>
      </c>
      <c r="K87">
        <v>5</v>
      </c>
      <c r="L87">
        <v>4760</v>
      </c>
      <c r="M87">
        <v>10060</v>
      </c>
      <c r="N87" t="s">
        <v>117</v>
      </c>
      <c r="O87" t="s">
        <v>114</v>
      </c>
      <c r="P87">
        <v>0</v>
      </c>
      <c r="Q87">
        <v>4</v>
      </c>
      <c r="R87">
        <v>0</v>
      </c>
      <c r="S87">
        <v>1</v>
      </c>
      <c r="T87">
        <v>3</v>
      </c>
      <c r="U87">
        <v>6</v>
      </c>
      <c r="V87">
        <v>16</v>
      </c>
      <c r="W87">
        <v>16</v>
      </c>
      <c r="X87">
        <v>16</v>
      </c>
      <c r="Y87">
        <v>15</v>
      </c>
      <c r="Z87">
        <v>5</v>
      </c>
      <c r="AA87">
        <v>3</v>
      </c>
      <c r="AB87">
        <v>1</v>
      </c>
      <c r="AC87">
        <v>2</v>
      </c>
      <c r="AD87">
        <v>11</v>
      </c>
      <c r="AE87">
        <v>22</v>
      </c>
      <c r="AF87">
        <v>5</v>
      </c>
      <c r="AG87">
        <v>8</v>
      </c>
      <c r="AH87">
        <v>-4</v>
      </c>
      <c r="AI87">
        <v>0</v>
      </c>
      <c r="AJ87" t="s">
        <v>212</v>
      </c>
      <c r="AK87">
        <v>1</v>
      </c>
    </row>
    <row r="88" spans="1:37" x14ac:dyDescent="0.25">
      <c r="A88">
        <v>2024</v>
      </c>
      <c r="B88" s="1">
        <v>45470</v>
      </c>
      <c r="C88">
        <v>12</v>
      </c>
      <c r="D88">
        <v>26465</v>
      </c>
      <c r="E88">
        <v>61927</v>
      </c>
      <c r="F88" t="s">
        <v>50</v>
      </c>
      <c r="G88" t="s">
        <v>69</v>
      </c>
      <c r="H88" t="s">
        <v>52</v>
      </c>
      <c r="I88" t="s">
        <v>213</v>
      </c>
      <c r="J88">
        <v>6</v>
      </c>
      <c r="K88">
        <v>8</v>
      </c>
      <c r="L88">
        <v>3150</v>
      </c>
      <c r="M88">
        <v>2600</v>
      </c>
      <c r="N88">
        <v>27</v>
      </c>
      <c r="O88" t="s">
        <v>107</v>
      </c>
      <c r="P88">
        <v>2</v>
      </c>
      <c r="Q88">
        <v>0</v>
      </c>
      <c r="R88">
        <v>1</v>
      </c>
      <c r="S88">
        <v>0</v>
      </c>
      <c r="T88">
        <v>7</v>
      </c>
      <c r="U88">
        <v>12</v>
      </c>
      <c r="V88">
        <v>8</v>
      </c>
      <c r="W88">
        <v>6</v>
      </c>
      <c r="X88">
        <v>6</v>
      </c>
      <c r="Y88">
        <v>7</v>
      </c>
      <c r="Z88">
        <v>3</v>
      </c>
      <c r="AA88">
        <v>5</v>
      </c>
      <c r="AB88">
        <v>1</v>
      </c>
      <c r="AC88">
        <v>0</v>
      </c>
      <c r="AD88">
        <v>22</v>
      </c>
      <c r="AE88">
        <v>14</v>
      </c>
      <c r="AF88">
        <v>8</v>
      </c>
      <c r="AG88">
        <v>6</v>
      </c>
      <c r="AH88">
        <v>2</v>
      </c>
      <c r="AI88">
        <v>1</v>
      </c>
      <c r="AJ88" t="s">
        <v>214</v>
      </c>
      <c r="AK88">
        <v>0</v>
      </c>
    </row>
    <row r="89" spans="1:37" x14ac:dyDescent="0.25">
      <c r="A89">
        <v>2024</v>
      </c>
      <c r="B89" s="1">
        <v>45470</v>
      </c>
      <c r="C89">
        <v>12</v>
      </c>
      <c r="D89">
        <v>8838</v>
      </c>
      <c r="E89">
        <v>13000</v>
      </c>
      <c r="F89" t="s">
        <v>76</v>
      </c>
      <c r="G89" t="s">
        <v>83</v>
      </c>
      <c r="H89" t="s">
        <v>215</v>
      </c>
      <c r="I89" t="s">
        <v>85</v>
      </c>
      <c r="J89">
        <v>17</v>
      </c>
      <c r="K89">
        <v>19</v>
      </c>
      <c r="L89">
        <v>1120</v>
      </c>
      <c r="M89">
        <v>3230</v>
      </c>
      <c r="N89" t="s">
        <v>209</v>
      </c>
      <c r="O89" t="s">
        <v>111</v>
      </c>
      <c r="P89">
        <v>1</v>
      </c>
      <c r="Q89">
        <v>1</v>
      </c>
      <c r="R89">
        <v>0</v>
      </c>
      <c r="S89">
        <v>0</v>
      </c>
      <c r="T89">
        <v>5</v>
      </c>
      <c r="U89">
        <v>8</v>
      </c>
      <c r="V89">
        <v>13</v>
      </c>
      <c r="W89">
        <v>11</v>
      </c>
      <c r="X89">
        <v>10</v>
      </c>
      <c r="Y89">
        <v>12</v>
      </c>
      <c r="Z89">
        <v>3</v>
      </c>
      <c r="AA89">
        <v>4</v>
      </c>
      <c r="AB89">
        <v>2</v>
      </c>
      <c r="AC89">
        <v>0</v>
      </c>
      <c r="AD89">
        <v>16</v>
      </c>
      <c r="AE89">
        <v>11</v>
      </c>
      <c r="AF89">
        <v>8</v>
      </c>
      <c r="AG89">
        <v>5</v>
      </c>
      <c r="AH89">
        <v>0</v>
      </c>
      <c r="AI89">
        <v>0</v>
      </c>
      <c r="AJ89" t="s">
        <v>131</v>
      </c>
      <c r="AK89">
        <v>0</v>
      </c>
    </row>
    <row r="90" spans="1:37" x14ac:dyDescent="0.25">
      <c r="A90">
        <v>2024</v>
      </c>
      <c r="B90" s="1">
        <v>45470</v>
      </c>
      <c r="C90">
        <v>12</v>
      </c>
      <c r="D90">
        <v>9978</v>
      </c>
      <c r="E90">
        <v>19848</v>
      </c>
      <c r="F90" t="s">
        <v>37</v>
      </c>
      <c r="G90" t="s">
        <v>89</v>
      </c>
      <c r="H90" t="s">
        <v>39</v>
      </c>
      <c r="I90" t="s">
        <v>91</v>
      </c>
      <c r="J90">
        <v>5</v>
      </c>
      <c r="K90">
        <v>7</v>
      </c>
      <c r="L90">
        <v>4450</v>
      </c>
      <c r="M90">
        <v>4355</v>
      </c>
      <c r="N90" t="s">
        <v>174</v>
      </c>
      <c r="O90" t="s">
        <v>66</v>
      </c>
      <c r="P90">
        <v>1</v>
      </c>
      <c r="Q90">
        <v>2</v>
      </c>
      <c r="R90">
        <v>0</v>
      </c>
      <c r="S90">
        <v>0</v>
      </c>
      <c r="T90">
        <v>5</v>
      </c>
      <c r="U90">
        <v>9</v>
      </c>
      <c r="V90">
        <v>17</v>
      </c>
      <c r="W90">
        <v>10</v>
      </c>
      <c r="X90">
        <v>10</v>
      </c>
      <c r="Y90">
        <v>16</v>
      </c>
      <c r="Z90">
        <v>3</v>
      </c>
      <c r="AA90">
        <v>6</v>
      </c>
      <c r="AB90">
        <v>3</v>
      </c>
      <c r="AC90">
        <v>0</v>
      </c>
      <c r="AD90">
        <v>13</v>
      </c>
      <c r="AE90">
        <v>16</v>
      </c>
      <c r="AF90">
        <v>3</v>
      </c>
      <c r="AG90">
        <v>5</v>
      </c>
      <c r="AH90">
        <v>-1</v>
      </c>
      <c r="AI90">
        <v>0</v>
      </c>
      <c r="AJ90" t="s">
        <v>216</v>
      </c>
      <c r="AK90">
        <v>0</v>
      </c>
    </row>
    <row r="91" spans="1:37" x14ac:dyDescent="0.25">
      <c r="A91">
        <v>2024</v>
      </c>
      <c r="B91" s="1">
        <v>45470</v>
      </c>
      <c r="C91">
        <v>12</v>
      </c>
      <c r="D91">
        <v>13333</v>
      </c>
      <c r="E91">
        <v>46931</v>
      </c>
      <c r="F91" t="s">
        <v>51</v>
      </c>
      <c r="G91" t="s">
        <v>56</v>
      </c>
      <c r="H91" t="s">
        <v>53</v>
      </c>
      <c r="I91" t="s">
        <v>58</v>
      </c>
      <c r="J91">
        <v>3</v>
      </c>
      <c r="K91">
        <v>10</v>
      </c>
      <c r="L91">
        <v>3005</v>
      </c>
      <c r="M91">
        <v>4640</v>
      </c>
      <c r="N91" t="s">
        <v>205</v>
      </c>
      <c r="O91" t="s">
        <v>217</v>
      </c>
      <c r="P91">
        <v>2</v>
      </c>
      <c r="Q91">
        <v>1</v>
      </c>
      <c r="R91">
        <v>1</v>
      </c>
      <c r="S91">
        <v>1</v>
      </c>
      <c r="T91">
        <v>7</v>
      </c>
      <c r="U91">
        <v>4</v>
      </c>
      <c r="V91">
        <v>13</v>
      </c>
      <c r="W91">
        <v>12</v>
      </c>
      <c r="X91">
        <v>12</v>
      </c>
      <c r="Y91">
        <v>12</v>
      </c>
      <c r="Z91">
        <v>5</v>
      </c>
      <c r="AA91">
        <v>2</v>
      </c>
      <c r="AB91">
        <v>1</v>
      </c>
      <c r="AC91">
        <v>1</v>
      </c>
      <c r="AD91">
        <v>12</v>
      </c>
      <c r="AE91">
        <v>13</v>
      </c>
      <c r="AF91">
        <v>7</v>
      </c>
      <c r="AG91">
        <v>4</v>
      </c>
      <c r="AH91">
        <v>1</v>
      </c>
      <c r="AI91">
        <v>1</v>
      </c>
      <c r="AJ91" t="s">
        <v>218</v>
      </c>
      <c r="AK91">
        <v>0</v>
      </c>
    </row>
    <row r="92" spans="1:37" x14ac:dyDescent="0.25">
      <c r="A92">
        <v>2024</v>
      </c>
      <c r="B92" s="1">
        <v>45470</v>
      </c>
      <c r="C92">
        <v>12</v>
      </c>
      <c r="D92">
        <v>38318</v>
      </c>
      <c r="E92">
        <v>47364</v>
      </c>
      <c r="F92" t="s">
        <v>38</v>
      </c>
      <c r="G92" t="s">
        <v>82</v>
      </c>
      <c r="H92" t="s">
        <v>40</v>
      </c>
      <c r="I92" t="s">
        <v>160</v>
      </c>
      <c r="J92">
        <v>2</v>
      </c>
      <c r="K92">
        <v>16</v>
      </c>
      <c r="L92">
        <v>3795</v>
      </c>
      <c r="M92">
        <v>2830</v>
      </c>
      <c r="N92" t="s">
        <v>137</v>
      </c>
      <c r="O92" t="s">
        <v>168</v>
      </c>
      <c r="P92">
        <v>2</v>
      </c>
      <c r="Q92">
        <v>1</v>
      </c>
      <c r="R92">
        <v>1</v>
      </c>
      <c r="S92">
        <v>1</v>
      </c>
      <c r="T92">
        <v>7</v>
      </c>
      <c r="U92">
        <v>0</v>
      </c>
      <c r="V92">
        <v>14</v>
      </c>
      <c r="W92">
        <v>15</v>
      </c>
      <c r="X92">
        <v>13</v>
      </c>
      <c r="Y92">
        <v>14</v>
      </c>
      <c r="Z92">
        <v>2</v>
      </c>
      <c r="AA92">
        <v>6</v>
      </c>
      <c r="AB92">
        <v>4</v>
      </c>
      <c r="AC92">
        <v>1</v>
      </c>
      <c r="AD92">
        <v>17</v>
      </c>
      <c r="AE92">
        <v>9</v>
      </c>
      <c r="AF92">
        <v>6</v>
      </c>
      <c r="AG92">
        <v>6</v>
      </c>
      <c r="AH92">
        <v>1</v>
      </c>
      <c r="AI92">
        <v>1</v>
      </c>
      <c r="AJ92" t="s">
        <v>219</v>
      </c>
      <c r="AK92">
        <v>0</v>
      </c>
    </row>
    <row r="93" spans="1:37" x14ac:dyDescent="0.25">
      <c r="A93">
        <v>2024</v>
      </c>
      <c r="B93" s="1">
        <v>45470</v>
      </c>
      <c r="C93">
        <v>12</v>
      </c>
      <c r="D93">
        <v>38475</v>
      </c>
      <c r="E93">
        <v>49205</v>
      </c>
      <c r="F93" t="s">
        <v>88</v>
      </c>
      <c r="G93" t="s">
        <v>70</v>
      </c>
      <c r="H93" t="s">
        <v>90</v>
      </c>
      <c r="I93" t="s">
        <v>119</v>
      </c>
      <c r="J93">
        <v>18</v>
      </c>
      <c r="K93">
        <v>14</v>
      </c>
      <c r="L93">
        <v>4980</v>
      </c>
      <c r="M93">
        <v>1490</v>
      </c>
      <c r="N93" t="s">
        <v>220</v>
      </c>
      <c r="O93" t="s">
        <v>86</v>
      </c>
      <c r="P93">
        <v>1</v>
      </c>
      <c r="Q93">
        <v>1</v>
      </c>
      <c r="R93">
        <v>0</v>
      </c>
      <c r="S93">
        <v>1</v>
      </c>
      <c r="T93">
        <v>13</v>
      </c>
      <c r="U93">
        <v>1</v>
      </c>
      <c r="V93">
        <v>10</v>
      </c>
      <c r="W93">
        <v>13</v>
      </c>
      <c r="X93">
        <v>12</v>
      </c>
      <c r="Y93">
        <v>10</v>
      </c>
      <c r="Z93">
        <v>3</v>
      </c>
      <c r="AA93">
        <v>6</v>
      </c>
      <c r="AB93">
        <v>2</v>
      </c>
      <c r="AC93">
        <v>1</v>
      </c>
      <c r="AD93">
        <v>24</v>
      </c>
      <c r="AE93">
        <v>13</v>
      </c>
      <c r="AF93">
        <v>9</v>
      </c>
      <c r="AG93">
        <v>3</v>
      </c>
      <c r="AH93">
        <v>0</v>
      </c>
      <c r="AI93">
        <v>0</v>
      </c>
      <c r="AJ93" t="s">
        <v>103</v>
      </c>
      <c r="AK93">
        <v>0</v>
      </c>
    </row>
    <row r="94" spans="1:37" x14ac:dyDescent="0.25">
      <c r="A94">
        <v>2024</v>
      </c>
      <c r="B94" s="1">
        <v>45470</v>
      </c>
      <c r="C94">
        <v>12</v>
      </c>
      <c r="D94">
        <v>28631</v>
      </c>
      <c r="E94">
        <v>60326</v>
      </c>
      <c r="F94" t="s">
        <v>63</v>
      </c>
      <c r="G94" t="s">
        <v>95</v>
      </c>
      <c r="H94" t="s">
        <v>65</v>
      </c>
      <c r="I94" t="s">
        <v>97</v>
      </c>
      <c r="J94">
        <v>11</v>
      </c>
      <c r="K94">
        <v>4</v>
      </c>
      <c r="L94">
        <v>1650</v>
      </c>
      <c r="M94">
        <v>6660</v>
      </c>
      <c r="N94">
        <v>30</v>
      </c>
      <c r="O94" t="s">
        <v>134</v>
      </c>
      <c r="P94">
        <v>3</v>
      </c>
      <c r="Q94">
        <v>0</v>
      </c>
      <c r="R94">
        <v>1</v>
      </c>
      <c r="S94">
        <v>0</v>
      </c>
      <c r="T94">
        <v>3</v>
      </c>
      <c r="U94">
        <v>8</v>
      </c>
      <c r="V94">
        <v>17</v>
      </c>
      <c r="W94">
        <v>11</v>
      </c>
      <c r="X94">
        <v>8</v>
      </c>
      <c r="Y94">
        <v>17</v>
      </c>
      <c r="Z94">
        <v>7</v>
      </c>
      <c r="AA94">
        <v>3</v>
      </c>
      <c r="AB94">
        <v>0</v>
      </c>
      <c r="AC94">
        <v>2</v>
      </c>
      <c r="AD94">
        <v>12</v>
      </c>
      <c r="AE94">
        <v>17</v>
      </c>
      <c r="AF94">
        <v>2</v>
      </c>
      <c r="AG94">
        <v>6</v>
      </c>
      <c r="AH94">
        <v>3</v>
      </c>
      <c r="AI94">
        <v>1</v>
      </c>
      <c r="AJ94" t="s">
        <v>181</v>
      </c>
      <c r="AK94">
        <v>0</v>
      </c>
    </row>
    <row r="95" spans="1:37" x14ac:dyDescent="0.25">
      <c r="A95">
        <v>2024</v>
      </c>
      <c r="B95" s="1">
        <v>45470</v>
      </c>
      <c r="C95">
        <v>12</v>
      </c>
      <c r="D95">
        <v>12675</v>
      </c>
      <c r="E95">
        <v>23726</v>
      </c>
      <c r="F95" t="s">
        <v>44</v>
      </c>
      <c r="G95" t="s">
        <v>77</v>
      </c>
      <c r="H95" t="s">
        <v>46</v>
      </c>
      <c r="I95" t="s">
        <v>79</v>
      </c>
      <c r="J95">
        <v>13</v>
      </c>
      <c r="K95">
        <v>1</v>
      </c>
      <c r="L95">
        <v>965</v>
      </c>
      <c r="M95">
        <v>9900</v>
      </c>
      <c r="N95" t="s">
        <v>74</v>
      </c>
      <c r="O95" t="s">
        <v>221</v>
      </c>
      <c r="P95">
        <v>2</v>
      </c>
      <c r="Q95">
        <v>1</v>
      </c>
      <c r="R95">
        <v>1</v>
      </c>
      <c r="S95">
        <v>1</v>
      </c>
      <c r="T95">
        <v>7</v>
      </c>
      <c r="U95">
        <v>8</v>
      </c>
      <c r="V95">
        <v>9</v>
      </c>
      <c r="W95">
        <v>10</v>
      </c>
      <c r="X95">
        <v>10</v>
      </c>
      <c r="Y95">
        <v>9</v>
      </c>
      <c r="Z95">
        <v>3</v>
      </c>
      <c r="AA95">
        <v>7</v>
      </c>
      <c r="AB95">
        <v>4</v>
      </c>
      <c r="AC95">
        <v>2</v>
      </c>
      <c r="AD95">
        <v>15</v>
      </c>
      <c r="AE95">
        <v>9</v>
      </c>
      <c r="AF95">
        <v>6</v>
      </c>
      <c r="AG95">
        <v>2</v>
      </c>
      <c r="AH95">
        <v>1</v>
      </c>
      <c r="AI95">
        <v>1</v>
      </c>
      <c r="AJ95" t="s">
        <v>222</v>
      </c>
      <c r="AK95">
        <v>0</v>
      </c>
    </row>
    <row r="96" spans="1:37" x14ac:dyDescent="0.25">
      <c r="A96">
        <v>2024</v>
      </c>
      <c r="B96" s="1">
        <v>45471</v>
      </c>
      <c r="C96">
        <v>12</v>
      </c>
      <c r="D96">
        <v>26569</v>
      </c>
      <c r="E96">
        <v>82238</v>
      </c>
      <c r="F96" t="s">
        <v>55</v>
      </c>
      <c r="G96" t="s">
        <v>94</v>
      </c>
      <c r="H96" t="s">
        <v>223</v>
      </c>
      <c r="I96" t="s">
        <v>64</v>
      </c>
      <c r="J96">
        <v>20</v>
      </c>
      <c r="K96">
        <v>15</v>
      </c>
      <c r="L96">
        <v>2225</v>
      </c>
      <c r="M96">
        <v>1233</v>
      </c>
      <c r="N96" t="s">
        <v>224</v>
      </c>
      <c r="O96" t="s">
        <v>114</v>
      </c>
      <c r="P96">
        <v>0</v>
      </c>
      <c r="Q96">
        <v>1</v>
      </c>
      <c r="R96">
        <v>0</v>
      </c>
      <c r="S96">
        <v>0</v>
      </c>
      <c r="T96">
        <v>6</v>
      </c>
      <c r="U96">
        <v>2</v>
      </c>
      <c r="V96">
        <v>14</v>
      </c>
      <c r="W96">
        <v>12</v>
      </c>
      <c r="X96">
        <v>11</v>
      </c>
      <c r="Y96">
        <v>14</v>
      </c>
      <c r="Z96">
        <v>5</v>
      </c>
      <c r="AA96">
        <v>5</v>
      </c>
      <c r="AB96">
        <v>2</v>
      </c>
      <c r="AC96">
        <v>0</v>
      </c>
      <c r="AD96">
        <v>12</v>
      </c>
      <c r="AE96">
        <v>9</v>
      </c>
      <c r="AF96">
        <v>4</v>
      </c>
      <c r="AG96">
        <v>1</v>
      </c>
      <c r="AH96">
        <v>-1</v>
      </c>
      <c r="AI96">
        <v>0</v>
      </c>
      <c r="AJ96" t="s">
        <v>225</v>
      </c>
      <c r="AK96">
        <v>0</v>
      </c>
    </row>
    <row r="97" spans="1:37" x14ac:dyDescent="0.25">
      <c r="A97">
        <v>2024</v>
      </c>
      <c r="B97" s="1">
        <v>45471</v>
      </c>
      <c r="C97">
        <v>12</v>
      </c>
      <c r="D97">
        <v>28008</v>
      </c>
      <c r="E97">
        <v>72039</v>
      </c>
      <c r="F97" t="s">
        <v>62</v>
      </c>
      <c r="G97" t="s">
        <v>43</v>
      </c>
      <c r="H97" t="s">
        <v>153</v>
      </c>
      <c r="I97" t="s">
        <v>45</v>
      </c>
      <c r="J97">
        <v>9</v>
      </c>
      <c r="K97">
        <v>12</v>
      </c>
      <c r="L97">
        <v>2895</v>
      </c>
      <c r="M97">
        <v>443</v>
      </c>
      <c r="N97" t="s">
        <v>193</v>
      </c>
      <c r="O97" t="s">
        <v>179</v>
      </c>
      <c r="P97">
        <v>2</v>
      </c>
      <c r="Q97">
        <v>1</v>
      </c>
      <c r="R97">
        <v>2</v>
      </c>
      <c r="S97">
        <v>0</v>
      </c>
      <c r="T97">
        <v>2</v>
      </c>
      <c r="U97">
        <v>2</v>
      </c>
      <c r="V97">
        <v>10</v>
      </c>
      <c r="W97">
        <v>22</v>
      </c>
      <c r="X97">
        <v>21</v>
      </c>
      <c r="Y97">
        <v>9</v>
      </c>
      <c r="Z97">
        <v>0</v>
      </c>
      <c r="AA97">
        <v>4</v>
      </c>
      <c r="AB97">
        <v>1</v>
      </c>
      <c r="AC97">
        <v>0</v>
      </c>
      <c r="AD97">
        <v>13</v>
      </c>
      <c r="AE97">
        <v>10</v>
      </c>
      <c r="AF97">
        <v>4</v>
      </c>
      <c r="AG97">
        <v>6</v>
      </c>
      <c r="AH97">
        <v>1</v>
      </c>
      <c r="AI97">
        <v>1</v>
      </c>
      <c r="AJ97" t="s">
        <v>226</v>
      </c>
      <c r="AK97">
        <v>0</v>
      </c>
    </row>
    <row r="98" spans="1:37" x14ac:dyDescent="0.25">
      <c r="A98">
        <v>2024</v>
      </c>
      <c r="B98" s="1">
        <v>45472</v>
      </c>
      <c r="C98">
        <v>13</v>
      </c>
      <c r="D98">
        <v>16121</v>
      </c>
      <c r="E98">
        <v>24584</v>
      </c>
      <c r="F98" t="s">
        <v>82</v>
      </c>
      <c r="G98" t="s">
        <v>51</v>
      </c>
      <c r="H98" t="s">
        <v>160</v>
      </c>
      <c r="I98" t="s">
        <v>53</v>
      </c>
      <c r="J98">
        <v>16</v>
      </c>
      <c r="K98">
        <v>3</v>
      </c>
      <c r="L98">
        <v>2660</v>
      </c>
      <c r="M98">
        <v>3145</v>
      </c>
      <c r="N98" t="s">
        <v>163</v>
      </c>
      <c r="O98" t="s">
        <v>92</v>
      </c>
      <c r="P98">
        <v>1</v>
      </c>
      <c r="Q98">
        <v>1</v>
      </c>
      <c r="R98">
        <v>0</v>
      </c>
      <c r="S98">
        <v>0</v>
      </c>
      <c r="T98">
        <v>0</v>
      </c>
      <c r="U98">
        <v>5</v>
      </c>
      <c r="V98">
        <v>13</v>
      </c>
      <c r="W98">
        <v>23</v>
      </c>
      <c r="X98">
        <v>20</v>
      </c>
      <c r="Y98">
        <v>12</v>
      </c>
      <c r="Z98">
        <v>5</v>
      </c>
      <c r="AA98">
        <v>1</v>
      </c>
      <c r="AB98">
        <v>0</v>
      </c>
      <c r="AC98">
        <v>0</v>
      </c>
      <c r="AD98">
        <v>10</v>
      </c>
      <c r="AE98">
        <v>13</v>
      </c>
      <c r="AF98">
        <v>6</v>
      </c>
      <c r="AG98">
        <v>4</v>
      </c>
      <c r="AH98">
        <v>0</v>
      </c>
      <c r="AI98">
        <v>0</v>
      </c>
      <c r="AJ98" t="s">
        <v>227</v>
      </c>
      <c r="AK98">
        <v>0</v>
      </c>
    </row>
    <row r="99" spans="1:37" x14ac:dyDescent="0.25">
      <c r="A99">
        <v>2024</v>
      </c>
      <c r="B99" s="1">
        <v>45472</v>
      </c>
      <c r="C99">
        <v>13</v>
      </c>
      <c r="D99">
        <v>5024</v>
      </c>
      <c r="E99">
        <v>42968</v>
      </c>
      <c r="F99" t="s">
        <v>70</v>
      </c>
      <c r="G99" t="s">
        <v>56</v>
      </c>
      <c r="H99" t="s">
        <v>119</v>
      </c>
      <c r="I99" t="s">
        <v>58</v>
      </c>
      <c r="J99">
        <v>14</v>
      </c>
      <c r="K99">
        <v>11</v>
      </c>
      <c r="L99">
        <v>1410</v>
      </c>
      <c r="M99">
        <v>4470</v>
      </c>
      <c r="N99" t="s">
        <v>135</v>
      </c>
      <c r="O99" t="s">
        <v>228</v>
      </c>
      <c r="P99">
        <v>1</v>
      </c>
      <c r="Q99">
        <v>1</v>
      </c>
      <c r="R99">
        <v>1</v>
      </c>
      <c r="S99">
        <v>1</v>
      </c>
      <c r="T99">
        <v>3</v>
      </c>
      <c r="U99">
        <v>11</v>
      </c>
      <c r="V99">
        <v>13</v>
      </c>
      <c r="W99">
        <v>16</v>
      </c>
      <c r="X99">
        <v>16</v>
      </c>
      <c r="Y99">
        <v>12</v>
      </c>
      <c r="Z99">
        <v>4</v>
      </c>
      <c r="AA99">
        <v>1</v>
      </c>
      <c r="AB99">
        <v>2</v>
      </c>
      <c r="AC99">
        <v>1</v>
      </c>
      <c r="AD99">
        <v>5</v>
      </c>
      <c r="AE99">
        <v>15</v>
      </c>
      <c r="AF99">
        <v>3</v>
      </c>
      <c r="AG99">
        <v>6</v>
      </c>
      <c r="AH99">
        <v>0</v>
      </c>
      <c r="AI99">
        <v>0</v>
      </c>
      <c r="AJ99" t="s">
        <v>136</v>
      </c>
      <c r="AK99">
        <v>1</v>
      </c>
    </row>
    <row r="100" spans="1:37" x14ac:dyDescent="0.25">
      <c r="A100">
        <v>2024</v>
      </c>
      <c r="B100" s="1">
        <v>45473</v>
      </c>
      <c r="C100">
        <v>13</v>
      </c>
      <c r="D100">
        <v>39767</v>
      </c>
      <c r="E100">
        <v>46000</v>
      </c>
      <c r="F100" t="s">
        <v>89</v>
      </c>
      <c r="G100" t="s">
        <v>76</v>
      </c>
      <c r="H100" t="s">
        <v>91</v>
      </c>
      <c r="I100" t="s">
        <v>215</v>
      </c>
      <c r="J100">
        <v>9</v>
      </c>
      <c r="K100">
        <v>17</v>
      </c>
      <c r="L100">
        <v>2920</v>
      </c>
      <c r="M100">
        <v>1250</v>
      </c>
      <c r="N100" t="s">
        <v>117</v>
      </c>
      <c r="O100" t="s">
        <v>104</v>
      </c>
      <c r="P100">
        <v>1</v>
      </c>
      <c r="Q100">
        <v>1</v>
      </c>
      <c r="R100">
        <v>1</v>
      </c>
      <c r="S100">
        <v>1</v>
      </c>
      <c r="T100">
        <v>5</v>
      </c>
      <c r="U100">
        <v>8</v>
      </c>
      <c r="V100">
        <v>10</v>
      </c>
      <c r="W100">
        <v>11</v>
      </c>
      <c r="X100">
        <v>9</v>
      </c>
      <c r="Y100">
        <v>10</v>
      </c>
      <c r="Z100">
        <v>4</v>
      </c>
      <c r="AA100">
        <v>5</v>
      </c>
      <c r="AB100">
        <v>0</v>
      </c>
      <c r="AC100">
        <v>2</v>
      </c>
      <c r="AD100">
        <v>15</v>
      </c>
      <c r="AE100">
        <v>12</v>
      </c>
      <c r="AF100">
        <v>4</v>
      </c>
      <c r="AG100">
        <v>4</v>
      </c>
      <c r="AH100">
        <v>0</v>
      </c>
      <c r="AI100">
        <v>0</v>
      </c>
      <c r="AJ100" t="s">
        <v>229</v>
      </c>
      <c r="AK100">
        <v>0</v>
      </c>
    </row>
    <row r="101" spans="1:37" x14ac:dyDescent="0.25">
      <c r="A101">
        <v>2024</v>
      </c>
      <c r="B101" s="1">
        <v>45475</v>
      </c>
      <c r="C101">
        <v>13</v>
      </c>
      <c r="D101">
        <v>41175</v>
      </c>
      <c r="E101">
        <v>43713</v>
      </c>
      <c r="F101" t="s">
        <v>95</v>
      </c>
      <c r="G101" t="s">
        <v>88</v>
      </c>
      <c r="H101" t="s">
        <v>97</v>
      </c>
      <c r="I101" t="s">
        <v>90</v>
      </c>
      <c r="J101">
        <v>2</v>
      </c>
      <c r="K101">
        <v>19</v>
      </c>
      <c r="L101">
        <v>9010</v>
      </c>
      <c r="M101">
        <v>4630</v>
      </c>
      <c r="N101">
        <v>26</v>
      </c>
      <c r="O101" t="s">
        <v>230</v>
      </c>
      <c r="P101">
        <v>2</v>
      </c>
      <c r="Q101">
        <v>0</v>
      </c>
      <c r="R101">
        <v>0</v>
      </c>
      <c r="S101">
        <v>0</v>
      </c>
      <c r="T101">
        <v>7</v>
      </c>
      <c r="U101">
        <v>3</v>
      </c>
      <c r="V101">
        <v>18</v>
      </c>
      <c r="W101">
        <v>10</v>
      </c>
      <c r="X101">
        <v>10</v>
      </c>
      <c r="Y101">
        <v>18</v>
      </c>
      <c r="Z101">
        <v>4</v>
      </c>
      <c r="AA101">
        <v>8</v>
      </c>
      <c r="AB101">
        <v>2</v>
      </c>
      <c r="AC101">
        <v>0</v>
      </c>
      <c r="AD101">
        <v>19</v>
      </c>
      <c r="AE101">
        <v>13</v>
      </c>
      <c r="AF101">
        <v>3</v>
      </c>
      <c r="AG101">
        <v>8</v>
      </c>
      <c r="AH101">
        <v>2</v>
      </c>
      <c r="AI101">
        <v>1</v>
      </c>
      <c r="AJ101" t="s">
        <v>181</v>
      </c>
      <c r="AK101">
        <v>1</v>
      </c>
    </row>
    <row r="102" spans="1:37" x14ac:dyDescent="0.25">
      <c r="A102">
        <v>2024</v>
      </c>
      <c r="B102" s="1">
        <v>45477</v>
      </c>
      <c r="C102">
        <v>14</v>
      </c>
      <c r="D102">
        <v>12352</v>
      </c>
      <c r="E102">
        <v>19225</v>
      </c>
      <c r="F102" t="s">
        <v>43</v>
      </c>
      <c r="G102" t="s">
        <v>50</v>
      </c>
      <c r="H102" t="s">
        <v>45</v>
      </c>
      <c r="I102" t="s">
        <v>52</v>
      </c>
      <c r="J102">
        <v>12</v>
      </c>
      <c r="K102">
        <v>9</v>
      </c>
      <c r="L102">
        <v>673</v>
      </c>
      <c r="M102">
        <v>2950</v>
      </c>
      <c r="N102">
        <v>31</v>
      </c>
      <c r="O102" t="s">
        <v>168</v>
      </c>
      <c r="P102">
        <v>1</v>
      </c>
      <c r="Q102">
        <v>0</v>
      </c>
      <c r="R102">
        <v>0</v>
      </c>
      <c r="S102">
        <v>0</v>
      </c>
      <c r="T102">
        <v>7</v>
      </c>
      <c r="U102">
        <v>10</v>
      </c>
      <c r="V102">
        <v>11</v>
      </c>
      <c r="W102">
        <v>7</v>
      </c>
      <c r="X102">
        <v>6</v>
      </c>
      <c r="Y102">
        <v>11</v>
      </c>
      <c r="Z102">
        <v>6</v>
      </c>
      <c r="AA102">
        <v>5</v>
      </c>
      <c r="AB102">
        <v>2</v>
      </c>
      <c r="AC102">
        <v>1</v>
      </c>
      <c r="AD102">
        <v>13</v>
      </c>
      <c r="AE102">
        <v>17</v>
      </c>
      <c r="AF102">
        <v>5</v>
      </c>
      <c r="AG102">
        <v>10</v>
      </c>
      <c r="AH102">
        <v>1</v>
      </c>
      <c r="AI102">
        <v>1</v>
      </c>
      <c r="AJ102" t="s">
        <v>231</v>
      </c>
      <c r="AK102">
        <v>1</v>
      </c>
    </row>
    <row r="103" spans="1:37" x14ac:dyDescent="0.25">
      <c r="A103">
        <v>2024</v>
      </c>
      <c r="B103" s="1">
        <v>45477</v>
      </c>
      <c r="C103">
        <v>14</v>
      </c>
      <c r="D103">
        <v>14384</v>
      </c>
      <c r="E103">
        <v>24584</v>
      </c>
      <c r="F103" t="s">
        <v>82</v>
      </c>
      <c r="G103" t="s">
        <v>63</v>
      </c>
      <c r="H103" t="s">
        <v>160</v>
      </c>
      <c r="I103" t="s">
        <v>65</v>
      </c>
      <c r="J103">
        <v>14</v>
      </c>
      <c r="K103">
        <v>11</v>
      </c>
      <c r="L103">
        <v>2780</v>
      </c>
      <c r="M103">
        <v>1340</v>
      </c>
      <c r="N103" t="s">
        <v>105</v>
      </c>
      <c r="O103" t="s">
        <v>67</v>
      </c>
      <c r="P103">
        <v>2</v>
      </c>
      <c r="Q103">
        <v>0</v>
      </c>
      <c r="R103">
        <v>1</v>
      </c>
      <c r="S103">
        <v>0</v>
      </c>
      <c r="T103">
        <v>7</v>
      </c>
      <c r="U103">
        <v>3</v>
      </c>
      <c r="V103">
        <v>21</v>
      </c>
      <c r="W103">
        <v>12</v>
      </c>
      <c r="X103">
        <v>12</v>
      </c>
      <c r="Y103">
        <v>21</v>
      </c>
      <c r="Z103">
        <v>4</v>
      </c>
      <c r="AA103">
        <v>7</v>
      </c>
      <c r="AB103">
        <v>2</v>
      </c>
      <c r="AC103">
        <v>1</v>
      </c>
      <c r="AD103">
        <v>19</v>
      </c>
      <c r="AE103">
        <v>10</v>
      </c>
      <c r="AF103">
        <v>5</v>
      </c>
      <c r="AG103">
        <v>4</v>
      </c>
      <c r="AH103">
        <v>2</v>
      </c>
      <c r="AI103">
        <v>1</v>
      </c>
      <c r="AJ103" t="s">
        <v>227</v>
      </c>
      <c r="AK103">
        <v>0</v>
      </c>
    </row>
    <row r="104" spans="1:37" x14ac:dyDescent="0.25">
      <c r="A104">
        <v>2024</v>
      </c>
      <c r="B104" s="1">
        <v>45477</v>
      </c>
      <c r="C104">
        <v>14</v>
      </c>
      <c r="D104">
        <v>28632</v>
      </c>
      <c r="E104">
        <v>42372</v>
      </c>
      <c r="F104" t="s">
        <v>69</v>
      </c>
      <c r="G104" t="s">
        <v>62</v>
      </c>
      <c r="H104" t="s">
        <v>213</v>
      </c>
      <c r="I104" t="s">
        <v>153</v>
      </c>
      <c r="J104">
        <v>7</v>
      </c>
      <c r="K104">
        <v>5</v>
      </c>
      <c r="L104">
        <v>2980</v>
      </c>
      <c r="M104">
        <v>2765</v>
      </c>
      <c r="N104" t="s">
        <v>114</v>
      </c>
      <c r="O104" t="s">
        <v>144</v>
      </c>
      <c r="P104">
        <v>1</v>
      </c>
      <c r="Q104">
        <v>2</v>
      </c>
      <c r="R104">
        <v>1</v>
      </c>
      <c r="S104">
        <v>1</v>
      </c>
      <c r="T104">
        <v>6</v>
      </c>
      <c r="U104">
        <v>2</v>
      </c>
      <c r="V104">
        <v>19</v>
      </c>
      <c r="W104">
        <v>8</v>
      </c>
      <c r="X104">
        <v>7</v>
      </c>
      <c r="Y104">
        <v>18</v>
      </c>
      <c r="Z104">
        <v>6</v>
      </c>
      <c r="AA104">
        <v>3</v>
      </c>
      <c r="AB104">
        <v>1</v>
      </c>
      <c r="AC104">
        <v>2</v>
      </c>
      <c r="AD104">
        <v>12</v>
      </c>
      <c r="AE104">
        <v>13</v>
      </c>
      <c r="AF104">
        <v>6</v>
      </c>
      <c r="AG104">
        <v>1</v>
      </c>
      <c r="AH104">
        <v>-1</v>
      </c>
      <c r="AI104">
        <v>0</v>
      </c>
      <c r="AJ104" t="s">
        <v>127</v>
      </c>
      <c r="AK104">
        <v>1</v>
      </c>
    </row>
    <row r="105" spans="1:37" x14ac:dyDescent="0.25">
      <c r="A105">
        <v>2024</v>
      </c>
      <c r="B105" s="1">
        <v>45477</v>
      </c>
      <c r="C105">
        <v>14</v>
      </c>
      <c r="D105">
        <v>39993</v>
      </c>
      <c r="E105">
        <v>46000</v>
      </c>
      <c r="F105" t="s">
        <v>89</v>
      </c>
      <c r="G105" t="s">
        <v>77</v>
      </c>
      <c r="H105" t="s">
        <v>91</v>
      </c>
      <c r="I105" t="s">
        <v>79</v>
      </c>
      <c r="J105">
        <v>10</v>
      </c>
      <c r="K105">
        <v>1</v>
      </c>
      <c r="L105">
        <v>3995</v>
      </c>
      <c r="M105">
        <v>5970</v>
      </c>
      <c r="N105" t="s">
        <v>122</v>
      </c>
      <c r="O105" t="s">
        <v>134</v>
      </c>
      <c r="P105">
        <v>2</v>
      </c>
      <c r="Q105">
        <v>4</v>
      </c>
      <c r="R105">
        <v>0</v>
      </c>
      <c r="S105">
        <v>2</v>
      </c>
      <c r="T105">
        <v>4</v>
      </c>
      <c r="U105">
        <v>4</v>
      </c>
      <c r="V105">
        <v>12</v>
      </c>
      <c r="W105">
        <v>11</v>
      </c>
      <c r="X105">
        <v>10</v>
      </c>
      <c r="Y105">
        <v>12</v>
      </c>
      <c r="Z105">
        <v>4</v>
      </c>
      <c r="AA105">
        <v>2</v>
      </c>
      <c r="AB105">
        <v>1</v>
      </c>
      <c r="AC105">
        <v>2</v>
      </c>
      <c r="AD105">
        <v>11</v>
      </c>
      <c r="AE105">
        <v>14</v>
      </c>
      <c r="AF105">
        <v>3</v>
      </c>
      <c r="AG105">
        <v>3</v>
      </c>
      <c r="AH105">
        <v>-2</v>
      </c>
      <c r="AI105">
        <v>0</v>
      </c>
      <c r="AJ105" t="s">
        <v>232</v>
      </c>
      <c r="AK105">
        <v>1</v>
      </c>
    </row>
    <row r="106" spans="1:37" x14ac:dyDescent="0.25">
      <c r="A106">
        <v>2024</v>
      </c>
      <c r="B106" s="1">
        <v>45477</v>
      </c>
      <c r="C106">
        <v>14</v>
      </c>
      <c r="D106">
        <v>3102</v>
      </c>
      <c r="E106">
        <v>15010</v>
      </c>
      <c r="F106" t="s">
        <v>56</v>
      </c>
      <c r="G106" t="s">
        <v>76</v>
      </c>
      <c r="H106" t="s">
        <v>58</v>
      </c>
      <c r="I106" t="s">
        <v>215</v>
      </c>
      <c r="J106">
        <v>8</v>
      </c>
      <c r="K106">
        <v>19</v>
      </c>
      <c r="L106">
        <v>4080</v>
      </c>
      <c r="M106">
        <v>1280</v>
      </c>
      <c r="N106" t="s">
        <v>233</v>
      </c>
      <c r="O106" t="s">
        <v>117</v>
      </c>
      <c r="P106">
        <v>3</v>
      </c>
      <c r="Q106">
        <v>1</v>
      </c>
      <c r="R106">
        <v>3</v>
      </c>
      <c r="S106">
        <v>1</v>
      </c>
      <c r="T106">
        <v>3</v>
      </c>
      <c r="U106">
        <v>8</v>
      </c>
      <c r="V106">
        <v>15</v>
      </c>
      <c r="W106">
        <v>9</v>
      </c>
      <c r="X106">
        <v>9</v>
      </c>
      <c r="Y106">
        <v>15</v>
      </c>
      <c r="Z106">
        <v>5</v>
      </c>
      <c r="AA106">
        <v>2</v>
      </c>
      <c r="AB106">
        <v>1</v>
      </c>
      <c r="AC106">
        <v>3</v>
      </c>
      <c r="AD106">
        <v>13</v>
      </c>
      <c r="AE106">
        <v>13</v>
      </c>
      <c r="AF106">
        <v>5</v>
      </c>
      <c r="AG106">
        <v>6</v>
      </c>
      <c r="AH106">
        <v>2</v>
      </c>
      <c r="AI106">
        <v>1</v>
      </c>
      <c r="AJ106" t="s">
        <v>234</v>
      </c>
      <c r="AK106">
        <v>0</v>
      </c>
    </row>
    <row r="107" spans="1:37" x14ac:dyDescent="0.25">
      <c r="A107">
        <v>2024</v>
      </c>
      <c r="B107" s="1">
        <v>45477</v>
      </c>
      <c r="C107">
        <v>14</v>
      </c>
      <c r="D107">
        <v>7849</v>
      </c>
      <c r="E107">
        <v>42968</v>
      </c>
      <c r="F107" t="s">
        <v>70</v>
      </c>
      <c r="G107" t="s">
        <v>51</v>
      </c>
      <c r="H107" t="s">
        <v>119</v>
      </c>
      <c r="I107" t="s">
        <v>53</v>
      </c>
      <c r="J107">
        <v>15</v>
      </c>
      <c r="K107">
        <v>2</v>
      </c>
      <c r="L107">
        <v>1410</v>
      </c>
      <c r="M107">
        <v>3110</v>
      </c>
      <c r="N107" t="s">
        <v>235</v>
      </c>
      <c r="O107" t="s">
        <v>107</v>
      </c>
      <c r="P107">
        <v>1</v>
      </c>
      <c r="Q107">
        <v>2</v>
      </c>
      <c r="R107">
        <v>1</v>
      </c>
      <c r="S107">
        <v>1</v>
      </c>
      <c r="T107">
        <v>7</v>
      </c>
      <c r="U107">
        <v>5</v>
      </c>
      <c r="V107">
        <v>8</v>
      </c>
      <c r="W107">
        <v>15</v>
      </c>
      <c r="X107">
        <v>14</v>
      </c>
      <c r="Y107">
        <v>8</v>
      </c>
      <c r="Z107">
        <v>2</v>
      </c>
      <c r="AA107">
        <v>5</v>
      </c>
      <c r="AB107">
        <v>2</v>
      </c>
      <c r="AC107">
        <v>7</v>
      </c>
      <c r="AD107">
        <v>11</v>
      </c>
      <c r="AE107">
        <v>6</v>
      </c>
      <c r="AF107">
        <v>4</v>
      </c>
      <c r="AG107">
        <v>0</v>
      </c>
      <c r="AH107">
        <v>-1</v>
      </c>
      <c r="AI107">
        <v>0</v>
      </c>
      <c r="AJ107" t="s">
        <v>236</v>
      </c>
      <c r="AK107">
        <v>0</v>
      </c>
    </row>
    <row r="108" spans="1:37" x14ac:dyDescent="0.25">
      <c r="A108">
        <v>2024</v>
      </c>
      <c r="B108" s="1">
        <v>45541</v>
      </c>
      <c r="C108">
        <v>16</v>
      </c>
      <c r="D108">
        <v>4826</v>
      </c>
      <c r="E108">
        <v>42968</v>
      </c>
      <c r="F108" t="s">
        <v>70</v>
      </c>
      <c r="G108" t="s">
        <v>44</v>
      </c>
      <c r="H108" t="s">
        <v>237</v>
      </c>
      <c r="I108" t="s">
        <v>78</v>
      </c>
      <c r="J108">
        <v>16</v>
      </c>
      <c r="K108">
        <v>14</v>
      </c>
      <c r="L108">
        <v>1125</v>
      </c>
      <c r="M108">
        <v>1040</v>
      </c>
      <c r="N108" t="s">
        <v>107</v>
      </c>
      <c r="O108" t="s">
        <v>166</v>
      </c>
      <c r="P108">
        <v>0</v>
      </c>
      <c r="Q108">
        <v>0</v>
      </c>
      <c r="R108">
        <v>0</v>
      </c>
      <c r="S108">
        <v>0</v>
      </c>
      <c r="T108">
        <v>3</v>
      </c>
      <c r="U108">
        <v>3</v>
      </c>
      <c r="V108">
        <v>17</v>
      </c>
      <c r="W108">
        <v>11</v>
      </c>
      <c r="X108">
        <v>10</v>
      </c>
      <c r="Y108">
        <v>16</v>
      </c>
      <c r="Z108">
        <v>3</v>
      </c>
      <c r="AA108">
        <v>3</v>
      </c>
      <c r="AB108">
        <v>0</v>
      </c>
      <c r="AC108">
        <v>2</v>
      </c>
      <c r="AD108">
        <v>12</v>
      </c>
      <c r="AE108">
        <v>9</v>
      </c>
      <c r="AF108">
        <v>4</v>
      </c>
      <c r="AG108">
        <v>6</v>
      </c>
      <c r="AH108">
        <v>0</v>
      </c>
      <c r="AI108">
        <v>0</v>
      </c>
      <c r="AJ108" t="s">
        <v>127</v>
      </c>
      <c r="AK108">
        <v>0</v>
      </c>
    </row>
    <row r="109" spans="1:37" hidden="1" x14ac:dyDescent="0.25">
      <c r="A109">
        <v>2024</v>
      </c>
      <c r="B109" s="1">
        <v>45515</v>
      </c>
      <c r="C109">
        <v>22</v>
      </c>
      <c r="D109">
        <v>46600</v>
      </c>
      <c r="F109" t="s">
        <v>62</v>
      </c>
      <c r="G109" t="s">
        <v>76</v>
      </c>
      <c r="H109" t="s">
        <v>153</v>
      </c>
      <c r="I109" t="s">
        <v>238</v>
      </c>
      <c r="J109">
        <v>5</v>
      </c>
      <c r="K109">
        <v>20</v>
      </c>
      <c r="L109">
        <v>2990</v>
      </c>
      <c r="M109">
        <v>940</v>
      </c>
      <c r="N109" t="s">
        <v>239</v>
      </c>
      <c r="O109" t="s">
        <v>209</v>
      </c>
      <c r="P109">
        <v>1</v>
      </c>
      <c r="Q109">
        <v>0</v>
      </c>
      <c r="R109">
        <v>1</v>
      </c>
      <c r="S109">
        <v>0</v>
      </c>
      <c r="T109">
        <v>3</v>
      </c>
      <c r="U109">
        <v>2</v>
      </c>
      <c r="V109">
        <v>15</v>
      </c>
      <c r="W109">
        <v>8</v>
      </c>
      <c r="X109">
        <v>8</v>
      </c>
      <c r="Y109">
        <v>13</v>
      </c>
      <c r="Z109">
        <v>6</v>
      </c>
      <c r="AA109">
        <v>5</v>
      </c>
      <c r="AB109">
        <v>1</v>
      </c>
      <c r="AC109">
        <v>1</v>
      </c>
      <c r="AD109">
        <v>12</v>
      </c>
      <c r="AE109">
        <v>13</v>
      </c>
      <c r="AF109">
        <v>2</v>
      </c>
      <c r="AG109">
        <v>5</v>
      </c>
      <c r="AH109">
        <v>1</v>
      </c>
      <c r="AI109">
        <v>1</v>
      </c>
    </row>
    <row r="110" spans="1:37" x14ac:dyDescent="0.25">
      <c r="A110">
        <v>2024</v>
      </c>
      <c r="B110" s="1">
        <v>45561</v>
      </c>
      <c r="C110">
        <v>16</v>
      </c>
      <c r="D110">
        <v>3871</v>
      </c>
      <c r="E110">
        <v>15010</v>
      </c>
      <c r="F110" t="s">
        <v>56</v>
      </c>
      <c r="G110" t="s">
        <v>37</v>
      </c>
      <c r="H110" t="s">
        <v>58</v>
      </c>
      <c r="I110" t="s">
        <v>46</v>
      </c>
      <c r="J110">
        <v>11</v>
      </c>
      <c r="K110">
        <v>9</v>
      </c>
      <c r="L110">
        <v>4080</v>
      </c>
      <c r="M110">
        <v>4210</v>
      </c>
      <c r="N110" t="s">
        <v>233</v>
      </c>
      <c r="O110" t="s">
        <v>209</v>
      </c>
      <c r="P110">
        <v>2</v>
      </c>
      <c r="Q110">
        <v>2</v>
      </c>
      <c r="R110">
        <v>1</v>
      </c>
      <c r="S110">
        <v>1</v>
      </c>
      <c r="T110">
        <v>1</v>
      </c>
      <c r="U110">
        <v>9</v>
      </c>
      <c r="V110">
        <v>13</v>
      </c>
      <c r="W110">
        <v>13</v>
      </c>
      <c r="X110">
        <v>13</v>
      </c>
      <c r="Y110">
        <v>11</v>
      </c>
      <c r="Z110">
        <v>9</v>
      </c>
      <c r="AA110">
        <v>2</v>
      </c>
      <c r="AB110">
        <v>1</v>
      </c>
      <c r="AC110">
        <v>2</v>
      </c>
      <c r="AD110">
        <v>11</v>
      </c>
      <c r="AE110">
        <v>24</v>
      </c>
      <c r="AF110">
        <v>4</v>
      </c>
      <c r="AG110">
        <v>9</v>
      </c>
      <c r="AH110">
        <v>0</v>
      </c>
      <c r="AI110">
        <v>0</v>
      </c>
      <c r="AJ110" t="s">
        <v>127</v>
      </c>
      <c r="AK110">
        <v>0</v>
      </c>
    </row>
    <row r="111" spans="1:37" x14ac:dyDescent="0.25">
      <c r="A111">
        <v>2024</v>
      </c>
      <c r="B111" s="1">
        <v>45588</v>
      </c>
      <c r="C111">
        <v>17</v>
      </c>
      <c r="D111">
        <v>39465</v>
      </c>
      <c r="E111">
        <v>82238</v>
      </c>
      <c r="F111" t="s">
        <v>55</v>
      </c>
      <c r="G111" t="s">
        <v>69</v>
      </c>
      <c r="H111" t="s">
        <v>240</v>
      </c>
      <c r="I111" t="s">
        <v>241</v>
      </c>
      <c r="J111">
        <v>20</v>
      </c>
      <c r="K111">
        <v>8</v>
      </c>
      <c r="L111">
        <v>3875</v>
      </c>
      <c r="M111">
        <v>1525</v>
      </c>
      <c r="N111" t="s">
        <v>48</v>
      </c>
      <c r="O111" t="s">
        <v>168</v>
      </c>
      <c r="P111">
        <v>1</v>
      </c>
      <c r="Q111">
        <v>0</v>
      </c>
      <c r="R111">
        <v>0</v>
      </c>
      <c r="S111">
        <v>0</v>
      </c>
      <c r="T111">
        <v>5</v>
      </c>
      <c r="U111">
        <v>3</v>
      </c>
      <c r="V111">
        <v>9</v>
      </c>
      <c r="W111">
        <v>15</v>
      </c>
      <c r="X111">
        <v>12</v>
      </c>
      <c r="Y111">
        <v>9</v>
      </c>
      <c r="Z111">
        <v>2</v>
      </c>
      <c r="AA111">
        <v>4</v>
      </c>
      <c r="AB111">
        <v>1</v>
      </c>
      <c r="AC111">
        <v>1</v>
      </c>
      <c r="AD111">
        <v>14</v>
      </c>
      <c r="AE111">
        <v>6</v>
      </c>
      <c r="AF111">
        <v>4</v>
      </c>
      <c r="AG111">
        <v>3</v>
      </c>
      <c r="AH111">
        <v>1</v>
      </c>
      <c r="AI111">
        <v>1</v>
      </c>
      <c r="AJ111" t="s">
        <v>115</v>
      </c>
      <c r="AK111">
        <v>0</v>
      </c>
    </row>
    <row r="112" spans="1:37" x14ac:dyDescent="0.25">
      <c r="A112">
        <v>2024</v>
      </c>
      <c r="B112" s="1">
        <v>45533</v>
      </c>
      <c r="C112">
        <v>19</v>
      </c>
      <c r="D112">
        <v>11849</v>
      </c>
      <c r="E112">
        <v>19225</v>
      </c>
      <c r="F112" t="s">
        <v>43</v>
      </c>
      <c r="G112" t="s">
        <v>56</v>
      </c>
      <c r="H112" t="s">
        <v>45</v>
      </c>
      <c r="I112" t="s">
        <v>58</v>
      </c>
      <c r="J112">
        <v>13</v>
      </c>
      <c r="K112">
        <v>12</v>
      </c>
      <c r="L112">
        <v>873</v>
      </c>
      <c r="M112">
        <v>3150</v>
      </c>
      <c r="N112" t="s">
        <v>105</v>
      </c>
      <c r="O112" t="s">
        <v>228</v>
      </c>
      <c r="P112">
        <v>1</v>
      </c>
      <c r="Q112">
        <v>0</v>
      </c>
      <c r="R112">
        <v>1</v>
      </c>
      <c r="S112">
        <v>0</v>
      </c>
      <c r="T112">
        <v>6</v>
      </c>
      <c r="U112">
        <v>8</v>
      </c>
      <c r="V112">
        <v>17</v>
      </c>
      <c r="W112">
        <v>15</v>
      </c>
      <c r="X112">
        <v>15</v>
      </c>
      <c r="Y112">
        <v>17</v>
      </c>
      <c r="Z112">
        <v>6</v>
      </c>
      <c r="AA112">
        <v>1</v>
      </c>
      <c r="AB112">
        <v>0</v>
      </c>
      <c r="AC112">
        <v>1</v>
      </c>
      <c r="AD112">
        <v>14</v>
      </c>
      <c r="AE112">
        <v>15</v>
      </c>
      <c r="AF112">
        <v>6</v>
      </c>
      <c r="AG112">
        <v>9</v>
      </c>
      <c r="AH112">
        <v>1</v>
      </c>
      <c r="AI112">
        <v>1</v>
      </c>
      <c r="AJ112" t="s">
        <v>242</v>
      </c>
      <c r="AK112">
        <v>0</v>
      </c>
    </row>
    <row r="113" spans="1:37" x14ac:dyDescent="0.25">
      <c r="A113">
        <v>2024</v>
      </c>
      <c r="B113" s="1">
        <v>45547</v>
      </c>
      <c r="C113">
        <v>19</v>
      </c>
      <c r="D113">
        <v>26441</v>
      </c>
      <c r="E113">
        <v>50848</v>
      </c>
      <c r="F113" t="s">
        <v>37</v>
      </c>
      <c r="G113" t="s">
        <v>63</v>
      </c>
      <c r="H113" t="s">
        <v>46</v>
      </c>
      <c r="I113" t="s">
        <v>65</v>
      </c>
      <c r="J113">
        <v>9</v>
      </c>
      <c r="K113">
        <v>5</v>
      </c>
      <c r="L113">
        <v>2985</v>
      </c>
      <c r="M113">
        <v>1465</v>
      </c>
      <c r="N113" t="s">
        <v>135</v>
      </c>
      <c r="O113" t="s">
        <v>67</v>
      </c>
      <c r="P113">
        <v>2</v>
      </c>
      <c r="Q113">
        <v>1</v>
      </c>
      <c r="R113">
        <v>1</v>
      </c>
      <c r="S113">
        <v>1</v>
      </c>
      <c r="T113">
        <v>8</v>
      </c>
      <c r="U113">
        <v>3</v>
      </c>
      <c r="V113">
        <v>19</v>
      </c>
      <c r="W113">
        <v>9</v>
      </c>
      <c r="X113">
        <v>6</v>
      </c>
      <c r="Y113">
        <v>18</v>
      </c>
      <c r="Z113">
        <v>0</v>
      </c>
      <c r="AA113">
        <v>6</v>
      </c>
      <c r="AB113">
        <v>4</v>
      </c>
      <c r="AC113">
        <v>2</v>
      </c>
      <c r="AD113">
        <v>16</v>
      </c>
      <c r="AE113">
        <v>12</v>
      </c>
      <c r="AF113">
        <v>3</v>
      </c>
      <c r="AG113">
        <v>8</v>
      </c>
      <c r="AH113">
        <v>1</v>
      </c>
      <c r="AI113">
        <v>1</v>
      </c>
      <c r="AJ113" t="s">
        <v>154</v>
      </c>
      <c r="AK113">
        <v>0</v>
      </c>
    </row>
    <row r="114" spans="1:37" x14ac:dyDescent="0.25">
      <c r="A114">
        <v>2024</v>
      </c>
      <c r="B114" s="1">
        <v>45590</v>
      </c>
      <c r="C114">
        <v>19</v>
      </c>
      <c r="D114">
        <v>16696</v>
      </c>
      <c r="E114">
        <v>24584</v>
      </c>
      <c r="F114" t="s">
        <v>82</v>
      </c>
      <c r="G114" t="s">
        <v>70</v>
      </c>
      <c r="H114" t="s">
        <v>160</v>
      </c>
      <c r="I114" t="s">
        <v>237</v>
      </c>
      <c r="J114">
        <v>11</v>
      </c>
      <c r="K114">
        <v>16</v>
      </c>
      <c r="L114">
        <v>3105</v>
      </c>
      <c r="M114">
        <v>1745</v>
      </c>
      <c r="N114" t="s">
        <v>120</v>
      </c>
      <c r="O114" t="s">
        <v>92</v>
      </c>
      <c r="P114">
        <v>1</v>
      </c>
      <c r="Q114">
        <v>0</v>
      </c>
      <c r="R114">
        <v>0</v>
      </c>
      <c r="S114">
        <v>0</v>
      </c>
      <c r="T114">
        <v>3</v>
      </c>
      <c r="U114">
        <v>2</v>
      </c>
      <c r="V114">
        <v>16</v>
      </c>
      <c r="W114">
        <v>14</v>
      </c>
      <c r="X114">
        <v>13</v>
      </c>
      <c r="Y114">
        <v>15</v>
      </c>
      <c r="Z114">
        <v>2</v>
      </c>
      <c r="AA114">
        <v>1</v>
      </c>
      <c r="AB114">
        <v>0</v>
      </c>
      <c r="AC114">
        <v>1</v>
      </c>
      <c r="AD114">
        <v>13</v>
      </c>
      <c r="AE114">
        <v>13</v>
      </c>
      <c r="AF114">
        <v>4</v>
      </c>
      <c r="AG114">
        <v>10</v>
      </c>
      <c r="AH114">
        <v>1</v>
      </c>
      <c r="AI114">
        <v>1</v>
      </c>
      <c r="AJ114" t="s">
        <v>243</v>
      </c>
      <c r="AK114">
        <v>0</v>
      </c>
    </row>
    <row r="115" spans="1:37" x14ac:dyDescent="0.25">
      <c r="A115">
        <v>2024</v>
      </c>
      <c r="B115" s="1">
        <v>45510</v>
      </c>
      <c r="C115">
        <v>21</v>
      </c>
      <c r="D115">
        <v>20000</v>
      </c>
      <c r="E115">
        <v>21150</v>
      </c>
      <c r="F115" t="s">
        <v>50</v>
      </c>
      <c r="G115" t="s">
        <v>63</v>
      </c>
      <c r="H115" t="s">
        <v>52</v>
      </c>
      <c r="I115" t="s">
        <v>65</v>
      </c>
      <c r="J115">
        <v>5</v>
      </c>
      <c r="K115">
        <v>3</v>
      </c>
      <c r="L115">
        <v>4230</v>
      </c>
      <c r="M115">
        <v>1120</v>
      </c>
      <c r="N115" t="s">
        <v>41</v>
      </c>
      <c r="O115" t="s">
        <v>197</v>
      </c>
      <c r="P115">
        <v>1</v>
      </c>
      <c r="Q115">
        <v>2</v>
      </c>
      <c r="R115">
        <v>1</v>
      </c>
      <c r="S115">
        <v>2</v>
      </c>
      <c r="T115">
        <v>5</v>
      </c>
      <c r="U115">
        <v>1</v>
      </c>
      <c r="V115">
        <v>18</v>
      </c>
      <c r="W115">
        <v>17</v>
      </c>
      <c r="X115">
        <v>15</v>
      </c>
      <c r="Y115">
        <v>18</v>
      </c>
      <c r="Z115">
        <v>2</v>
      </c>
      <c r="AA115">
        <v>6</v>
      </c>
      <c r="AB115">
        <v>1</v>
      </c>
      <c r="AC115">
        <v>2</v>
      </c>
      <c r="AD115">
        <v>15</v>
      </c>
      <c r="AE115">
        <v>11</v>
      </c>
      <c r="AF115">
        <v>5</v>
      </c>
      <c r="AG115">
        <v>3</v>
      </c>
      <c r="AH115">
        <v>-1</v>
      </c>
      <c r="AI115">
        <v>0</v>
      </c>
      <c r="AJ115" t="s">
        <v>244</v>
      </c>
      <c r="AK115">
        <v>0</v>
      </c>
    </row>
    <row r="116" spans="1:37" x14ac:dyDescent="0.25">
      <c r="A116">
        <v>2024</v>
      </c>
      <c r="B116" s="1">
        <v>45514</v>
      </c>
      <c r="C116">
        <v>22</v>
      </c>
      <c r="D116">
        <v>40311</v>
      </c>
      <c r="E116">
        <v>60326</v>
      </c>
      <c r="F116" t="s">
        <v>63</v>
      </c>
      <c r="G116" t="s">
        <v>43</v>
      </c>
      <c r="H116" t="s">
        <v>65</v>
      </c>
      <c r="I116" t="s">
        <v>45</v>
      </c>
      <c r="J116">
        <v>3</v>
      </c>
      <c r="K116">
        <v>12</v>
      </c>
      <c r="L116">
        <v>1145</v>
      </c>
      <c r="M116">
        <v>630</v>
      </c>
      <c r="N116">
        <v>30</v>
      </c>
      <c r="O116" t="s">
        <v>205</v>
      </c>
      <c r="P116">
        <v>1</v>
      </c>
      <c r="Q116">
        <v>0</v>
      </c>
      <c r="R116">
        <v>0</v>
      </c>
      <c r="S116">
        <v>0</v>
      </c>
      <c r="T116">
        <v>4</v>
      </c>
      <c r="U116">
        <v>6</v>
      </c>
      <c r="V116">
        <v>16</v>
      </c>
      <c r="W116">
        <v>13</v>
      </c>
      <c r="X116">
        <v>13</v>
      </c>
      <c r="Y116">
        <v>16</v>
      </c>
      <c r="Z116">
        <v>2</v>
      </c>
      <c r="AA116">
        <v>3</v>
      </c>
      <c r="AB116">
        <v>2</v>
      </c>
      <c r="AC116">
        <v>1</v>
      </c>
      <c r="AD116">
        <v>16</v>
      </c>
      <c r="AE116">
        <v>12</v>
      </c>
      <c r="AF116">
        <v>7</v>
      </c>
      <c r="AG116">
        <v>7</v>
      </c>
      <c r="AH116">
        <v>1</v>
      </c>
      <c r="AI116">
        <v>1</v>
      </c>
      <c r="AJ116" t="s">
        <v>245</v>
      </c>
      <c r="AK116">
        <v>0</v>
      </c>
    </row>
    <row r="117" spans="1:37" x14ac:dyDescent="0.25">
      <c r="A117">
        <v>2024</v>
      </c>
      <c r="B117" s="1">
        <v>45515</v>
      </c>
      <c r="C117">
        <v>22</v>
      </c>
      <c r="D117">
        <v>45972</v>
      </c>
      <c r="E117">
        <v>47364</v>
      </c>
      <c r="F117" t="s">
        <v>38</v>
      </c>
      <c r="G117" t="s">
        <v>94</v>
      </c>
      <c r="H117" t="s">
        <v>40</v>
      </c>
      <c r="I117" t="s">
        <v>64</v>
      </c>
      <c r="J117">
        <v>7</v>
      </c>
      <c r="K117">
        <v>17</v>
      </c>
      <c r="L117">
        <v>3745</v>
      </c>
      <c r="M117">
        <v>1218</v>
      </c>
      <c r="N117" t="s">
        <v>134</v>
      </c>
      <c r="O117" t="s">
        <v>135</v>
      </c>
      <c r="P117">
        <v>2</v>
      </c>
      <c r="Q117">
        <v>0</v>
      </c>
      <c r="R117">
        <v>1</v>
      </c>
      <c r="S117">
        <v>0</v>
      </c>
      <c r="T117">
        <v>3</v>
      </c>
      <c r="U117">
        <v>7</v>
      </c>
      <c r="V117">
        <v>10</v>
      </c>
      <c r="W117">
        <v>12</v>
      </c>
      <c r="X117">
        <v>11</v>
      </c>
      <c r="Y117">
        <v>9</v>
      </c>
      <c r="Z117">
        <v>5</v>
      </c>
      <c r="AA117">
        <v>1</v>
      </c>
      <c r="AB117">
        <v>2</v>
      </c>
      <c r="AC117">
        <v>0</v>
      </c>
      <c r="AD117">
        <v>7</v>
      </c>
      <c r="AE117">
        <v>13</v>
      </c>
      <c r="AF117">
        <v>2</v>
      </c>
      <c r="AG117">
        <v>3</v>
      </c>
      <c r="AH117">
        <v>2</v>
      </c>
      <c r="AI117">
        <v>1</v>
      </c>
      <c r="AJ117" t="s">
        <v>110</v>
      </c>
      <c r="AK117">
        <v>0</v>
      </c>
    </row>
    <row r="118" spans="1:37" x14ac:dyDescent="0.25">
      <c r="A118">
        <v>2024</v>
      </c>
      <c r="B118" s="1">
        <v>45515</v>
      </c>
      <c r="C118">
        <v>22</v>
      </c>
      <c r="D118">
        <v>5288</v>
      </c>
      <c r="E118">
        <v>23726</v>
      </c>
      <c r="F118" t="s">
        <v>44</v>
      </c>
      <c r="G118" t="s">
        <v>51</v>
      </c>
      <c r="H118" t="s">
        <v>78</v>
      </c>
      <c r="I118" t="s">
        <v>53</v>
      </c>
      <c r="J118">
        <v>14</v>
      </c>
      <c r="K118">
        <v>1</v>
      </c>
      <c r="L118">
        <v>690</v>
      </c>
      <c r="M118">
        <v>5380</v>
      </c>
      <c r="N118" t="s">
        <v>209</v>
      </c>
      <c r="O118">
        <v>26</v>
      </c>
      <c r="P118">
        <v>3</v>
      </c>
      <c r="Q118">
        <v>2</v>
      </c>
      <c r="R118">
        <v>2</v>
      </c>
      <c r="S118">
        <v>0</v>
      </c>
      <c r="T118">
        <v>6</v>
      </c>
      <c r="U118">
        <v>12</v>
      </c>
      <c r="V118">
        <v>10</v>
      </c>
      <c r="W118">
        <v>14</v>
      </c>
      <c r="X118">
        <v>14</v>
      </c>
      <c r="Y118">
        <v>9</v>
      </c>
      <c r="Z118">
        <v>7</v>
      </c>
      <c r="AA118">
        <v>4</v>
      </c>
      <c r="AB118">
        <v>1</v>
      </c>
      <c r="AC118">
        <v>0</v>
      </c>
      <c r="AD118">
        <v>16</v>
      </c>
      <c r="AE118">
        <v>24</v>
      </c>
      <c r="AF118">
        <v>3</v>
      </c>
      <c r="AG118">
        <v>8</v>
      </c>
      <c r="AH118">
        <v>1</v>
      </c>
      <c r="AI118">
        <v>1</v>
      </c>
      <c r="AJ118" t="s">
        <v>246</v>
      </c>
      <c r="AK118">
        <v>0</v>
      </c>
    </row>
    <row r="119" spans="1:37" x14ac:dyDescent="0.25">
      <c r="A119">
        <v>2024</v>
      </c>
      <c r="B119" s="1">
        <v>45515</v>
      </c>
      <c r="C119">
        <v>22</v>
      </c>
      <c r="D119">
        <v>9853</v>
      </c>
      <c r="E119">
        <v>42968</v>
      </c>
      <c r="F119" t="s">
        <v>70</v>
      </c>
      <c r="G119" t="s">
        <v>83</v>
      </c>
      <c r="H119" t="s">
        <v>119</v>
      </c>
      <c r="I119" t="s">
        <v>85</v>
      </c>
      <c r="J119">
        <v>19</v>
      </c>
      <c r="K119">
        <v>15</v>
      </c>
      <c r="L119">
        <v>1245</v>
      </c>
      <c r="M119">
        <v>3780</v>
      </c>
      <c r="N119" t="s">
        <v>134</v>
      </c>
      <c r="O119" t="s">
        <v>116</v>
      </c>
      <c r="P119">
        <v>1</v>
      </c>
      <c r="Q119">
        <v>3</v>
      </c>
      <c r="R119">
        <v>0</v>
      </c>
      <c r="S119">
        <v>1</v>
      </c>
      <c r="T119">
        <v>5</v>
      </c>
      <c r="U119">
        <v>5</v>
      </c>
      <c r="V119">
        <v>15</v>
      </c>
      <c r="W119">
        <v>7</v>
      </c>
      <c r="X119">
        <v>6</v>
      </c>
      <c r="Y119">
        <v>12</v>
      </c>
      <c r="Z119">
        <v>3</v>
      </c>
      <c r="AA119">
        <v>3</v>
      </c>
      <c r="AB119">
        <v>3</v>
      </c>
      <c r="AC119">
        <v>1</v>
      </c>
      <c r="AD119">
        <v>15</v>
      </c>
      <c r="AE119">
        <v>10</v>
      </c>
      <c r="AF119">
        <v>6</v>
      </c>
      <c r="AG119">
        <v>4</v>
      </c>
      <c r="AH119">
        <v>-2</v>
      </c>
      <c r="AI119">
        <v>0</v>
      </c>
      <c r="AJ119" t="s">
        <v>247</v>
      </c>
      <c r="AK119">
        <v>0</v>
      </c>
    </row>
    <row r="120" spans="1:37" x14ac:dyDescent="0.25">
      <c r="A120">
        <v>2024</v>
      </c>
      <c r="B120" s="1">
        <v>45515</v>
      </c>
      <c r="C120">
        <v>22</v>
      </c>
      <c r="D120">
        <v>42018</v>
      </c>
      <c r="E120">
        <v>49205</v>
      </c>
      <c r="F120" t="s">
        <v>88</v>
      </c>
      <c r="G120" t="s">
        <v>56</v>
      </c>
      <c r="H120" t="s">
        <v>84</v>
      </c>
      <c r="I120" t="s">
        <v>58</v>
      </c>
      <c r="J120">
        <v>18</v>
      </c>
      <c r="K120">
        <v>13</v>
      </c>
      <c r="L120">
        <v>2610</v>
      </c>
      <c r="M120">
        <v>4000</v>
      </c>
      <c r="N120" t="s">
        <v>135</v>
      </c>
      <c r="O120" t="s">
        <v>145</v>
      </c>
      <c r="P120">
        <v>1</v>
      </c>
      <c r="Q120">
        <v>1</v>
      </c>
      <c r="R120">
        <v>0</v>
      </c>
      <c r="S120">
        <v>1</v>
      </c>
      <c r="T120">
        <v>6</v>
      </c>
      <c r="U120">
        <v>6</v>
      </c>
      <c r="V120">
        <v>11</v>
      </c>
      <c r="W120">
        <v>18</v>
      </c>
      <c r="X120">
        <v>18</v>
      </c>
      <c r="Y120">
        <v>11</v>
      </c>
      <c r="Z120">
        <v>5</v>
      </c>
      <c r="AA120">
        <v>4</v>
      </c>
      <c r="AB120">
        <v>3</v>
      </c>
      <c r="AC120">
        <v>1</v>
      </c>
      <c r="AD120">
        <v>19</v>
      </c>
      <c r="AE120">
        <v>11</v>
      </c>
      <c r="AF120">
        <v>9</v>
      </c>
      <c r="AG120">
        <v>3</v>
      </c>
      <c r="AH120">
        <v>0</v>
      </c>
      <c r="AI120">
        <v>0</v>
      </c>
      <c r="AJ120" t="s">
        <v>248</v>
      </c>
      <c r="AK120">
        <v>0</v>
      </c>
    </row>
    <row r="121" spans="1:37" x14ac:dyDescent="0.25">
      <c r="A121">
        <v>2024</v>
      </c>
      <c r="B121" s="1">
        <v>45515</v>
      </c>
      <c r="C121">
        <v>22</v>
      </c>
      <c r="D121">
        <v>20003</v>
      </c>
      <c r="E121">
        <v>44584</v>
      </c>
      <c r="F121" t="s">
        <v>82</v>
      </c>
      <c r="G121" t="s">
        <v>55</v>
      </c>
      <c r="H121" t="s">
        <v>160</v>
      </c>
      <c r="I121" t="s">
        <v>240</v>
      </c>
      <c r="J121">
        <v>11</v>
      </c>
      <c r="K121">
        <v>16</v>
      </c>
      <c r="L121">
        <v>2130</v>
      </c>
      <c r="M121">
        <v>5535</v>
      </c>
      <c r="N121" t="s">
        <v>166</v>
      </c>
      <c r="O121" t="s">
        <v>144</v>
      </c>
      <c r="P121">
        <v>2</v>
      </c>
      <c r="Q121">
        <v>0</v>
      </c>
      <c r="R121">
        <v>1</v>
      </c>
      <c r="S121">
        <v>0</v>
      </c>
      <c r="T121">
        <v>6</v>
      </c>
      <c r="U121">
        <v>3</v>
      </c>
      <c r="V121">
        <v>23</v>
      </c>
      <c r="W121">
        <v>12</v>
      </c>
      <c r="X121">
        <v>11</v>
      </c>
      <c r="Y121">
        <v>23</v>
      </c>
      <c r="Z121">
        <v>3</v>
      </c>
      <c r="AA121">
        <v>1</v>
      </c>
      <c r="AB121">
        <v>2</v>
      </c>
      <c r="AC121">
        <v>1</v>
      </c>
      <c r="AD121">
        <v>8</v>
      </c>
      <c r="AE121">
        <v>12</v>
      </c>
      <c r="AF121">
        <v>3</v>
      </c>
      <c r="AG121">
        <v>9</v>
      </c>
      <c r="AH121">
        <v>2</v>
      </c>
      <c r="AI121">
        <v>1</v>
      </c>
      <c r="AJ121" t="s">
        <v>243</v>
      </c>
      <c r="AK121">
        <v>0</v>
      </c>
    </row>
    <row r="122" spans="1:37" x14ac:dyDescent="0.25">
      <c r="A122">
        <v>2024</v>
      </c>
      <c r="B122" s="1">
        <v>45515</v>
      </c>
      <c r="C122">
        <v>22</v>
      </c>
      <c r="D122">
        <v>61583</v>
      </c>
      <c r="E122">
        <v>61927</v>
      </c>
      <c r="F122" t="s">
        <v>50</v>
      </c>
      <c r="G122" t="s">
        <v>89</v>
      </c>
      <c r="H122" t="s">
        <v>52</v>
      </c>
      <c r="I122" t="s">
        <v>91</v>
      </c>
      <c r="J122">
        <v>6</v>
      </c>
      <c r="K122">
        <v>9</v>
      </c>
      <c r="L122">
        <v>4210</v>
      </c>
      <c r="M122">
        <v>6350</v>
      </c>
      <c r="N122" t="s">
        <v>120</v>
      </c>
      <c r="O122" t="s">
        <v>137</v>
      </c>
      <c r="P122">
        <v>0</v>
      </c>
      <c r="Q122">
        <v>0</v>
      </c>
      <c r="R122">
        <v>0</v>
      </c>
      <c r="S122">
        <v>0</v>
      </c>
      <c r="T122">
        <v>4</v>
      </c>
      <c r="U122">
        <v>4</v>
      </c>
      <c r="V122">
        <v>19</v>
      </c>
      <c r="W122">
        <v>12</v>
      </c>
      <c r="X122">
        <v>12</v>
      </c>
      <c r="Y122">
        <v>17</v>
      </c>
      <c r="Z122">
        <v>3</v>
      </c>
      <c r="AA122">
        <v>1</v>
      </c>
      <c r="AB122">
        <v>2</v>
      </c>
      <c r="AC122">
        <v>2</v>
      </c>
      <c r="AD122">
        <v>6</v>
      </c>
      <c r="AE122">
        <v>12</v>
      </c>
      <c r="AF122">
        <v>4</v>
      </c>
      <c r="AG122">
        <v>4</v>
      </c>
      <c r="AH122">
        <v>0</v>
      </c>
      <c r="AI122">
        <v>0</v>
      </c>
      <c r="AJ122" t="s">
        <v>121</v>
      </c>
      <c r="AK122">
        <v>0</v>
      </c>
    </row>
    <row r="123" spans="1:37" x14ac:dyDescent="0.25">
      <c r="A123">
        <v>2024</v>
      </c>
      <c r="B123" s="1">
        <v>45515</v>
      </c>
      <c r="C123">
        <v>22</v>
      </c>
      <c r="D123">
        <v>55051</v>
      </c>
      <c r="E123">
        <v>78838</v>
      </c>
      <c r="F123" t="s">
        <v>77</v>
      </c>
      <c r="G123" t="s">
        <v>95</v>
      </c>
      <c r="H123" t="s">
        <v>79</v>
      </c>
      <c r="I123" t="s">
        <v>97</v>
      </c>
      <c r="J123">
        <v>2</v>
      </c>
      <c r="K123">
        <v>4</v>
      </c>
      <c r="L123">
        <v>11800</v>
      </c>
      <c r="M123">
        <v>7500</v>
      </c>
      <c r="N123" t="s">
        <v>73</v>
      </c>
      <c r="O123">
        <v>25</v>
      </c>
      <c r="P123">
        <v>1</v>
      </c>
      <c r="Q123">
        <v>1</v>
      </c>
      <c r="R123">
        <v>0</v>
      </c>
      <c r="S123">
        <v>0</v>
      </c>
      <c r="T123">
        <v>4</v>
      </c>
      <c r="U123">
        <v>2</v>
      </c>
      <c r="V123">
        <v>15</v>
      </c>
      <c r="W123">
        <v>21</v>
      </c>
      <c r="X123">
        <v>20</v>
      </c>
      <c r="Y123">
        <v>14</v>
      </c>
      <c r="Z123">
        <v>5</v>
      </c>
      <c r="AA123">
        <v>6</v>
      </c>
      <c r="AB123">
        <v>1</v>
      </c>
      <c r="AC123">
        <v>2</v>
      </c>
      <c r="AD123">
        <v>11</v>
      </c>
      <c r="AE123">
        <v>9</v>
      </c>
      <c r="AF123">
        <v>2</v>
      </c>
      <c r="AG123">
        <v>2</v>
      </c>
      <c r="AH123">
        <v>0</v>
      </c>
      <c r="AI123">
        <v>0</v>
      </c>
      <c r="AJ123" t="s">
        <v>121</v>
      </c>
      <c r="AK123">
        <v>0</v>
      </c>
    </row>
    <row r="124" spans="1:37" x14ac:dyDescent="0.25">
      <c r="A124">
        <v>2024</v>
      </c>
      <c r="B124" s="1">
        <v>45516</v>
      </c>
      <c r="C124">
        <v>22</v>
      </c>
      <c r="D124">
        <v>17136</v>
      </c>
      <c r="E124">
        <v>50848</v>
      </c>
      <c r="F124" t="s">
        <v>37</v>
      </c>
      <c r="G124" t="s">
        <v>69</v>
      </c>
      <c r="H124" t="s">
        <v>46</v>
      </c>
      <c r="I124" t="s">
        <v>249</v>
      </c>
      <c r="J124">
        <v>10</v>
      </c>
      <c r="K124">
        <v>8</v>
      </c>
      <c r="L124">
        <v>3200</v>
      </c>
      <c r="M124">
        <v>2145</v>
      </c>
      <c r="N124" t="s">
        <v>149</v>
      </c>
      <c r="O124" t="s">
        <v>117</v>
      </c>
      <c r="P124">
        <v>2</v>
      </c>
      <c r="Q124">
        <v>2</v>
      </c>
      <c r="R124">
        <v>1</v>
      </c>
      <c r="S124">
        <v>1</v>
      </c>
      <c r="T124">
        <v>9</v>
      </c>
      <c r="U124">
        <v>0</v>
      </c>
      <c r="V124">
        <v>18</v>
      </c>
      <c r="W124">
        <v>13</v>
      </c>
      <c r="X124">
        <v>13</v>
      </c>
      <c r="Y124">
        <v>17</v>
      </c>
      <c r="Z124">
        <v>3</v>
      </c>
      <c r="AA124">
        <v>1</v>
      </c>
      <c r="AB124">
        <v>0</v>
      </c>
      <c r="AC124">
        <v>2</v>
      </c>
      <c r="AD124">
        <v>23</v>
      </c>
      <c r="AE124">
        <v>12</v>
      </c>
      <c r="AF124">
        <v>8</v>
      </c>
      <c r="AG124">
        <v>4</v>
      </c>
      <c r="AH124">
        <v>0</v>
      </c>
      <c r="AI124">
        <v>0</v>
      </c>
      <c r="AJ124" t="s">
        <v>250</v>
      </c>
      <c r="AK124">
        <v>0</v>
      </c>
    </row>
    <row r="125" spans="1:37" x14ac:dyDescent="0.25">
      <c r="A125">
        <v>2024</v>
      </c>
      <c r="B125" s="1">
        <v>45521</v>
      </c>
      <c r="C125">
        <v>23</v>
      </c>
      <c r="D125">
        <v>36290</v>
      </c>
      <c r="E125">
        <v>46000</v>
      </c>
      <c r="F125" t="s">
        <v>89</v>
      </c>
      <c r="G125" t="s">
        <v>70</v>
      </c>
      <c r="H125" t="s">
        <v>91</v>
      </c>
      <c r="I125" t="s">
        <v>119</v>
      </c>
      <c r="J125">
        <v>8</v>
      </c>
      <c r="K125">
        <v>19</v>
      </c>
      <c r="L125">
        <v>2785</v>
      </c>
      <c r="M125">
        <v>1365</v>
      </c>
      <c r="N125" t="s">
        <v>66</v>
      </c>
      <c r="O125">
        <v>28</v>
      </c>
      <c r="P125">
        <v>1</v>
      </c>
      <c r="Q125">
        <v>1</v>
      </c>
      <c r="R125">
        <v>1</v>
      </c>
      <c r="S125">
        <v>1</v>
      </c>
      <c r="T125">
        <v>8</v>
      </c>
      <c r="U125">
        <v>6</v>
      </c>
      <c r="V125">
        <v>13</v>
      </c>
      <c r="W125">
        <v>14</v>
      </c>
      <c r="X125">
        <v>12</v>
      </c>
      <c r="Y125">
        <v>13</v>
      </c>
      <c r="Z125">
        <v>4</v>
      </c>
      <c r="AA125">
        <v>3</v>
      </c>
      <c r="AB125">
        <v>3</v>
      </c>
      <c r="AC125">
        <v>0</v>
      </c>
      <c r="AD125">
        <v>13</v>
      </c>
      <c r="AE125">
        <v>11</v>
      </c>
      <c r="AF125">
        <v>7</v>
      </c>
      <c r="AG125">
        <v>2</v>
      </c>
      <c r="AH125">
        <v>0</v>
      </c>
      <c r="AI125">
        <v>0</v>
      </c>
      <c r="AJ125" t="s">
        <v>251</v>
      </c>
      <c r="AK125">
        <v>0</v>
      </c>
    </row>
    <row r="126" spans="1:37" x14ac:dyDescent="0.25">
      <c r="A126">
        <v>2024</v>
      </c>
      <c r="B126" s="1">
        <v>45521</v>
      </c>
      <c r="C126">
        <v>23</v>
      </c>
      <c r="D126">
        <v>56102</v>
      </c>
      <c r="E126">
        <v>60540</v>
      </c>
      <c r="F126" t="s">
        <v>83</v>
      </c>
      <c r="G126" t="s">
        <v>38</v>
      </c>
      <c r="H126" t="s">
        <v>85</v>
      </c>
      <c r="I126" t="s">
        <v>40</v>
      </c>
      <c r="J126">
        <v>15</v>
      </c>
      <c r="K126">
        <v>5</v>
      </c>
      <c r="L126">
        <v>2700</v>
      </c>
      <c r="M126">
        <v>3745</v>
      </c>
      <c r="N126" t="s">
        <v>252</v>
      </c>
      <c r="O126" t="s">
        <v>100</v>
      </c>
      <c r="P126">
        <v>0</v>
      </c>
      <c r="Q126">
        <v>2</v>
      </c>
      <c r="R126">
        <v>0</v>
      </c>
      <c r="S126">
        <v>1</v>
      </c>
      <c r="T126">
        <v>1</v>
      </c>
      <c r="U126">
        <v>5</v>
      </c>
      <c r="V126">
        <v>10</v>
      </c>
      <c r="W126">
        <v>10</v>
      </c>
      <c r="X126">
        <v>10</v>
      </c>
      <c r="Y126">
        <v>10</v>
      </c>
      <c r="Z126">
        <v>3</v>
      </c>
      <c r="AA126">
        <v>5</v>
      </c>
      <c r="AB126">
        <v>1</v>
      </c>
      <c r="AC126">
        <v>1</v>
      </c>
      <c r="AD126">
        <v>13</v>
      </c>
      <c r="AE126">
        <v>12</v>
      </c>
      <c r="AF126">
        <v>5</v>
      </c>
      <c r="AG126">
        <v>3</v>
      </c>
      <c r="AH126">
        <v>-2</v>
      </c>
      <c r="AI126">
        <v>0</v>
      </c>
      <c r="AJ126" t="s">
        <v>140</v>
      </c>
      <c r="AK126">
        <v>0</v>
      </c>
    </row>
    <row r="127" spans="1:37" x14ac:dyDescent="0.25">
      <c r="A127">
        <v>2024</v>
      </c>
      <c r="B127" s="1">
        <v>45521</v>
      </c>
      <c r="C127">
        <v>23</v>
      </c>
      <c r="D127">
        <v>3928</v>
      </c>
      <c r="E127">
        <v>15010</v>
      </c>
      <c r="F127" t="s">
        <v>56</v>
      </c>
      <c r="G127" t="s">
        <v>63</v>
      </c>
      <c r="H127" t="s">
        <v>58</v>
      </c>
      <c r="I127" t="s">
        <v>65</v>
      </c>
      <c r="J127">
        <v>14</v>
      </c>
      <c r="K127">
        <v>2</v>
      </c>
      <c r="L127">
        <v>3045</v>
      </c>
      <c r="M127">
        <v>1335</v>
      </c>
      <c r="N127" t="s">
        <v>253</v>
      </c>
      <c r="O127" t="s">
        <v>197</v>
      </c>
      <c r="P127">
        <v>1</v>
      </c>
      <c r="Q127">
        <v>2</v>
      </c>
      <c r="R127">
        <v>1</v>
      </c>
      <c r="S127">
        <v>1</v>
      </c>
      <c r="T127">
        <v>9</v>
      </c>
      <c r="U127">
        <v>2</v>
      </c>
      <c r="V127">
        <v>19</v>
      </c>
      <c r="W127">
        <v>13</v>
      </c>
      <c r="X127">
        <v>13</v>
      </c>
      <c r="Y127">
        <v>18</v>
      </c>
      <c r="Z127">
        <v>5</v>
      </c>
      <c r="AA127">
        <v>7</v>
      </c>
      <c r="AB127">
        <v>3</v>
      </c>
      <c r="AC127">
        <v>1</v>
      </c>
      <c r="AD127">
        <v>13</v>
      </c>
      <c r="AE127">
        <v>14</v>
      </c>
      <c r="AF127">
        <v>2</v>
      </c>
      <c r="AG127">
        <v>2</v>
      </c>
      <c r="AH127">
        <v>-1</v>
      </c>
      <c r="AI127">
        <v>0</v>
      </c>
      <c r="AJ127" t="s">
        <v>254</v>
      </c>
      <c r="AK127">
        <v>0</v>
      </c>
    </row>
    <row r="128" spans="1:37" x14ac:dyDescent="0.25">
      <c r="A128">
        <v>2024</v>
      </c>
      <c r="B128" s="1">
        <v>45522</v>
      </c>
      <c r="C128">
        <v>23</v>
      </c>
      <c r="D128">
        <v>23731</v>
      </c>
      <c r="E128">
        <v>46931</v>
      </c>
      <c r="F128" t="s">
        <v>51</v>
      </c>
      <c r="G128" t="s">
        <v>77</v>
      </c>
      <c r="H128" t="s">
        <v>53</v>
      </c>
      <c r="I128" t="s">
        <v>79</v>
      </c>
      <c r="J128">
        <v>1</v>
      </c>
      <c r="K128">
        <v>3</v>
      </c>
      <c r="L128">
        <v>6080</v>
      </c>
      <c r="M128">
        <v>7070</v>
      </c>
      <c r="N128" t="s">
        <v>104</v>
      </c>
      <c r="O128" t="s">
        <v>86</v>
      </c>
      <c r="P128">
        <v>4</v>
      </c>
      <c r="Q128">
        <v>1</v>
      </c>
      <c r="R128">
        <v>1</v>
      </c>
      <c r="S128">
        <v>1</v>
      </c>
      <c r="T128">
        <v>5</v>
      </c>
      <c r="U128">
        <v>2</v>
      </c>
      <c r="V128">
        <v>17</v>
      </c>
      <c r="W128">
        <v>7</v>
      </c>
      <c r="X128">
        <v>7</v>
      </c>
      <c r="Y128">
        <v>17</v>
      </c>
      <c r="Z128">
        <v>2</v>
      </c>
      <c r="AA128">
        <v>5</v>
      </c>
      <c r="AB128">
        <v>3</v>
      </c>
      <c r="AC128">
        <v>0</v>
      </c>
      <c r="AD128">
        <v>19</v>
      </c>
      <c r="AE128">
        <v>10</v>
      </c>
      <c r="AF128">
        <v>7</v>
      </c>
      <c r="AG128">
        <v>4</v>
      </c>
      <c r="AH128">
        <v>3</v>
      </c>
      <c r="AI128">
        <v>1</v>
      </c>
      <c r="AJ128" t="s">
        <v>255</v>
      </c>
      <c r="AK128">
        <v>0</v>
      </c>
    </row>
    <row r="129" spans="1:37" x14ac:dyDescent="0.25">
      <c r="A129">
        <v>2024</v>
      </c>
      <c r="B129" s="1">
        <v>45522</v>
      </c>
      <c r="C129">
        <v>23</v>
      </c>
      <c r="D129">
        <v>5460</v>
      </c>
      <c r="E129">
        <v>13000</v>
      </c>
      <c r="F129" t="s">
        <v>76</v>
      </c>
      <c r="G129" t="s">
        <v>37</v>
      </c>
      <c r="H129" t="s">
        <v>238</v>
      </c>
      <c r="I129" t="s">
        <v>46</v>
      </c>
      <c r="J129">
        <v>20</v>
      </c>
      <c r="K129">
        <v>12</v>
      </c>
      <c r="L129">
        <v>855</v>
      </c>
      <c r="M129">
        <v>2615</v>
      </c>
      <c r="N129" t="s">
        <v>134</v>
      </c>
      <c r="O129" t="s">
        <v>107</v>
      </c>
      <c r="P129">
        <v>1</v>
      </c>
      <c r="Q129">
        <v>0</v>
      </c>
      <c r="R129">
        <v>0</v>
      </c>
      <c r="S129">
        <v>0</v>
      </c>
      <c r="T129">
        <v>4</v>
      </c>
      <c r="U129">
        <v>7</v>
      </c>
      <c r="V129">
        <v>11</v>
      </c>
      <c r="W129">
        <v>6</v>
      </c>
      <c r="X129">
        <v>6</v>
      </c>
      <c r="Y129">
        <v>11</v>
      </c>
      <c r="Z129">
        <v>6</v>
      </c>
      <c r="AA129">
        <v>4</v>
      </c>
      <c r="AB129">
        <v>1</v>
      </c>
      <c r="AC129">
        <v>0</v>
      </c>
      <c r="AD129">
        <v>13</v>
      </c>
      <c r="AE129">
        <v>19</v>
      </c>
      <c r="AF129">
        <v>4</v>
      </c>
      <c r="AG129">
        <v>5</v>
      </c>
      <c r="AH129">
        <v>1</v>
      </c>
      <c r="AI129">
        <v>1</v>
      </c>
      <c r="AJ129" t="s">
        <v>256</v>
      </c>
      <c r="AK129">
        <v>0</v>
      </c>
    </row>
    <row r="130" spans="1:37" x14ac:dyDescent="0.25">
      <c r="A130">
        <v>2024</v>
      </c>
      <c r="B130" s="1">
        <v>45522</v>
      </c>
      <c r="C130">
        <v>23</v>
      </c>
      <c r="D130">
        <v>37244</v>
      </c>
      <c r="E130">
        <v>43713</v>
      </c>
      <c r="F130" t="s">
        <v>95</v>
      </c>
      <c r="G130" t="s">
        <v>62</v>
      </c>
      <c r="H130" t="s">
        <v>97</v>
      </c>
      <c r="I130" t="s">
        <v>153</v>
      </c>
      <c r="J130">
        <v>4</v>
      </c>
      <c r="K130">
        <v>6</v>
      </c>
      <c r="L130">
        <v>8560</v>
      </c>
      <c r="M130">
        <v>3170</v>
      </c>
      <c r="N130">
        <v>27</v>
      </c>
      <c r="O130" t="s">
        <v>120</v>
      </c>
      <c r="P130">
        <v>2</v>
      </c>
      <c r="Q130">
        <v>1</v>
      </c>
      <c r="R130">
        <v>0</v>
      </c>
      <c r="S130">
        <v>0</v>
      </c>
      <c r="T130">
        <v>6</v>
      </c>
      <c r="U130">
        <v>1</v>
      </c>
      <c r="V130">
        <v>17</v>
      </c>
      <c r="W130">
        <v>12</v>
      </c>
      <c r="X130">
        <v>12</v>
      </c>
      <c r="Y130">
        <v>16</v>
      </c>
      <c r="Z130">
        <v>3</v>
      </c>
      <c r="AA130">
        <v>6</v>
      </c>
      <c r="AB130">
        <v>2</v>
      </c>
      <c r="AC130">
        <v>1</v>
      </c>
      <c r="AD130">
        <v>24</v>
      </c>
      <c r="AE130">
        <v>8</v>
      </c>
      <c r="AF130">
        <v>10</v>
      </c>
      <c r="AG130">
        <v>4</v>
      </c>
      <c r="AH130">
        <v>1</v>
      </c>
      <c r="AI130">
        <v>1</v>
      </c>
      <c r="AJ130" t="s">
        <v>257</v>
      </c>
      <c r="AK130">
        <v>0</v>
      </c>
    </row>
    <row r="131" spans="1:37" x14ac:dyDescent="0.25">
      <c r="A131">
        <v>2024</v>
      </c>
      <c r="B131" s="1">
        <v>45522</v>
      </c>
      <c r="C131">
        <v>23</v>
      </c>
      <c r="D131">
        <v>22926</v>
      </c>
      <c r="E131">
        <v>42372</v>
      </c>
      <c r="F131" t="s">
        <v>69</v>
      </c>
      <c r="G131" t="s">
        <v>44</v>
      </c>
      <c r="H131" t="s">
        <v>249</v>
      </c>
      <c r="I131" t="s">
        <v>78</v>
      </c>
      <c r="J131">
        <v>9</v>
      </c>
      <c r="K131">
        <v>13</v>
      </c>
      <c r="L131">
        <v>2145</v>
      </c>
      <c r="M131">
        <v>710</v>
      </c>
      <c r="N131" t="s">
        <v>217</v>
      </c>
      <c r="O131" t="s">
        <v>74</v>
      </c>
      <c r="P131">
        <v>1</v>
      </c>
      <c r="Q131">
        <v>2</v>
      </c>
      <c r="R131">
        <v>1</v>
      </c>
      <c r="S131">
        <v>1</v>
      </c>
      <c r="T131">
        <v>10</v>
      </c>
      <c r="U131">
        <v>4</v>
      </c>
      <c r="V131">
        <v>17</v>
      </c>
      <c r="W131">
        <v>10</v>
      </c>
      <c r="X131">
        <v>9</v>
      </c>
      <c r="Y131">
        <v>16</v>
      </c>
      <c r="Z131">
        <v>3</v>
      </c>
      <c r="AA131">
        <v>6</v>
      </c>
      <c r="AB131">
        <v>1</v>
      </c>
      <c r="AC131">
        <v>1</v>
      </c>
      <c r="AD131">
        <v>23</v>
      </c>
      <c r="AE131">
        <v>8</v>
      </c>
      <c r="AF131">
        <v>10</v>
      </c>
      <c r="AG131">
        <v>2</v>
      </c>
      <c r="AH131">
        <v>-1</v>
      </c>
      <c r="AI131">
        <v>0</v>
      </c>
      <c r="AJ131" t="s">
        <v>258</v>
      </c>
      <c r="AK131">
        <v>0</v>
      </c>
    </row>
    <row r="132" spans="1:37" x14ac:dyDescent="0.25">
      <c r="A132">
        <v>2024</v>
      </c>
      <c r="B132" s="1">
        <v>45522</v>
      </c>
      <c r="C132">
        <v>23</v>
      </c>
      <c r="D132">
        <v>18403</v>
      </c>
      <c r="E132">
        <v>19225</v>
      </c>
      <c r="F132" t="s">
        <v>43</v>
      </c>
      <c r="G132" t="s">
        <v>82</v>
      </c>
      <c r="H132" t="s">
        <v>45</v>
      </c>
      <c r="I132" t="s">
        <v>160</v>
      </c>
      <c r="J132">
        <v>11</v>
      </c>
      <c r="K132">
        <v>10</v>
      </c>
      <c r="L132">
        <v>620</v>
      </c>
      <c r="M132">
        <v>3780</v>
      </c>
      <c r="N132" t="s">
        <v>67</v>
      </c>
      <c r="O132" t="s">
        <v>151</v>
      </c>
      <c r="P132">
        <v>2</v>
      </c>
      <c r="Q132">
        <v>2</v>
      </c>
      <c r="R132">
        <v>1</v>
      </c>
      <c r="S132">
        <v>2</v>
      </c>
      <c r="T132">
        <v>9</v>
      </c>
      <c r="U132">
        <v>10</v>
      </c>
      <c r="V132">
        <v>15</v>
      </c>
      <c r="W132">
        <v>7</v>
      </c>
      <c r="X132">
        <v>5</v>
      </c>
      <c r="Y132">
        <v>15</v>
      </c>
      <c r="Z132">
        <v>2</v>
      </c>
      <c r="AA132">
        <v>6</v>
      </c>
      <c r="AB132">
        <v>4</v>
      </c>
      <c r="AC132">
        <v>1</v>
      </c>
      <c r="AD132">
        <v>19</v>
      </c>
      <c r="AE132">
        <v>13</v>
      </c>
      <c r="AF132">
        <v>10</v>
      </c>
      <c r="AG132">
        <v>5</v>
      </c>
      <c r="AH132">
        <v>0</v>
      </c>
      <c r="AI132">
        <v>0</v>
      </c>
      <c r="AJ132" t="s">
        <v>259</v>
      </c>
      <c r="AK132">
        <v>0</v>
      </c>
    </row>
    <row r="133" spans="1:37" x14ac:dyDescent="0.25">
      <c r="A133">
        <v>2024</v>
      </c>
      <c r="B133" s="1">
        <v>45522</v>
      </c>
      <c r="C133">
        <v>23</v>
      </c>
      <c r="D133">
        <v>30475</v>
      </c>
      <c r="E133">
        <v>82238</v>
      </c>
      <c r="F133" t="s">
        <v>55</v>
      </c>
      <c r="G133" t="s">
        <v>88</v>
      </c>
      <c r="H133" t="s">
        <v>240</v>
      </c>
      <c r="I133" t="s">
        <v>84</v>
      </c>
      <c r="J133">
        <v>16</v>
      </c>
      <c r="K133">
        <v>18</v>
      </c>
      <c r="L133">
        <v>4750</v>
      </c>
      <c r="M133">
        <v>3530</v>
      </c>
      <c r="N133" t="s">
        <v>116</v>
      </c>
      <c r="O133">
        <v>26</v>
      </c>
      <c r="P133">
        <v>0</v>
      </c>
      <c r="Q133">
        <v>0</v>
      </c>
      <c r="R133">
        <v>0</v>
      </c>
      <c r="S133">
        <v>0</v>
      </c>
      <c r="T133">
        <v>6</v>
      </c>
      <c r="U133">
        <v>2</v>
      </c>
      <c r="V133">
        <v>10</v>
      </c>
      <c r="W133">
        <v>17</v>
      </c>
      <c r="X133">
        <v>16</v>
      </c>
      <c r="Y133">
        <v>9</v>
      </c>
      <c r="Z133">
        <v>2</v>
      </c>
      <c r="AA133">
        <v>4</v>
      </c>
      <c r="AB133">
        <v>0</v>
      </c>
      <c r="AC133">
        <v>3</v>
      </c>
      <c r="AD133">
        <v>16</v>
      </c>
      <c r="AE133">
        <v>8</v>
      </c>
      <c r="AF133">
        <v>6</v>
      </c>
      <c r="AG133">
        <v>4</v>
      </c>
      <c r="AH133">
        <v>0</v>
      </c>
      <c r="AI133">
        <v>0</v>
      </c>
      <c r="AJ133" t="s">
        <v>182</v>
      </c>
      <c r="AK133">
        <v>0</v>
      </c>
    </row>
    <row r="134" spans="1:37" x14ac:dyDescent="0.25">
      <c r="A134">
        <v>2024</v>
      </c>
      <c r="B134" s="1">
        <v>45524</v>
      </c>
      <c r="C134">
        <v>23</v>
      </c>
      <c r="D134">
        <v>17062</v>
      </c>
      <c r="E134">
        <v>30618</v>
      </c>
      <c r="F134" t="s">
        <v>94</v>
      </c>
      <c r="G134" t="s">
        <v>50</v>
      </c>
      <c r="H134" t="s">
        <v>64</v>
      </c>
      <c r="I134" t="s">
        <v>52</v>
      </c>
      <c r="J134">
        <v>17</v>
      </c>
      <c r="K134">
        <v>7</v>
      </c>
      <c r="L134">
        <v>1308</v>
      </c>
      <c r="M134">
        <v>3420</v>
      </c>
      <c r="N134">
        <v>28</v>
      </c>
      <c r="O134" t="s">
        <v>66</v>
      </c>
      <c r="P134">
        <v>2</v>
      </c>
      <c r="Q134">
        <v>2</v>
      </c>
      <c r="R134">
        <v>2</v>
      </c>
      <c r="S134">
        <v>0</v>
      </c>
      <c r="T134">
        <v>4</v>
      </c>
      <c r="U134">
        <v>7</v>
      </c>
      <c r="V134">
        <v>10</v>
      </c>
      <c r="W134">
        <v>13</v>
      </c>
      <c r="X134">
        <v>11</v>
      </c>
      <c r="Y134">
        <v>9</v>
      </c>
      <c r="Z134">
        <v>10</v>
      </c>
      <c r="AA134">
        <v>3</v>
      </c>
      <c r="AB134">
        <v>0</v>
      </c>
      <c r="AC134">
        <v>0</v>
      </c>
      <c r="AD134">
        <v>14</v>
      </c>
      <c r="AE134">
        <v>25</v>
      </c>
      <c r="AF134">
        <v>5</v>
      </c>
      <c r="AG134">
        <v>8</v>
      </c>
      <c r="AH134">
        <v>0</v>
      </c>
      <c r="AI134">
        <v>0</v>
      </c>
      <c r="AJ134" t="s">
        <v>148</v>
      </c>
      <c r="AK134">
        <v>1</v>
      </c>
    </row>
    <row r="135" spans="1:37" x14ac:dyDescent="0.25">
      <c r="A135">
        <v>2024</v>
      </c>
      <c r="B135" s="1">
        <v>45528</v>
      </c>
      <c r="C135">
        <v>24</v>
      </c>
      <c r="D135">
        <v>30956</v>
      </c>
      <c r="E135">
        <v>43713</v>
      </c>
      <c r="F135" t="s">
        <v>95</v>
      </c>
      <c r="G135" t="s">
        <v>70</v>
      </c>
      <c r="H135" t="s">
        <v>97</v>
      </c>
      <c r="I135" t="s">
        <v>119</v>
      </c>
      <c r="J135">
        <v>4</v>
      </c>
      <c r="K135">
        <v>19</v>
      </c>
      <c r="L135">
        <v>9850</v>
      </c>
      <c r="M135">
        <v>1225</v>
      </c>
      <c r="N135" t="s">
        <v>239</v>
      </c>
      <c r="O135">
        <v>27</v>
      </c>
      <c r="P135">
        <v>5</v>
      </c>
      <c r="Q135">
        <v>0</v>
      </c>
      <c r="R135">
        <v>4</v>
      </c>
      <c r="S135">
        <v>0</v>
      </c>
      <c r="T135">
        <v>7</v>
      </c>
      <c r="U135">
        <v>1</v>
      </c>
      <c r="V135">
        <v>16</v>
      </c>
      <c r="W135">
        <v>6</v>
      </c>
      <c r="X135">
        <v>6</v>
      </c>
      <c r="Y135">
        <v>16</v>
      </c>
      <c r="Z135">
        <v>3</v>
      </c>
      <c r="AA135">
        <v>4</v>
      </c>
      <c r="AB135">
        <v>1</v>
      </c>
      <c r="AC135">
        <v>2</v>
      </c>
      <c r="AD135">
        <v>14</v>
      </c>
      <c r="AE135">
        <v>10</v>
      </c>
      <c r="AF135">
        <v>3</v>
      </c>
      <c r="AG135">
        <v>4</v>
      </c>
      <c r="AH135">
        <v>5</v>
      </c>
      <c r="AI135">
        <v>1</v>
      </c>
      <c r="AJ135" t="s">
        <v>260</v>
      </c>
      <c r="AK135">
        <v>0</v>
      </c>
    </row>
    <row r="136" spans="1:37" x14ac:dyDescent="0.25">
      <c r="A136">
        <v>2024</v>
      </c>
      <c r="B136" s="1">
        <v>45528</v>
      </c>
      <c r="C136">
        <v>24</v>
      </c>
      <c r="D136">
        <v>4407</v>
      </c>
      <c r="E136">
        <v>13000</v>
      </c>
      <c r="F136" t="s">
        <v>76</v>
      </c>
      <c r="G136" t="s">
        <v>44</v>
      </c>
      <c r="H136" t="s">
        <v>238</v>
      </c>
      <c r="I136" t="s">
        <v>78</v>
      </c>
      <c r="J136">
        <v>20</v>
      </c>
      <c r="K136">
        <v>13</v>
      </c>
      <c r="L136">
        <v>785</v>
      </c>
      <c r="M136">
        <v>800</v>
      </c>
      <c r="N136" t="s">
        <v>66</v>
      </c>
      <c r="O136" t="s">
        <v>111</v>
      </c>
      <c r="P136">
        <v>2</v>
      </c>
      <c r="Q136">
        <v>1</v>
      </c>
      <c r="R136">
        <v>0</v>
      </c>
      <c r="S136">
        <v>0</v>
      </c>
      <c r="T136">
        <v>4</v>
      </c>
      <c r="U136">
        <v>5</v>
      </c>
      <c r="V136">
        <v>17</v>
      </c>
      <c r="W136">
        <v>10</v>
      </c>
      <c r="X136">
        <v>10</v>
      </c>
      <c r="Y136">
        <v>16</v>
      </c>
      <c r="Z136">
        <v>2</v>
      </c>
      <c r="AA136">
        <v>5</v>
      </c>
      <c r="AB136">
        <v>0</v>
      </c>
      <c r="AC136">
        <v>2</v>
      </c>
      <c r="AD136">
        <v>18</v>
      </c>
      <c r="AE136">
        <v>13</v>
      </c>
      <c r="AF136">
        <v>7</v>
      </c>
      <c r="AG136">
        <v>5</v>
      </c>
      <c r="AH136">
        <v>1</v>
      </c>
      <c r="AI136">
        <v>1</v>
      </c>
      <c r="AJ136" t="s">
        <v>261</v>
      </c>
      <c r="AK136">
        <v>1</v>
      </c>
    </row>
    <row r="137" spans="1:37" x14ac:dyDescent="0.25">
      <c r="A137">
        <v>2024</v>
      </c>
      <c r="B137" s="1">
        <v>45529</v>
      </c>
      <c r="C137">
        <v>24</v>
      </c>
      <c r="D137">
        <v>32712</v>
      </c>
      <c r="E137">
        <v>72039</v>
      </c>
      <c r="F137" t="s">
        <v>62</v>
      </c>
      <c r="G137" t="s">
        <v>94</v>
      </c>
      <c r="H137" t="s">
        <v>153</v>
      </c>
      <c r="I137" t="s">
        <v>64</v>
      </c>
      <c r="J137">
        <v>5</v>
      </c>
      <c r="K137">
        <v>17</v>
      </c>
      <c r="L137">
        <v>2215</v>
      </c>
      <c r="M137">
        <v>1248</v>
      </c>
      <c r="N137" t="s">
        <v>100</v>
      </c>
      <c r="O137">
        <v>28</v>
      </c>
      <c r="P137">
        <v>2</v>
      </c>
      <c r="Q137">
        <v>1</v>
      </c>
      <c r="R137">
        <v>2</v>
      </c>
      <c r="S137">
        <v>0</v>
      </c>
      <c r="T137">
        <v>4</v>
      </c>
      <c r="U137">
        <v>3</v>
      </c>
      <c r="V137">
        <v>7</v>
      </c>
      <c r="W137">
        <v>8</v>
      </c>
      <c r="X137">
        <v>8</v>
      </c>
      <c r="Y137">
        <v>7</v>
      </c>
      <c r="Z137">
        <v>3</v>
      </c>
      <c r="AA137">
        <v>1</v>
      </c>
      <c r="AB137">
        <v>1</v>
      </c>
      <c r="AC137">
        <v>0</v>
      </c>
      <c r="AD137">
        <v>12</v>
      </c>
      <c r="AE137">
        <v>10</v>
      </c>
      <c r="AF137">
        <v>5</v>
      </c>
      <c r="AG137">
        <v>4</v>
      </c>
      <c r="AH137">
        <v>1</v>
      </c>
      <c r="AI137">
        <v>1</v>
      </c>
      <c r="AJ137" t="s">
        <v>262</v>
      </c>
      <c r="AK137">
        <v>0</v>
      </c>
    </row>
    <row r="138" spans="1:37" x14ac:dyDescent="0.25">
      <c r="A138">
        <v>2024</v>
      </c>
      <c r="B138" s="1">
        <v>45529</v>
      </c>
      <c r="C138">
        <v>24</v>
      </c>
      <c r="D138">
        <v>32068</v>
      </c>
      <c r="E138">
        <v>46000</v>
      </c>
      <c r="F138" t="s">
        <v>89</v>
      </c>
      <c r="G138" t="s">
        <v>55</v>
      </c>
      <c r="H138" t="s">
        <v>91</v>
      </c>
      <c r="I138" t="s">
        <v>240</v>
      </c>
      <c r="J138">
        <v>10</v>
      </c>
      <c r="K138">
        <v>16</v>
      </c>
      <c r="L138">
        <v>3550</v>
      </c>
      <c r="M138">
        <v>5840</v>
      </c>
      <c r="N138" t="s">
        <v>74</v>
      </c>
      <c r="O138" t="s">
        <v>205</v>
      </c>
      <c r="P138">
        <v>0</v>
      </c>
      <c r="Q138">
        <v>2</v>
      </c>
      <c r="R138">
        <v>0</v>
      </c>
      <c r="S138">
        <v>1</v>
      </c>
      <c r="T138">
        <v>5</v>
      </c>
      <c r="U138">
        <v>2</v>
      </c>
      <c r="V138">
        <v>19</v>
      </c>
      <c r="W138">
        <v>7</v>
      </c>
      <c r="X138">
        <v>7</v>
      </c>
      <c r="Y138">
        <v>19</v>
      </c>
      <c r="Z138">
        <v>5</v>
      </c>
      <c r="AA138">
        <v>0</v>
      </c>
      <c r="AB138">
        <v>1</v>
      </c>
      <c r="AC138">
        <v>0</v>
      </c>
      <c r="AD138">
        <v>19</v>
      </c>
      <c r="AE138">
        <v>8</v>
      </c>
      <c r="AF138">
        <v>14</v>
      </c>
      <c r="AG138">
        <v>1</v>
      </c>
      <c r="AH138">
        <v>-2</v>
      </c>
      <c r="AI138">
        <v>0</v>
      </c>
      <c r="AJ138" t="s">
        <v>247</v>
      </c>
      <c r="AK138">
        <v>0</v>
      </c>
    </row>
    <row r="139" spans="1:37" x14ac:dyDescent="0.25">
      <c r="A139">
        <v>2024</v>
      </c>
      <c r="B139" s="1">
        <v>45529</v>
      </c>
      <c r="C139">
        <v>24</v>
      </c>
      <c r="D139">
        <v>40198</v>
      </c>
      <c r="E139">
        <v>47364</v>
      </c>
      <c r="F139" t="s">
        <v>38</v>
      </c>
      <c r="G139" t="s">
        <v>51</v>
      </c>
      <c r="H139" t="s">
        <v>40</v>
      </c>
      <c r="I139" t="s">
        <v>53</v>
      </c>
      <c r="J139">
        <v>6</v>
      </c>
      <c r="K139">
        <v>2</v>
      </c>
      <c r="L139">
        <v>3745</v>
      </c>
      <c r="M139">
        <v>6220</v>
      </c>
      <c r="N139" t="s">
        <v>100</v>
      </c>
      <c r="O139" t="s">
        <v>98</v>
      </c>
      <c r="P139">
        <v>0</v>
      </c>
      <c r="Q139">
        <v>0</v>
      </c>
      <c r="R139">
        <v>0</v>
      </c>
      <c r="S139">
        <v>0</v>
      </c>
      <c r="T139">
        <v>4</v>
      </c>
      <c r="U139">
        <v>7</v>
      </c>
      <c r="V139">
        <v>19</v>
      </c>
      <c r="W139">
        <v>21</v>
      </c>
      <c r="X139">
        <v>21</v>
      </c>
      <c r="Y139">
        <v>19</v>
      </c>
      <c r="Z139">
        <v>5</v>
      </c>
      <c r="AA139">
        <v>7</v>
      </c>
      <c r="AB139">
        <v>3</v>
      </c>
      <c r="AC139">
        <v>2</v>
      </c>
      <c r="AD139">
        <v>17</v>
      </c>
      <c r="AE139">
        <v>14</v>
      </c>
      <c r="AF139">
        <v>9</v>
      </c>
      <c r="AG139">
        <v>4</v>
      </c>
      <c r="AH139">
        <v>0</v>
      </c>
      <c r="AI139">
        <v>0</v>
      </c>
      <c r="AJ139" t="s">
        <v>263</v>
      </c>
      <c r="AK139">
        <v>0</v>
      </c>
    </row>
    <row r="140" spans="1:37" x14ac:dyDescent="0.25">
      <c r="A140">
        <v>2024</v>
      </c>
      <c r="B140" s="1">
        <v>45529</v>
      </c>
      <c r="C140">
        <v>24</v>
      </c>
      <c r="D140">
        <v>51297</v>
      </c>
      <c r="E140">
        <v>60326</v>
      </c>
      <c r="F140" t="s">
        <v>63</v>
      </c>
      <c r="G140" t="s">
        <v>88</v>
      </c>
      <c r="H140" t="s">
        <v>65</v>
      </c>
      <c r="I140" t="s">
        <v>84</v>
      </c>
      <c r="J140">
        <v>1</v>
      </c>
      <c r="K140">
        <v>18</v>
      </c>
      <c r="L140">
        <v>1605</v>
      </c>
      <c r="M140">
        <v>3530</v>
      </c>
      <c r="N140" t="s">
        <v>208</v>
      </c>
      <c r="O140">
        <v>26</v>
      </c>
      <c r="P140">
        <v>1</v>
      </c>
      <c r="Q140">
        <v>0</v>
      </c>
      <c r="R140">
        <v>0</v>
      </c>
      <c r="S140">
        <v>0</v>
      </c>
      <c r="T140">
        <v>3</v>
      </c>
      <c r="U140">
        <v>9</v>
      </c>
      <c r="V140">
        <v>14</v>
      </c>
      <c r="W140">
        <v>16</v>
      </c>
      <c r="X140">
        <v>15</v>
      </c>
      <c r="Y140">
        <v>14</v>
      </c>
      <c r="Z140">
        <v>3</v>
      </c>
      <c r="AA140">
        <v>4</v>
      </c>
      <c r="AB140">
        <v>2</v>
      </c>
      <c r="AC140">
        <v>2</v>
      </c>
      <c r="AD140">
        <v>8</v>
      </c>
      <c r="AE140">
        <v>12</v>
      </c>
      <c r="AF140">
        <v>3</v>
      </c>
      <c r="AG140">
        <v>2</v>
      </c>
      <c r="AH140">
        <v>1</v>
      </c>
      <c r="AI140">
        <v>1</v>
      </c>
      <c r="AJ140" t="s">
        <v>102</v>
      </c>
      <c r="AK140">
        <v>0</v>
      </c>
    </row>
    <row r="141" spans="1:37" x14ac:dyDescent="0.25">
      <c r="A141">
        <v>2024</v>
      </c>
      <c r="B141" s="1">
        <v>45529</v>
      </c>
      <c r="C141">
        <v>24</v>
      </c>
      <c r="D141">
        <v>17377</v>
      </c>
      <c r="E141">
        <v>19225</v>
      </c>
      <c r="F141" t="s">
        <v>43</v>
      </c>
      <c r="G141" t="s">
        <v>83</v>
      </c>
      <c r="H141" t="s">
        <v>45</v>
      </c>
      <c r="I141" t="s">
        <v>85</v>
      </c>
      <c r="J141">
        <v>12</v>
      </c>
      <c r="K141">
        <v>15</v>
      </c>
      <c r="L141">
        <v>805</v>
      </c>
      <c r="M141">
        <v>4190</v>
      </c>
      <c r="N141">
        <v>31</v>
      </c>
      <c r="O141" t="s">
        <v>92</v>
      </c>
      <c r="P141">
        <v>0</v>
      </c>
      <c r="Q141">
        <v>1</v>
      </c>
      <c r="R141">
        <v>0</v>
      </c>
      <c r="S141">
        <v>0</v>
      </c>
      <c r="T141">
        <v>6</v>
      </c>
      <c r="U141">
        <v>9</v>
      </c>
      <c r="V141">
        <v>15</v>
      </c>
      <c r="W141">
        <v>8</v>
      </c>
      <c r="X141">
        <v>8</v>
      </c>
      <c r="Y141">
        <v>15</v>
      </c>
      <c r="Z141">
        <v>3</v>
      </c>
      <c r="AA141">
        <v>4</v>
      </c>
      <c r="AB141">
        <v>3</v>
      </c>
      <c r="AC141">
        <v>4</v>
      </c>
      <c r="AD141">
        <v>19</v>
      </c>
      <c r="AE141">
        <v>14</v>
      </c>
      <c r="AF141">
        <v>9</v>
      </c>
      <c r="AG141">
        <v>3</v>
      </c>
      <c r="AH141">
        <v>-1</v>
      </c>
      <c r="AI141">
        <v>0</v>
      </c>
      <c r="AJ141" t="s">
        <v>264</v>
      </c>
      <c r="AK141">
        <v>0</v>
      </c>
    </row>
    <row r="142" spans="1:37" x14ac:dyDescent="0.25">
      <c r="A142">
        <v>2024</v>
      </c>
      <c r="B142" s="1">
        <v>45530</v>
      </c>
      <c r="C142">
        <v>24</v>
      </c>
      <c r="D142">
        <v>26634</v>
      </c>
      <c r="E142">
        <v>50848</v>
      </c>
      <c r="F142" t="s">
        <v>37</v>
      </c>
      <c r="G142" t="s">
        <v>50</v>
      </c>
      <c r="H142" t="s">
        <v>46</v>
      </c>
      <c r="I142" t="s">
        <v>52</v>
      </c>
      <c r="J142">
        <v>9</v>
      </c>
      <c r="K142">
        <v>7</v>
      </c>
      <c r="L142">
        <v>3315</v>
      </c>
      <c r="M142">
        <v>3660</v>
      </c>
      <c r="N142" t="s">
        <v>135</v>
      </c>
      <c r="O142" t="s">
        <v>105</v>
      </c>
      <c r="P142">
        <v>1</v>
      </c>
      <c r="Q142">
        <v>0</v>
      </c>
      <c r="R142">
        <v>0</v>
      </c>
      <c r="S142">
        <v>0</v>
      </c>
      <c r="T142">
        <v>12</v>
      </c>
      <c r="U142">
        <v>3</v>
      </c>
      <c r="V142">
        <v>12</v>
      </c>
      <c r="W142">
        <v>9</v>
      </c>
      <c r="X142">
        <v>9</v>
      </c>
      <c r="Y142">
        <v>12</v>
      </c>
      <c r="Z142">
        <v>3</v>
      </c>
      <c r="AA142">
        <v>8</v>
      </c>
      <c r="AB142">
        <v>0</v>
      </c>
      <c r="AC142">
        <v>0</v>
      </c>
      <c r="AD142">
        <v>19</v>
      </c>
      <c r="AE142">
        <v>5</v>
      </c>
      <c r="AF142">
        <v>8</v>
      </c>
      <c r="AG142">
        <v>2</v>
      </c>
      <c r="AH142">
        <v>1</v>
      </c>
      <c r="AI142">
        <v>1</v>
      </c>
      <c r="AJ142" t="s">
        <v>265</v>
      </c>
      <c r="AK142">
        <v>0</v>
      </c>
    </row>
    <row r="143" spans="1:37" x14ac:dyDescent="0.25">
      <c r="A143">
        <v>2024</v>
      </c>
      <c r="B143" s="1">
        <v>45530</v>
      </c>
      <c r="C143">
        <v>24</v>
      </c>
      <c r="D143">
        <v>28159</v>
      </c>
      <c r="E143">
        <v>78838</v>
      </c>
      <c r="F143" t="s">
        <v>77</v>
      </c>
      <c r="G143" t="s">
        <v>56</v>
      </c>
      <c r="H143" t="s">
        <v>79</v>
      </c>
      <c r="I143" t="s">
        <v>58</v>
      </c>
      <c r="J143">
        <v>3</v>
      </c>
      <c r="K143">
        <v>14</v>
      </c>
      <c r="L143">
        <v>6520</v>
      </c>
      <c r="M143">
        <v>3150</v>
      </c>
      <c r="N143" t="s">
        <v>105</v>
      </c>
      <c r="O143" t="s">
        <v>60</v>
      </c>
      <c r="P143">
        <v>2</v>
      </c>
      <c r="Q143">
        <v>1</v>
      </c>
      <c r="R143">
        <v>1</v>
      </c>
      <c r="S143">
        <v>0</v>
      </c>
      <c r="T143">
        <v>6</v>
      </c>
      <c r="U143">
        <v>10</v>
      </c>
      <c r="V143">
        <v>13</v>
      </c>
      <c r="W143">
        <v>12</v>
      </c>
      <c r="X143">
        <v>12</v>
      </c>
      <c r="Y143">
        <v>13</v>
      </c>
      <c r="Z143">
        <v>1</v>
      </c>
      <c r="AA143">
        <v>6</v>
      </c>
      <c r="AB143">
        <v>1</v>
      </c>
      <c r="AC143">
        <v>1</v>
      </c>
      <c r="AD143">
        <v>13</v>
      </c>
      <c r="AE143">
        <v>12</v>
      </c>
      <c r="AF143">
        <v>2</v>
      </c>
      <c r="AG143">
        <v>9</v>
      </c>
      <c r="AH143">
        <v>1</v>
      </c>
      <c r="AI143">
        <v>1</v>
      </c>
      <c r="AJ143" t="s">
        <v>266</v>
      </c>
      <c r="AK143">
        <v>0</v>
      </c>
    </row>
    <row r="144" spans="1:37" x14ac:dyDescent="0.25">
      <c r="A144">
        <v>2024</v>
      </c>
      <c r="B144" s="1">
        <v>45531</v>
      </c>
      <c r="C144">
        <v>24</v>
      </c>
      <c r="D144">
        <v>16775</v>
      </c>
      <c r="E144">
        <v>24584</v>
      </c>
      <c r="F144" t="s">
        <v>82</v>
      </c>
      <c r="G144" t="s">
        <v>69</v>
      </c>
      <c r="H144" t="s">
        <v>160</v>
      </c>
      <c r="I144" t="s">
        <v>249</v>
      </c>
      <c r="J144">
        <v>8</v>
      </c>
      <c r="K144">
        <v>11</v>
      </c>
      <c r="L144">
        <v>2980</v>
      </c>
      <c r="M144">
        <v>2820</v>
      </c>
      <c r="N144" t="s">
        <v>129</v>
      </c>
      <c r="O144" t="s">
        <v>116</v>
      </c>
      <c r="P144">
        <v>2</v>
      </c>
      <c r="Q144">
        <v>1</v>
      </c>
      <c r="R144">
        <v>0</v>
      </c>
      <c r="S144">
        <v>1</v>
      </c>
      <c r="T144">
        <v>4</v>
      </c>
      <c r="U144">
        <v>5</v>
      </c>
      <c r="V144">
        <v>10</v>
      </c>
      <c r="W144">
        <v>11</v>
      </c>
      <c r="X144">
        <v>11</v>
      </c>
      <c r="Y144">
        <v>9</v>
      </c>
      <c r="Z144">
        <v>3</v>
      </c>
      <c r="AA144">
        <v>2</v>
      </c>
      <c r="AB144">
        <v>4</v>
      </c>
      <c r="AC144">
        <v>1</v>
      </c>
      <c r="AD144">
        <v>7</v>
      </c>
      <c r="AE144">
        <v>9</v>
      </c>
      <c r="AF144">
        <v>1</v>
      </c>
      <c r="AG144">
        <v>4</v>
      </c>
      <c r="AH144">
        <v>1</v>
      </c>
      <c r="AI144">
        <v>1</v>
      </c>
      <c r="AJ144" t="s">
        <v>262</v>
      </c>
      <c r="AK144">
        <v>0</v>
      </c>
    </row>
    <row r="145" spans="1:37" x14ac:dyDescent="0.25">
      <c r="A145">
        <v>2024</v>
      </c>
      <c r="B145" s="1">
        <v>45535</v>
      </c>
      <c r="C145">
        <v>25</v>
      </c>
      <c r="D145">
        <v>4095</v>
      </c>
      <c r="E145">
        <v>42968</v>
      </c>
      <c r="F145" t="s">
        <v>70</v>
      </c>
      <c r="G145" t="s">
        <v>43</v>
      </c>
      <c r="H145" t="s">
        <v>237</v>
      </c>
      <c r="I145" t="s">
        <v>45</v>
      </c>
      <c r="J145">
        <v>19</v>
      </c>
      <c r="K145">
        <v>13</v>
      </c>
      <c r="L145">
        <v>1355</v>
      </c>
      <c r="M145">
        <v>763</v>
      </c>
      <c r="N145" t="s">
        <v>120</v>
      </c>
      <c r="O145" t="s">
        <v>200</v>
      </c>
      <c r="P145">
        <v>2</v>
      </c>
      <c r="Q145">
        <v>1</v>
      </c>
      <c r="R145">
        <v>0</v>
      </c>
      <c r="S145">
        <v>1</v>
      </c>
      <c r="T145">
        <v>5</v>
      </c>
      <c r="U145">
        <v>5</v>
      </c>
      <c r="V145">
        <v>16</v>
      </c>
      <c r="W145">
        <v>9</v>
      </c>
      <c r="X145">
        <v>8</v>
      </c>
      <c r="Y145">
        <v>16</v>
      </c>
      <c r="Z145">
        <v>3</v>
      </c>
      <c r="AA145">
        <v>1</v>
      </c>
      <c r="AB145">
        <v>0</v>
      </c>
      <c r="AC145">
        <v>3</v>
      </c>
      <c r="AD145">
        <v>22</v>
      </c>
      <c r="AE145">
        <v>12</v>
      </c>
      <c r="AF145">
        <v>12</v>
      </c>
      <c r="AG145">
        <v>6</v>
      </c>
      <c r="AH145">
        <v>1</v>
      </c>
      <c r="AI145">
        <v>1</v>
      </c>
      <c r="AJ145" t="s">
        <v>243</v>
      </c>
      <c r="AK145">
        <v>0</v>
      </c>
    </row>
    <row r="146" spans="1:37" x14ac:dyDescent="0.25">
      <c r="A146">
        <v>2024</v>
      </c>
      <c r="B146" s="1">
        <v>45536</v>
      </c>
      <c r="C146">
        <v>25</v>
      </c>
      <c r="D146">
        <v>32564</v>
      </c>
      <c r="E146">
        <v>46931</v>
      </c>
      <c r="F146" t="s">
        <v>51</v>
      </c>
      <c r="G146" t="s">
        <v>63</v>
      </c>
      <c r="H146" t="s">
        <v>53</v>
      </c>
      <c r="I146" t="s">
        <v>65</v>
      </c>
      <c r="J146">
        <v>1</v>
      </c>
      <c r="K146">
        <v>2</v>
      </c>
      <c r="L146">
        <v>6080</v>
      </c>
      <c r="M146">
        <v>1480</v>
      </c>
      <c r="N146" t="s">
        <v>104</v>
      </c>
      <c r="O146" t="s">
        <v>142</v>
      </c>
      <c r="P146">
        <v>2</v>
      </c>
      <c r="Q146">
        <v>0</v>
      </c>
      <c r="R146">
        <v>0</v>
      </c>
      <c r="S146">
        <v>0</v>
      </c>
      <c r="T146">
        <v>9</v>
      </c>
      <c r="U146">
        <v>6</v>
      </c>
      <c r="V146">
        <v>13</v>
      </c>
      <c r="W146">
        <v>8</v>
      </c>
      <c r="X146">
        <v>8</v>
      </c>
      <c r="Y146">
        <v>12</v>
      </c>
      <c r="Z146">
        <v>1</v>
      </c>
      <c r="AA146">
        <v>5</v>
      </c>
      <c r="AB146">
        <v>2</v>
      </c>
      <c r="AC146">
        <v>0</v>
      </c>
      <c r="AD146">
        <v>22</v>
      </c>
      <c r="AE146">
        <v>10</v>
      </c>
      <c r="AF146">
        <v>8</v>
      </c>
      <c r="AG146">
        <v>5</v>
      </c>
      <c r="AH146">
        <v>2</v>
      </c>
      <c r="AI146">
        <v>1</v>
      </c>
      <c r="AJ146" t="s">
        <v>245</v>
      </c>
      <c r="AK146">
        <v>0</v>
      </c>
    </row>
    <row r="147" spans="1:37" x14ac:dyDescent="0.25">
      <c r="A147">
        <v>2024</v>
      </c>
      <c r="B147" s="1">
        <v>45536</v>
      </c>
      <c r="C147">
        <v>25</v>
      </c>
      <c r="D147">
        <v>45759</v>
      </c>
      <c r="E147">
        <v>82238</v>
      </c>
      <c r="F147" t="s">
        <v>55</v>
      </c>
      <c r="G147" t="s">
        <v>62</v>
      </c>
      <c r="H147" t="s">
        <v>240</v>
      </c>
      <c r="I147" t="s">
        <v>153</v>
      </c>
      <c r="J147">
        <v>14</v>
      </c>
      <c r="K147">
        <v>6</v>
      </c>
      <c r="L147">
        <v>2585</v>
      </c>
      <c r="M147">
        <v>1975</v>
      </c>
      <c r="N147" t="s">
        <v>138</v>
      </c>
      <c r="O147" t="s">
        <v>144</v>
      </c>
      <c r="P147">
        <v>2</v>
      </c>
      <c r="Q147">
        <v>0</v>
      </c>
      <c r="R147">
        <v>1</v>
      </c>
      <c r="S147">
        <v>0</v>
      </c>
      <c r="T147">
        <v>5</v>
      </c>
      <c r="U147">
        <v>4</v>
      </c>
      <c r="V147">
        <v>13</v>
      </c>
      <c r="W147">
        <v>16</v>
      </c>
      <c r="X147">
        <v>16</v>
      </c>
      <c r="Y147">
        <v>12</v>
      </c>
      <c r="Z147">
        <v>2</v>
      </c>
      <c r="AA147">
        <v>3</v>
      </c>
      <c r="AB147">
        <v>0</v>
      </c>
      <c r="AC147">
        <v>0</v>
      </c>
      <c r="AD147">
        <v>10</v>
      </c>
      <c r="AE147">
        <v>15</v>
      </c>
      <c r="AF147">
        <v>3</v>
      </c>
      <c r="AG147">
        <v>6</v>
      </c>
      <c r="AH147">
        <v>2</v>
      </c>
      <c r="AI147">
        <v>1</v>
      </c>
      <c r="AJ147" t="s">
        <v>267</v>
      </c>
      <c r="AK147">
        <v>0</v>
      </c>
    </row>
    <row r="148" spans="1:37" x14ac:dyDescent="0.25">
      <c r="A148">
        <v>2024</v>
      </c>
      <c r="B148" s="1">
        <v>45536</v>
      </c>
      <c r="C148">
        <v>25</v>
      </c>
      <c r="D148">
        <v>45635</v>
      </c>
      <c r="E148">
        <v>49205</v>
      </c>
      <c r="F148" t="s">
        <v>88</v>
      </c>
      <c r="G148" t="s">
        <v>77</v>
      </c>
      <c r="H148" t="s">
        <v>84</v>
      </c>
      <c r="I148" t="s">
        <v>79</v>
      </c>
      <c r="J148">
        <v>17</v>
      </c>
      <c r="K148">
        <v>4</v>
      </c>
      <c r="L148">
        <v>3250</v>
      </c>
      <c r="M148">
        <v>7890</v>
      </c>
      <c r="N148">
        <v>28</v>
      </c>
      <c r="O148">
        <v>30</v>
      </c>
      <c r="P148">
        <v>2</v>
      </c>
      <c r="Q148">
        <v>1</v>
      </c>
      <c r="R148">
        <v>1</v>
      </c>
      <c r="S148">
        <v>1</v>
      </c>
      <c r="T148">
        <v>5</v>
      </c>
      <c r="U148">
        <v>2</v>
      </c>
      <c r="V148">
        <v>18</v>
      </c>
      <c r="W148">
        <v>18</v>
      </c>
      <c r="X148">
        <v>16</v>
      </c>
      <c r="Y148">
        <v>17</v>
      </c>
      <c r="Z148">
        <v>2</v>
      </c>
      <c r="AA148">
        <v>2</v>
      </c>
      <c r="AB148">
        <v>3</v>
      </c>
      <c r="AC148">
        <v>0</v>
      </c>
      <c r="AD148">
        <v>13</v>
      </c>
      <c r="AE148">
        <v>10</v>
      </c>
      <c r="AF148">
        <v>6</v>
      </c>
      <c r="AG148">
        <v>5</v>
      </c>
      <c r="AH148">
        <v>1</v>
      </c>
      <c r="AI148">
        <v>1</v>
      </c>
      <c r="AJ148" t="s">
        <v>231</v>
      </c>
      <c r="AK148">
        <v>1</v>
      </c>
    </row>
    <row r="149" spans="1:37" x14ac:dyDescent="0.25">
      <c r="A149">
        <v>2024</v>
      </c>
      <c r="B149" s="1">
        <v>45536</v>
      </c>
      <c r="C149">
        <v>25</v>
      </c>
      <c r="D149">
        <v>10721</v>
      </c>
      <c r="E149">
        <v>23726</v>
      </c>
      <c r="F149" t="s">
        <v>44</v>
      </c>
      <c r="G149" t="s">
        <v>37</v>
      </c>
      <c r="H149" t="s">
        <v>78</v>
      </c>
      <c r="I149" t="s">
        <v>46</v>
      </c>
      <c r="J149">
        <v>15</v>
      </c>
      <c r="K149">
        <v>9</v>
      </c>
      <c r="L149">
        <v>990</v>
      </c>
      <c r="M149">
        <v>4070</v>
      </c>
      <c r="N149" t="s">
        <v>235</v>
      </c>
      <c r="O149" t="s">
        <v>228</v>
      </c>
      <c r="P149">
        <v>1</v>
      </c>
      <c r="Q149">
        <v>3</v>
      </c>
      <c r="R149">
        <v>0</v>
      </c>
      <c r="S149">
        <v>2</v>
      </c>
      <c r="T149">
        <v>6</v>
      </c>
      <c r="U149">
        <v>4</v>
      </c>
      <c r="V149">
        <v>13</v>
      </c>
      <c r="W149">
        <v>17</v>
      </c>
      <c r="X149">
        <v>14</v>
      </c>
      <c r="Y149">
        <v>13</v>
      </c>
      <c r="Z149">
        <v>4</v>
      </c>
      <c r="AA149">
        <v>4</v>
      </c>
      <c r="AB149">
        <v>0</v>
      </c>
      <c r="AC149">
        <v>1</v>
      </c>
      <c r="AD149">
        <v>14</v>
      </c>
      <c r="AE149">
        <v>18</v>
      </c>
      <c r="AF149">
        <v>6</v>
      </c>
      <c r="AG149">
        <v>8</v>
      </c>
      <c r="AH149">
        <v>-2</v>
      </c>
      <c r="AI149">
        <v>0</v>
      </c>
      <c r="AJ149" t="s">
        <v>268</v>
      </c>
      <c r="AK149">
        <v>1</v>
      </c>
    </row>
    <row r="150" spans="1:37" x14ac:dyDescent="0.25">
      <c r="A150">
        <v>2024</v>
      </c>
      <c r="B150" s="1">
        <v>45536</v>
      </c>
      <c r="C150">
        <v>25</v>
      </c>
      <c r="D150">
        <v>3921</v>
      </c>
      <c r="E150">
        <v>15010</v>
      </c>
      <c r="F150" t="s">
        <v>56</v>
      </c>
      <c r="G150" t="s">
        <v>38</v>
      </c>
      <c r="H150" t="s">
        <v>58</v>
      </c>
      <c r="I150" t="s">
        <v>40</v>
      </c>
      <c r="J150">
        <v>12</v>
      </c>
      <c r="K150">
        <v>7</v>
      </c>
      <c r="L150">
        <v>4130</v>
      </c>
      <c r="M150">
        <v>3745</v>
      </c>
      <c r="N150">
        <v>26</v>
      </c>
      <c r="O150" t="s">
        <v>100</v>
      </c>
      <c r="P150">
        <v>2</v>
      </c>
      <c r="Q150">
        <v>1</v>
      </c>
      <c r="R150">
        <v>0</v>
      </c>
      <c r="S150">
        <v>0</v>
      </c>
      <c r="T150">
        <v>5</v>
      </c>
      <c r="U150">
        <v>10</v>
      </c>
      <c r="V150">
        <v>8</v>
      </c>
      <c r="W150">
        <v>13</v>
      </c>
      <c r="X150">
        <v>13</v>
      </c>
      <c r="Y150">
        <v>7</v>
      </c>
      <c r="Z150">
        <v>5</v>
      </c>
      <c r="AA150">
        <v>4</v>
      </c>
      <c r="AB150">
        <v>3</v>
      </c>
      <c r="AC150">
        <v>1</v>
      </c>
      <c r="AD150">
        <v>15</v>
      </c>
      <c r="AE150">
        <v>16</v>
      </c>
      <c r="AF150">
        <v>7</v>
      </c>
      <c r="AG150">
        <v>7</v>
      </c>
      <c r="AH150">
        <v>1</v>
      </c>
      <c r="AI150">
        <v>1</v>
      </c>
      <c r="AJ150" t="s">
        <v>268</v>
      </c>
      <c r="AK150">
        <v>0</v>
      </c>
    </row>
    <row r="151" spans="1:37" x14ac:dyDescent="0.25">
      <c r="A151">
        <v>2024</v>
      </c>
      <c r="B151" s="1">
        <v>45536</v>
      </c>
      <c r="C151">
        <v>25</v>
      </c>
      <c r="D151">
        <v>20923</v>
      </c>
      <c r="E151">
        <v>30618</v>
      </c>
      <c r="F151" t="s">
        <v>94</v>
      </c>
      <c r="G151" t="s">
        <v>82</v>
      </c>
      <c r="H151" t="s">
        <v>64</v>
      </c>
      <c r="I151" t="s">
        <v>160</v>
      </c>
      <c r="J151">
        <v>18</v>
      </c>
      <c r="K151">
        <v>8</v>
      </c>
      <c r="L151">
        <v>1218</v>
      </c>
      <c r="M151">
        <v>3550</v>
      </c>
      <c r="N151" t="s">
        <v>100</v>
      </c>
      <c r="O151" t="s">
        <v>209</v>
      </c>
      <c r="P151">
        <v>0</v>
      </c>
      <c r="Q151">
        <v>1</v>
      </c>
      <c r="R151">
        <v>0</v>
      </c>
      <c r="S151">
        <v>0</v>
      </c>
      <c r="T151">
        <v>10</v>
      </c>
      <c r="U151">
        <v>3</v>
      </c>
      <c r="V151">
        <v>7</v>
      </c>
      <c r="W151">
        <v>7</v>
      </c>
      <c r="X151">
        <v>7</v>
      </c>
      <c r="Y151">
        <v>7</v>
      </c>
      <c r="Z151">
        <v>5</v>
      </c>
      <c r="AA151">
        <v>5</v>
      </c>
      <c r="AB151">
        <v>1</v>
      </c>
      <c r="AC151">
        <v>2</v>
      </c>
      <c r="AD151">
        <v>21</v>
      </c>
      <c r="AE151">
        <v>9</v>
      </c>
      <c r="AF151">
        <v>9</v>
      </c>
      <c r="AG151">
        <v>2</v>
      </c>
      <c r="AH151">
        <v>-1</v>
      </c>
      <c r="AI151">
        <v>0</v>
      </c>
      <c r="AJ151" t="s">
        <v>269</v>
      </c>
      <c r="AK151">
        <v>0</v>
      </c>
    </row>
    <row r="152" spans="1:37" x14ac:dyDescent="0.25">
      <c r="A152">
        <v>2024</v>
      </c>
      <c r="B152" s="1">
        <v>45536</v>
      </c>
      <c r="C152">
        <v>25</v>
      </c>
      <c r="D152">
        <v>28334</v>
      </c>
      <c r="E152">
        <v>42372</v>
      </c>
      <c r="F152" t="s">
        <v>69</v>
      </c>
      <c r="G152" t="s">
        <v>95</v>
      </c>
      <c r="H152" t="s">
        <v>249</v>
      </c>
      <c r="I152" t="s">
        <v>97</v>
      </c>
      <c r="J152">
        <v>11</v>
      </c>
      <c r="K152">
        <v>3</v>
      </c>
      <c r="L152">
        <v>3830</v>
      </c>
      <c r="M152">
        <v>10160</v>
      </c>
      <c r="N152" t="s">
        <v>270</v>
      </c>
      <c r="O152" t="s">
        <v>120</v>
      </c>
      <c r="P152">
        <v>0</v>
      </c>
      <c r="Q152">
        <v>2</v>
      </c>
      <c r="R152">
        <v>0</v>
      </c>
      <c r="S152">
        <v>1</v>
      </c>
      <c r="T152">
        <v>4</v>
      </c>
      <c r="U152">
        <v>4</v>
      </c>
      <c r="V152">
        <v>10</v>
      </c>
      <c r="W152">
        <v>9</v>
      </c>
      <c r="X152">
        <v>7</v>
      </c>
      <c r="Y152">
        <v>10</v>
      </c>
      <c r="Z152">
        <v>8</v>
      </c>
      <c r="AA152">
        <v>9</v>
      </c>
      <c r="AB152">
        <v>0</v>
      </c>
      <c r="AC152">
        <v>2</v>
      </c>
      <c r="AD152">
        <v>15</v>
      </c>
      <c r="AE152">
        <v>19</v>
      </c>
      <c r="AF152">
        <v>4</v>
      </c>
      <c r="AG152">
        <v>3</v>
      </c>
      <c r="AH152">
        <v>-2</v>
      </c>
      <c r="AI152">
        <v>0</v>
      </c>
      <c r="AJ152" t="s">
        <v>271</v>
      </c>
      <c r="AK152">
        <v>0</v>
      </c>
    </row>
    <row r="153" spans="1:37" x14ac:dyDescent="0.25">
      <c r="A153">
        <v>2024</v>
      </c>
      <c r="B153" s="1">
        <v>45536</v>
      </c>
      <c r="C153">
        <v>25</v>
      </c>
      <c r="D153">
        <v>27442</v>
      </c>
      <c r="E153">
        <v>60540</v>
      </c>
      <c r="F153" t="s">
        <v>83</v>
      </c>
      <c r="G153" t="s">
        <v>89</v>
      </c>
      <c r="H153" t="s">
        <v>85</v>
      </c>
      <c r="I153" t="s">
        <v>91</v>
      </c>
      <c r="J153">
        <v>16</v>
      </c>
      <c r="K153">
        <v>10</v>
      </c>
      <c r="L153">
        <v>4100</v>
      </c>
      <c r="M153">
        <v>4930</v>
      </c>
      <c r="N153" t="s">
        <v>105</v>
      </c>
      <c r="O153" t="s">
        <v>48</v>
      </c>
      <c r="P153">
        <v>2</v>
      </c>
      <c r="Q153">
        <v>3</v>
      </c>
      <c r="R153">
        <v>2</v>
      </c>
      <c r="S153">
        <v>0</v>
      </c>
      <c r="T153">
        <v>5</v>
      </c>
      <c r="U153">
        <v>9</v>
      </c>
      <c r="V153">
        <v>11</v>
      </c>
      <c r="W153">
        <v>17</v>
      </c>
      <c r="X153">
        <v>15</v>
      </c>
      <c r="Y153">
        <v>9</v>
      </c>
      <c r="Z153">
        <v>10</v>
      </c>
      <c r="AA153">
        <v>2</v>
      </c>
      <c r="AB153">
        <v>0</v>
      </c>
      <c r="AC153">
        <v>3</v>
      </c>
      <c r="AD153">
        <v>11</v>
      </c>
      <c r="AE153">
        <v>27</v>
      </c>
      <c r="AF153">
        <v>5</v>
      </c>
      <c r="AG153">
        <v>8</v>
      </c>
      <c r="AH153">
        <v>-1</v>
      </c>
      <c r="AI153">
        <v>0</v>
      </c>
      <c r="AJ153" t="s">
        <v>272</v>
      </c>
      <c r="AK153">
        <v>1</v>
      </c>
    </row>
    <row r="154" spans="1:37" x14ac:dyDescent="0.25">
      <c r="A154">
        <v>2024</v>
      </c>
      <c r="B154" s="1">
        <v>45536</v>
      </c>
      <c r="C154">
        <v>25</v>
      </c>
      <c r="D154">
        <v>50000</v>
      </c>
      <c r="E154">
        <v>61927</v>
      </c>
      <c r="F154" t="s">
        <v>50</v>
      </c>
      <c r="G154" t="s">
        <v>76</v>
      </c>
      <c r="H154" t="s">
        <v>52</v>
      </c>
      <c r="I154" t="s">
        <v>238</v>
      </c>
      <c r="J154">
        <v>5</v>
      </c>
      <c r="K154">
        <v>20</v>
      </c>
      <c r="L154">
        <v>4710</v>
      </c>
      <c r="M154">
        <v>935</v>
      </c>
      <c r="N154" t="s">
        <v>135</v>
      </c>
      <c r="O154" t="s">
        <v>86</v>
      </c>
      <c r="P154">
        <v>3</v>
      </c>
      <c r="Q154">
        <v>1</v>
      </c>
      <c r="R154">
        <v>2</v>
      </c>
      <c r="S154">
        <v>1</v>
      </c>
      <c r="T154">
        <v>8</v>
      </c>
      <c r="U154">
        <v>3</v>
      </c>
      <c r="V154">
        <v>13</v>
      </c>
      <c r="W154">
        <v>7</v>
      </c>
      <c r="X154">
        <v>6</v>
      </c>
      <c r="Y154">
        <v>13</v>
      </c>
      <c r="Z154">
        <v>3</v>
      </c>
      <c r="AA154">
        <v>3</v>
      </c>
      <c r="AB154">
        <v>0</v>
      </c>
      <c r="AC154">
        <v>3</v>
      </c>
      <c r="AD154">
        <v>11</v>
      </c>
      <c r="AE154">
        <v>17</v>
      </c>
      <c r="AF154">
        <v>3</v>
      </c>
      <c r="AG154">
        <v>11</v>
      </c>
      <c r="AH154">
        <v>2</v>
      </c>
      <c r="AI154">
        <v>1</v>
      </c>
      <c r="AJ154" t="s">
        <v>188</v>
      </c>
      <c r="AK154">
        <v>0</v>
      </c>
    </row>
    <row r="155" spans="1:37" x14ac:dyDescent="0.25">
      <c r="A155">
        <v>2024</v>
      </c>
      <c r="B155" s="1">
        <v>45549</v>
      </c>
      <c r="C155">
        <v>26</v>
      </c>
      <c r="D155">
        <v>31551</v>
      </c>
      <c r="E155">
        <v>42372</v>
      </c>
      <c r="F155" t="s">
        <v>69</v>
      </c>
      <c r="G155" t="s">
        <v>63</v>
      </c>
      <c r="H155" t="s">
        <v>249</v>
      </c>
      <c r="I155" t="s">
        <v>65</v>
      </c>
      <c r="J155">
        <v>11</v>
      </c>
      <c r="K155">
        <v>3</v>
      </c>
      <c r="L155">
        <v>3130</v>
      </c>
      <c r="M155">
        <v>1725</v>
      </c>
      <c r="N155" t="s">
        <v>202</v>
      </c>
      <c r="O155" t="s">
        <v>137</v>
      </c>
      <c r="P155">
        <v>1</v>
      </c>
      <c r="Q155">
        <v>1</v>
      </c>
      <c r="R155">
        <v>1</v>
      </c>
      <c r="S155">
        <v>1</v>
      </c>
      <c r="T155">
        <v>13</v>
      </c>
      <c r="U155">
        <v>4</v>
      </c>
      <c r="V155">
        <v>12</v>
      </c>
      <c r="W155">
        <v>10</v>
      </c>
      <c r="X155">
        <v>7</v>
      </c>
      <c r="Y155">
        <v>11</v>
      </c>
      <c r="Z155">
        <v>2</v>
      </c>
      <c r="AA155">
        <v>7</v>
      </c>
      <c r="AB155">
        <v>3</v>
      </c>
      <c r="AC155">
        <v>0</v>
      </c>
      <c r="AD155">
        <v>30</v>
      </c>
      <c r="AE155">
        <v>10</v>
      </c>
      <c r="AF155">
        <v>11</v>
      </c>
      <c r="AG155">
        <v>5</v>
      </c>
      <c r="AH155">
        <v>0</v>
      </c>
      <c r="AI155">
        <v>0</v>
      </c>
      <c r="AJ155" t="s">
        <v>130</v>
      </c>
      <c r="AK155">
        <v>0</v>
      </c>
    </row>
    <row r="156" spans="1:37" x14ac:dyDescent="0.25">
      <c r="A156">
        <v>2024</v>
      </c>
      <c r="B156" s="1">
        <v>45549</v>
      </c>
      <c r="C156">
        <v>26</v>
      </c>
      <c r="D156">
        <v>4938</v>
      </c>
      <c r="E156">
        <v>13000</v>
      </c>
      <c r="F156" t="s">
        <v>76</v>
      </c>
      <c r="G156" t="s">
        <v>94</v>
      </c>
      <c r="H156" t="s">
        <v>238</v>
      </c>
      <c r="I156" t="s">
        <v>64</v>
      </c>
      <c r="J156">
        <v>20</v>
      </c>
      <c r="K156">
        <v>17</v>
      </c>
      <c r="L156">
        <v>935</v>
      </c>
      <c r="M156">
        <v>1450</v>
      </c>
      <c r="N156" t="s">
        <v>98</v>
      </c>
      <c r="O156" t="s">
        <v>114</v>
      </c>
      <c r="P156">
        <v>0</v>
      </c>
      <c r="Q156">
        <v>2</v>
      </c>
      <c r="R156">
        <v>0</v>
      </c>
      <c r="S156">
        <v>1</v>
      </c>
      <c r="T156">
        <v>9</v>
      </c>
      <c r="U156">
        <v>5</v>
      </c>
      <c r="V156">
        <v>14</v>
      </c>
      <c r="W156">
        <v>14</v>
      </c>
      <c r="X156">
        <v>13</v>
      </c>
      <c r="Y156">
        <v>10</v>
      </c>
      <c r="Z156">
        <v>2</v>
      </c>
      <c r="AA156">
        <v>5</v>
      </c>
      <c r="AB156">
        <v>0</v>
      </c>
      <c r="AC156">
        <v>0</v>
      </c>
      <c r="AD156">
        <v>13</v>
      </c>
      <c r="AE156">
        <v>7</v>
      </c>
      <c r="AF156">
        <v>5</v>
      </c>
      <c r="AG156">
        <v>2</v>
      </c>
      <c r="AH156">
        <v>-2</v>
      </c>
      <c r="AI156">
        <v>0</v>
      </c>
      <c r="AJ156" t="s">
        <v>187</v>
      </c>
      <c r="AK156">
        <v>0</v>
      </c>
    </row>
    <row r="157" spans="1:37" x14ac:dyDescent="0.25">
      <c r="A157">
        <v>2024</v>
      </c>
      <c r="B157" s="1">
        <v>45550</v>
      </c>
      <c r="C157">
        <v>26</v>
      </c>
      <c r="D157">
        <v>32718</v>
      </c>
      <c r="E157">
        <v>46931</v>
      </c>
      <c r="F157" t="s">
        <v>51</v>
      </c>
      <c r="G157" t="s">
        <v>88</v>
      </c>
      <c r="H157" t="s">
        <v>53</v>
      </c>
      <c r="I157" t="s">
        <v>84</v>
      </c>
      <c r="J157">
        <v>1</v>
      </c>
      <c r="K157">
        <v>18</v>
      </c>
      <c r="L157">
        <v>6290</v>
      </c>
      <c r="M157">
        <v>3500</v>
      </c>
      <c r="N157" t="s">
        <v>128</v>
      </c>
      <c r="O157" t="s">
        <v>41</v>
      </c>
      <c r="P157">
        <v>2</v>
      </c>
      <c r="Q157">
        <v>1</v>
      </c>
      <c r="R157">
        <v>1</v>
      </c>
      <c r="S157">
        <v>0</v>
      </c>
      <c r="T157">
        <v>6</v>
      </c>
      <c r="U157">
        <v>3</v>
      </c>
      <c r="V157">
        <v>12</v>
      </c>
      <c r="W157">
        <v>7</v>
      </c>
      <c r="X157">
        <v>7</v>
      </c>
      <c r="Y157">
        <v>11</v>
      </c>
      <c r="Z157">
        <v>1</v>
      </c>
      <c r="AA157">
        <v>8</v>
      </c>
      <c r="AB157">
        <v>0</v>
      </c>
      <c r="AC157">
        <v>1</v>
      </c>
      <c r="AD157">
        <v>21</v>
      </c>
      <c r="AE157">
        <v>12</v>
      </c>
      <c r="AF157">
        <v>4</v>
      </c>
      <c r="AG157">
        <v>7</v>
      </c>
      <c r="AH157">
        <v>1</v>
      </c>
      <c r="AI157">
        <v>1</v>
      </c>
      <c r="AJ157" t="s">
        <v>232</v>
      </c>
      <c r="AK157">
        <v>0</v>
      </c>
    </row>
    <row r="158" spans="1:37" x14ac:dyDescent="0.25">
      <c r="A158">
        <v>2024</v>
      </c>
      <c r="B158" s="1">
        <v>45550</v>
      </c>
      <c r="C158">
        <v>26</v>
      </c>
      <c r="D158">
        <v>55000</v>
      </c>
      <c r="E158">
        <v>61927</v>
      </c>
      <c r="F158" t="s">
        <v>50</v>
      </c>
      <c r="G158" t="s">
        <v>62</v>
      </c>
      <c r="H158" t="s">
        <v>52</v>
      </c>
      <c r="I158" t="s">
        <v>153</v>
      </c>
      <c r="J158">
        <v>7</v>
      </c>
      <c r="K158">
        <v>5</v>
      </c>
      <c r="L158">
        <v>4220</v>
      </c>
      <c r="M158">
        <v>2460</v>
      </c>
      <c r="N158" t="s">
        <v>73</v>
      </c>
      <c r="O158" t="s">
        <v>239</v>
      </c>
      <c r="P158">
        <v>0</v>
      </c>
      <c r="Q158">
        <v>1</v>
      </c>
      <c r="R158">
        <v>0</v>
      </c>
      <c r="S158">
        <v>0</v>
      </c>
      <c r="T158">
        <v>7</v>
      </c>
      <c r="U158">
        <v>7</v>
      </c>
      <c r="V158">
        <v>11</v>
      </c>
      <c r="W158">
        <v>10</v>
      </c>
      <c r="X158">
        <v>10</v>
      </c>
      <c r="Y158">
        <v>11</v>
      </c>
      <c r="Z158">
        <v>3</v>
      </c>
      <c r="AA158">
        <v>1</v>
      </c>
      <c r="AB158">
        <v>1</v>
      </c>
      <c r="AC158">
        <v>1</v>
      </c>
      <c r="AD158">
        <v>14</v>
      </c>
      <c r="AE158">
        <v>14</v>
      </c>
      <c r="AF158">
        <v>9</v>
      </c>
      <c r="AG158">
        <v>5</v>
      </c>
      <c r="AH158">
        <v>-1</v>
      </c>
      <c r="AI158">
        <v>0</v>
      </c>
      <c r="AJ158" t="s">
        <v>178</v>
      </c>
      <c r="AK158">
        <v>0</v>
      </c>
    </row>
    <row r="159" spans="1:37" x14ac:dyDescent="0.25">
      <c r="A159">
        <v>2024</v>
      </c>
      <c r="B159" s="1">
        <v>45550</v>
      </c>
      <c r="C159">
        <v>26</v>
      </c>
      <c r="D159">
        <v>65200</v>
      </c>
      <c r="E159">
        <v>78838</v>
      </c>
      <c r="F159" t="s">
        <v>77</v>
      </c>
      <c r="G159" t="s">
        <v>82</v>
      </c>
      <c r="H159" t="s">
        <v>79</v>
      </c>
      <c r="I159" t="s">
        <v>160</v>
      </c>
      <c r="J159">
        <v>4</v>
      </c>
      <c r="K159">
        <v>9</v>
      </c>
      <c r="L159">
        <v>6350</v>
      </c>
      <c r="M159">
        <v>3000</v>
      </c>
      <c r="N159" t="s">
        <v>111</v>
      </c>
      <c r="O159" t="s">
        <v>200</v>
      </c>
      <c r="P159">
        <v>1</v>
      </c>
      <c r="Q159">
        <v>1</v>
      </c>
      <c r="R159">
        <v>0</v>
      </c>
      <c r="S159">
        <v>0</v>
      </c>
      <c r="T159">
        <v>5</v>
      </c>
      <c r="U159">
        <v>6</v>
      </c>
      <c r="V159">
        <v>10</v>
      </c>
      <c r="W159">
        <v>10</v>
      </c>
      <c r="X159">
        <v>10</v>
      </c>
      <c r="Y159">
        <v>8</v>
      </c>
      <c r="Z159">
        <v>1</v>
      </c>
      <c r="AA159">
        <v>2</v>
      </c>
      <c r="AB159">
        <v>3</v>
      </c>
      <c r="AC159">
        <v>1</v>
      </c>
      <c r="AD159">
        <v>17</v>
      </c>
      <c r="AE159">
        <v>9</v>
      </c>
      <c r="AF159">
        <v>9</v>
      </c>
      <c r="AG159">
        <v>3</v>
      </c>
      <c r="AH159">
        <v>0</v>
      </c>
      <c r="AI159">
        <v>0</v>
      </c>
      <c r="AJ159" t="s">
        <v>272</v>
      </c>
      <c r="AK159">
        <v>0</v>
      </c>
    </row>
    <row r="160" spans="1:37" x14ac:dyDescent="0.25">
      <c r="A160">
        <v>2024</v>
      </c>
      <c r="B160" s="1">
        <v>45550</v>
      </c>
      <c r="C160">
        <v>26</v>
      </c>
      <c r="D160">
        <v>6232</v>
      </c>
      <c r="E160">
        <v>23726</v>
      </c>
      <c r="F160" t="s">
        <v>44</v>
      </c>
      <c r="G160" t="s">
        <v>55</v>
      </c>
      <c r="H160" t="s">
        <v>78</v>
      </c>
      <c r="I160" t="s">
        <v>240</v>
      </c>
      <c r="J160">
        <v>13</v>
      </c>
      <c r="K160">
        <v>15</v>
      </c>
      <c r="L160">
        <v>1040</v>
      </c>
      <c r="M160">
        <v>3335</v>
      </c>
      <c r="N160" t="s">
        <v>166</v>
      </c>
      <c r="O160">
        <v>31</v>
      </c>
      <c r="P160">
        <v>2</v>
      </c>
      <c r="Q160">
        <v>1</v>
      </c>
      <c r="R160">
        <v>0</v>
      </c>
      <c r="S160">
        <v>1</v>
      </c>
      <c r="T160">
        <v>8</v>
      </c>
      <c r="U160">
        <v>5</v>
      </c>
      <c r="V160">
        <v>8</v>
      </c>
      <c r="W160">
        <v>9</v>
      </c>
      <c r="X160">
        <v>9</v>
      </c>
      <c r="Y160">
        <v>7</v>
      </c>
      <c r="Z160">
        <v>0</v>
      </c>
      <c r="AA160">
        <v>3</v>
      </c>
      <c r="AB160">
        <v>2</v>
      </c>
      <c r="AC160">
        <v>1</v>
      </c>
      <c r="AD160">
        <v>12</v>
      </c>
      <c r="AE160">
        <v>8</v>
      </c>
      <c r="AF160">
        <v>4</v>
      </c>
      <c r="AG160">
        <v>5</v>
      </c>
      <c r="AH160">
        <v>1</v>
      </c>
      <c r="AI160">
        <v>1</v>
      </c>
      <c r="AJ160" t="s">
        <v>182</v>
      </c>
      <c r="AK160">
        <v>0</v>
      </c>
    </row>
    <row r="161" spans="1:37" hidden="1" x14ac:dyDescent="0.25">
      <c r="A161">
        <v>2024</v>
      </c>
      <c r="B161" s="1">
        <v>45556</v>
      </c>
      <c r="C161">
        <v>27</v>
      </c>
      <c r="D161">
        <v>46001</v>
      </c>
      <c r="F161" t="s">
        <v>88</v>
      </c>
      <c r="G161" t="s">
        <v>76</v>
      </c>
      <c r="H161" t="s">
        <v>84</v>
      </c>
      <c r="I161" t="s">
        <v>238</v>
      </c>
      <c r="J161">
        <v>18</v>
      </c>
      <c r="K161">
        <v>20</v>
      </c>
      <c r="L161">
        <v>3650</v>
      </c>
      <c r="M161">
        <v>765</v>
      </c>
      <c r="N161" t="s">
        <v>41</v>
      </c>
      <c r="O161" t="s">
        <v>114</v>
      </c>
      <c r="P161">
        <v>3</v>
      </c>
      <c r="Q161">
        <v>0</v>
      </c>
      <c r="R161">
        <v>1</v>
      </c>
      <c r="S161">
        <v>0</v>
      </c>
      <c r="T161">
        <v>6</v>
      </c>
      <c r="U161">
        <v>1</v>
      </c>
      <c r="V161">
        <v>7</v>
      </c>
      <c r="W161">
        <v>17</v>
      </c>
      <c r="X161">
        <v>16</v>
      </c>
      <c r="Y161">
        <v>7</v>
      </c>
      <c r="Z161">
        <v>3</v>
      </c>
      <c r="AA161">
        <v>3</v>
      </c>
      <c r="AB161">
        <v>3</v>
      </c>
      <c r="AC161">
        <v>1</v>
      </c>
      <c r="AD161">
        <v>17</v>
      </c>
      <c r="AE161">
        <v>14</v>
      </c>
      <c r="AF161">
        <v>5</v>
      </c>
      <c r="AG161">
        <v>8</v>
      </c>
      <c r="AH161">
        <v>3</v>
      </c>
      <c r="AI161">
        <v>1</v>
      </c>
    </row>
    <row r="162" spans="1:37" x14ac:dyDescent="0.25">
      <c r="A162">
        <v>2024</v>
      </c>
      <c r="B162" s="1">
        <v>45550</v>
      </c>
      <c r="C162">
        <v>26</v>
      </c>
      <c r="D162">
        <v>5228</v>
      </c>
      <c r="E162">
        <v>15010</v>
      </c>
      <c r="F162" t="s">
        <v>56</v>
      </c>
      <c r="G162" t="s">
        <v>83</v>
      </c>
      <c r="H162" t="s">
        <v>58</v>
      </c>
      <c r="I162" t="s">
        <v>85</v>
      </c>
      <c r="J162">
        <v>12</v>
      </c>
      <c r="K162">
        <v>16</v>
      </c>
      <c r="L162">
        <v>3330</v>
      </c>
      <c r="M162">
        <v>3990</v>
      </c>
      <c r="N162" t="s">
        <v>217</v>
      </c>
      <c r="O162" t="s">
        <v>166</v>
      </c>
      <c r="P162">
        <v>2</v>
      </c>
      <c r="Q162">
        <v>2</v>
      </c>
      <c r="R162">
        <v>1</v>
      </c>
      <c r="S162">
        <v>1</v>
      </c>
      <c r="T162">
        <v>6</v>
      </c>
      <c r="U162">
        <v>7</v>
      </c>
      <c r="V162">
        <v>12</v>
      </c>
      <c r="W162">
        <v>7</v>
      </c>
      <c r="X162">
        <v>7</v>
      </c>
      <c r="Y162">
        <v>12</v>
      </c>
      <c r="Z162">
        <v>2</v>
      </c>
      <c r="AA162">
        <v>4</v>
      </c>
      <c r="AB162">
        <v>2</v>
      </c>
      <c r="AC162">
        <v>1</v>
      </c>
      <c r="AD162">
        <v>23</v>
      </c>
      <c r="AE162">
        <v>8</v>
      </c>
      <c r="AF162">
        <v>9</v>
      </c>
      <c r="AG162">
        <v>3</v>
      </c>
      <c r="AH162">
        <v>0</v>
      </c>
      <c r="AI162">
        <v>0</v>
      </c>
      <c r="AJ162" t="s">
        <v>188</v>
      </c>
      <c r="AK162">
        <v>0</v>
      </c>
    </row>
    <row r="163" spans="1:37" x14ac:dyDescent="0.25">
      <c r="A163">
        <v>2024</v>
      </c>
      <c r="B163" s="1">
        <v>45550</v>
      </c>
      <c r="C163">
        <v>26</v>
      </c>
      <c r="D163">
        <v>37244</v>
      </c>
      <c r="E163">
        <v>43713</v>
      </c>
      <c r="F163" t="s">
        <v>95</v>
      </c>
      <c r="G163" t="s">
        <v>43</v>
      </c>
      <c r="H163" t="s">
        <v>97</v>
      </c>
      <c r="I163" t="s">
        <v>45</v>
      </c>
      <c r="J163">
        <v>2</v>
      </c>
      <c r="K163">
        <v>14</v>
      </c>
      <c r="L163">
        <v>10160</v>
      </c>
      <c r="M163">
        <v>883</v>
      </c>
      <c r="N163" t="s">
        <v>41</v>
      </c>
      <c r="O163" t="s">
        <v>74</v>
      </c>
      <c r="P163">
        <v>5</v>
      </c>
      <c r="Q163">
        <v>0</v>
      </c>
      <c r="R163">
        <v>3</v>
      </c>
      <c r="S163">
        <v>0</v>
      </c>
      <c r="T163">
        <v>4</v>
      </c>
      <c r="U163">
        <v>6</v>
      </c>
      <c r="V163">
        <v>12</v>
      </c>
      <c r="W163">
        <v>11</v>
      </c>
      <c r="X163">
        <v>11</v>
      </c>
      <c r="Y163">
        <v>11</v>
      </c>
      <c r="Z163">
        <v>5</v>
      </c>
      <c r="AA163">
        <v>4</v>
      </c>
      <c r="AB163">
        <v>3</v>
      </c>
      <c r="AC163">
        <v>2</v>
      </c>
      <c r="AD163">
        <v>14</v>
      </c>
      <c r="AE163">
        <v>14</v>
      </c>
      <c r="AF163">
        <v>3</v>
      </c>
      <c r="AG163">
        <v>6</v>
      </c>
      <c r="AH163">
        <v>5</v>
      </c>
      <c r="AI163">
        <v>1</v>
      </c>
      <c r="AJ163" t="s">
        <v>273</v>
      </c>
      <c r="AK163">
        <v>1</v>
      </c>
    </row>
    <row r="164" spans="1:37" x14ac:dyDescent="0.25">
      <c r="A164">
        <v>2024</v>
      </c>
      <c r="B164" s="1">
        <v>45550</v>
      </c>
      <c r="C164">
        <v>26</v>
      </c>
      <c r="D164">
        <v>26420</v>
      </c>
      <c r="E164">
        <v>47364</v>
      </c>
      <c r="F164" t="s">
        <v>38</v>
      </c>
      <c r="G164" t="s">
        <v>89</v>
      </c>
      <c r="H164" t="s">
        <v>40</v>
      </c>
      <c r="I164" t="s">
        <v>91</v>
      </c>
      <c r="J164">
        <v>6</v>
      </c>
      <c r="K164">
        <v>10</v>
      </c>
      <c r="L164">
        <v>3745</v>
      </c>
      <c r="M164">
        <v>2455</v>
      </c>
      <c r="N164" t="s">
        <v>100</v>
      </c>
      <c r="O164" t="s">
        <v>137</v>
      </c>
      <c r="P164">
        <v>3</v>
      </c>
      <c r="Q164">
        <v>0</v>
      </c>
      <c r="R164">
        <v>0</v>
      </c>
      <c r="S164">
        <v>0</v>
      </c>
      <c r="T164">
        <v>6</v>
      </c>
      <c r="U164">
        <v>1</v>
      </c>
      <c r="V164">
        <v>17</v>
      </c>
      <c r="W164">
        <v>16</v>
      </c>
      <c r="X164">
        <v>16</v>
      </c>
      <c r="Y164">
        <v>16</v>
      </c>
      <c r="Z164">
        <v>2</v>
      </c>
      <c r="AA164">
        <v>1</v>
      </c>
      <c r="AB164">
        <v>1</v>
      </c>
      <c r="AC164">
        <v>3</v>
      </c>
      <c r="AD164">
        <v>16</v>
      </c>
      <c r="AE164">
        <v>5</v>
      </c>
      <c r="AF164">
        <v>6</v>
      </c>
      <c r="AG164">
        <v>1</v>
      </c>
      <c r="AH164">
        <v>3</v>
      </c>
      <c r="AI164">
        <v>1</v>
      </c>
      <c r="AJ164" t="s">
        <v>274</v>
      </c>
      <c r="AK164">
        <v>0</v>
      </c>
    </row>
    <row r="165" spans="1:37" x14ac:dyDescent="0.25">
      <c r="A165">
        <v>2024</v>
      </c>
      <c r="B165" s="1">
        <v>45552</v>
      </c>
      <c r="C165">
        <v>26</v>
      </c>
      <c r="D165">
        <v>35366</v>
      </c>
      <c r="E165">
        <v>50848</v>
      </c>
      <c r="F165" t="s">
        <v>37</v>
      </c>
      <c r="G165" t="s">
        <v>70</v>
      </c>
      <c r="H165" t="s">
        <v>46</v>
      </c>
      <c r="I165" t="s">
        <v>237</v>
      </c>
      <c r="J165">
        <v>8</v>
      </c>
      <c r="K165">
        <v>19</v>
      </c>
      <c r="L165">
        <v>4175</v>
      </c>
      <c r="M165">
        <v>1620</v>
      </c>
      <c r="N165" t="s">
        <v>66</v>
      </c>
      <c r="O165" t="s">
        <v>235</v>
      </c>
      <c r="P165">
        <v>3</v>
      </c>
      <c r="Q165">
        <v>0</v>
      </c>
      <c r="R165">
        <v>2</v>
      </c>
      <c r="S165">
        <v>0</v>
      </c>
      <c r="T165">
        <v>2</v>
      </c>
      <c r="U165">
        <v>3</v>
      </c>
      <c r="V165">
        <v>8</v>
      </c>
      <c r="W165">
        <v>10</v>
      </c>
      <c r="X165">
        <v>9</v>
      </c>
      <c r="Y165">
        <v>7</v>
      </c>
      <c r="Z165">
        <v>0</v>
      </c>
      <c r="AA165">
        <v>4</v>
      </c>
      <c r="AB165">
        <v>3</v>
      </c>
      <c r="AC165">
        <v>2</v>
      </c>
      <c r="AD165">
        <v>15</v>
      </c>
      <c r="AE165">
        <v>2</v>
      </c>
      <c r="AF165">
        <v>6</v>
      </c>
      <c r="AG165">
        <v>2</v>
      </c>
      <c r="AH165">
        <v>3</v>
      </c>
      <c r="AI165">
        <v>1</v>
      </c>
      <c r="AJ165" t="s">
        <v>275</v>
      </c>
      <c r="AK165">
        <v>0</v>
      </c>
    </row>
    <row r="166" spans="1:37" x14ac:dyDescent="0.25">
      <c r="A166">
        <v>2024</v>
      </c>
      <c r="B166" s="1">
        <v>45556</v>
      </c>
      <c r="C166">
        <v>27</v>
      </c>
      <c r="D166">
        <v>24479</v>
      </c>
      <c r="E166">
        <v>30618</v>
      </c>
      <c r="F166" t="s">
        <v>94</v>
      </c>
      <c r="G166" t="s">
        <v>44</v>
      </c>
      <c r="H166" t="s">
        <v>64</v>
      </c>
      <c r="I166" t="s">
        <v>78</v>
      </c>
      <c r="J166">
        <v>17</v>
      </c>
      <c r="K166">
        <v>13</v>
      </c>
      <c r="L166">
        <v>1130</v>
      </c>
      <c r="M166">
        <v>835</v>
      </c>
      <c r="N166" t="s">
        <v>129</v>
      </c>
      <c r="O166" t="s">
        <v>193</v>
      </c>
      <c r="P166">
        <v>1</v>
      </c>
      <c r="Q166">
        <v>0</v>
      </c>
      <c r="R166">
        <v>1</v>
      </c>
      <c r="S166">
        <v>0</v>
      </c>
      <c r="T166">
        <v>4</v>
      </c>
      <c r="U166">
        <v>5</v>
      </c>
      <c r="V166">
        <v>12</v>
      </c>
      <c r="W166">
        <v>15</v>
      </c>
      <c r="X166">
        <v>15</v>
      </c>
      <c r="Y166">
        <v>10</v>
      </c>
      <c r="Z166">
        <v>2</v>
      </c>
      <c r="AA166">
        <v>1</v>
      </c>
      <c r="AB166">
        <v>3</v>
      </c>
      <c r="AC166">
        <v>0</v>
      </c>
      <c r="AD166">
        <v>13</v>
      </c>
      <c r="AE166">
        <v>11</v>
      </c>
      <c r="AF166">
        <v>8</v>
      </c>
      <c r="AG166">
        <v>6</v>
      </c>
      <c r="AH166">
        <v>1</v>
      </c>
      <c r="AI166">
        <v>1</v>
      </c>
      <c r="AJ166" t="s">
        <v>276</v>
      </c>
      <c r="AK166">
        <v>0</v>
      </c>
    </row>
    <row r="167" spans="1:37" x14ac:dyDescent="0.25">
      <c r="A167">
        <v>2024</v>
      </c>
      <c r="B167" s="1">
        <v>45556</v>
      </c>
      <c r="C167">
        <v>27</v>
      </c>
      <c r="D167">
        <v>22000</v>
      </c>
      <c r="E167">
        <v>82238</v>
      </c>
      <c r="F167" t="s">
        <v>55</v>
      </c>
      <c r="G167" t="s">
        <v>51</v>
      </c>
      <c r="H167" t="s">
        <v>240</v>
      </c>
      <c r="I167" t="s">
        <v>53</v>
      </c>
      <c r="J167">
        <v>16</v>
      </c>
      <c r="K167">
        <v>1</v>
      </c>
      <c r="L167">
        <v>3400</v>
      </c>
      <c r="M167">
        <v>4110</v>
      </c>
      <c r="N167" t="s">
        <v>67</v>
      </c>
      <c r="O167" t="s">
        <v>66</v>
      </c>
      <c r="P167">
        <v>0</v>
      </c>
      <c r="Q167">
        <v>1</v>
      </c>
      <c r="R167">
        <v>0</v>
      </c>
      <c r="S167">
        <v>0</v>
      </c>
      <c r="T167">
        <v>5</v>
      </c>
      <c r="U167">
        <v>4</v>
      </c>
      <c r="V167">
        <v>13</v>
      </c>
      <c r="W167">
        <v>17</v>
      </c>
      <c r="X167">
        <v>16</v>
      </c>
      <c r="Y167">
        <v>13</v>
      </c>
      <c r="Z167">
        <v>6</v>
      </c>
      <c r="AA167">
        <v>5</v>
      </c>
      <c r="AB167">
        <v>0</v>
      </c>
      <c r="AC167">
        <v>3</v>
      </c>
      <c r="AD167">
        <v>13</v>
      </c>
      <c r="AE167">
        <v>9</v>
      </c>
      <c r="AF167">
        <v>7</v>
      </c>
      <c r="AG167">
        <v>1</v>
      </c>
      <c r="AH167">
        <v>-1</v>
      </c>
      <c r="AI167">
        <v>0</v>
      </c>
      <c r="AJ167" t="s">
        <v>127</v>
      </c>
      <c r="AK167">
        <v>0</v>
      </c>
    </row>
    <row r="168" spans="1:37" x14ac:dyDescent="0.25">
      <c r="A168">
        <v>2024</v>
      </c>
      <c r="B168" s="1">
        <v>45557</v>
      </c>
      <c r="C168">
        <v>27</v>
      </c>
      <c r="D168">
        <v>5948</v>
      </c>
      <c r="E168">
        <v>42968</v>
      </c>
      <c r="F168" t="s">
        <v>70</v>
      </c>
      <c r="G168" t="s">
        <v>50</v>
      </c>
      <c r="H168" t="s">
        <v>237</v>
      </c>
      <c r="I168" t="s">
        <v>52</v>
      </c>
      <c r="J168">
        <v>19</v>
      </c>
      <c r="K168">
        <v>8</v>
      </c>
      <c r="L168">
        <v>1390</v>
      </c>
      <c r="M168">
        <v>2540</v>
      </c>
      <c r="N168" t="s">
        <v>74</v>
      </c>
      <c r="O168" t="s">
        <v>80</v>
      </c>
      <c r="P168">
        <v>0</v>
      </c>
      <c r="Q168">
        <v>0</v>
      </c>
      <c r="R168">
        <v>0</v>
      </c>
      <c r="S168">
        <v>0</v>
      </c>
      <c r="T168">
        <v>4</v>
      </c>
      <c r="U168">
        <v>5</v>
      </c>
      <c r="V168">
        <v>10</v>
      </c>
      <c r="W168">
        <v>10</v>
      </c>
      <c r="X168">
        <v>10</v>
      </c>
      <c r="Y168">
        <v>10</v>
      </c>
      <c r="Z168">
        <v>2</v>
      </c>
      <c r="AA168">
        <v>4</v>
      </c>
      <c r="AB168">
        <v>2</v>
      </c>
      <c r="AC168">
        <v>0</v>
      </c>
      <c r="AD168">
        <v>9</v>
      </c>
      <c r="AE168">
        <v>13</v>
      </c>
      <c r="AF168">
        <v>5</v>
      </c>
      <c r="AG168">
        <v>5</v>
      </c>
      <c r="AH168">
        <v>0</v>
      </c>
      <c r="AI168">
        <v>0</v>
      </c>
      <c r="AJ168" t="s">
        <v>277</v>
      </c>
      <c r="AK168">
        <v>0</v>
      </c>
    </row>
    <row r="169" spans="1:37" x14ac:dyDescent="0.25">
      <c r="A169">
        <v>2024</v>
      </c>
      <c r="B169" s="1">
        <v>45557</v>
      </c>
      <c r="C169">
        <v>27</v>
      </c>
      <c r="D169">
        <v>48504</v>
      </c>
      <c r="E169">
        <v>60540</v>
      </c>
      <c r="F169" t="s">
        <v>83</v>
      </c>
      <c r="G169" t="s">
        <v>77</v>
      </c>
      <c r="H169" t="s">
        <v>85</v>
      </c>
      <c r="I169" t="s">
        <v>79</v>
      </c>
      <c r="J169">
        <v>15</v>
      </c>
      <c r="K169">
        <v>4</v>
      </c>
      <c r="L169">
        <v>4100</v>
      </c>
      <c r="M169">
        <v>5330</v>
      </c>
      <c r="N169" t="s">
        <v>105</v>
      </c>
      <c r="O169" t="s">
        <v>278</v>
      </c>
      <c r="P169">
        <v>3</v>
      </c>
      <c r="Q169">
        <v>2</v>
      </c>
      <c r="R169">
        <v>1</v>
      </c>
      <c r="S169">
        <v>1</v>
      </c>
      <c r="T169">
        <v>4</v>
      </c>
      <c r="U169">
        <v>6</v>
      </c>
      <c r="V169">
        <v>6</v>
      </c>
      <c r="W169">
        <v>13</v>
      </c>
      <c r="X169">
        <v>12</v>
      </c>
      <c r="Y169">
        <v>5</v>
      </c>
      <c r="Z169">
        <v>6</v>
      </c>
      <c r="AA169">
        <v>1</v>
      </c>
      <c r="AB169">
        <v>1</v>
      </c>
      <c r="AC169">
        <v>1</v>
      </c>
      <c r="AD169">
        <v>12</v>
      </c>
      <c r="AE169">
        <v>20</v>
      </c>
      <c r="AF169">
        <v>5</v>
      </c>
      <c r="AG169">
        <v>7</v>
      </c>
      <c r="AH169">
        <v>1</v>
      </c>
      <c r="AI169">
        <v>1</v>
      </c>
      <c r="AJ169" t="s">
        <v>279</v>
      </c>
      <c r="AK169">
        <v>0</v>
      </c>
    </row>
    <row r="170" spans="1:37" x14ac:dyDescent="0.25">
      <c r="A170">
        <v>2024</v>
      </c>
      <c r="B170" s="1">
        <v>45557</v>
      </c>
      <c r="C170">
        <v>27</v>
      </c>
      <c r="D170">
        <v>34533</v>
      </c>
      <c r="E170">
        <v>46000</v>
      </c>
      <c r="F170" t="s">
        <v>89</v>
      </c>
      <c r="G170" t="s">
        <v>56</v>
      </c>
      <c r="H170" t="s">
        <v>91</v>
      </c>
      <c r="I170" t="s">
        <v>58</v>
      </c>
      <c r="J170">
        <v>9</v>
      </c>
      <c r="K170">
        <v>12</v>
      </c>
      <c r="L170">
        <v>3185</v>
      </c>
      <c r="M170">
        <v>3075</v>
      </c>
      <c r="N170" t="s">
        <v>135</v>
      </c>
      <c r="O170" t="s">
        <v>99</v>
      </c>
      <c r="P170">
        <v>3</v>
      </c>
      <c r="Q170">
        <v>0</v>
      </c>
      <c r="R170">
        <v>1</v>
      </c>
      <c r="S170">
        <v>0</v>
      </c>
      <c r="T170">
        <v>4</v>
      </c>
      <c r="U170">
        <v>2</v>
      </c>
      <c r="V170">
        <v>14</v>
      </c>
      <c r="W170">
        <v>9</v>
      </c>
      <c r="X170">
        <v>9</v>
      </c>
      <c r="Y170">
        <v>14</v>
      </c>
      <c r="Z170">
        <v>3</v>
      </c>
      <c r="AA170">
        <v>5</v>
      </c>
      <c r="AB170">
        <v>2</v>
      </c>
      <c r="AC170">
        <v>1</v>
      </c>
      <c r="AD170">
        <v>13</v>
      </c>
      <c r="AE170">
        <v>8</v>
      </c>
      <c r="AF170">
        <v>5</v>
      </c>
      <c r="AG170">
        <v>3</v>
      </c>
      <c r="AH170">
        <v>3</v>
      </c>
      <c r="AI170">
        <v>1</v>
      </c>
      <c r="AJ170" t="s">
        <v>280</v>
      </c>
      <c r="AK170">
        <v>0</v>
      </c>
    </row>
    <row r="171" spans="1:37" x14ac:dyDescent="0.25">
      <c r="A171">
        <v>2024</v>
      </c>
      <c r="B171" s="1">
        <v>45557</v>
      </c>
      <c r="C171">
        <v>27</v>
      </c>
      <c r="D171">
        <v>35111</v>
      </c>
      <c r="E171">
        <v>72039</v>
      </c>
      <c r="F171" t="s">
        <v>62</v>
      </c>
      <c r="G171" t="s">
        <v>37</v>
      </c>
      <c r="H171" t="s">
        <v>153</v>
      </c>
      <c r="I171" t="s">
        <v>46</v>
      </c>
      <c r="J171">
        <v>5</v>
      </c>
      <c r="K171">
        <v>6</v>
      </c>
      <c r="L171">
        <v>2910</v>
      </c>
      <c r="M171">
        <v>4225</v>
      </c>
      <c r="N171" t="s">
        <v>41</v>
      </c>
      <c r="O171" t="s">
        <v>129</v>
      </c>
      <c r="P171">
        <v>1</v>
      </c>
      <c r="Q171">
        <v>3</v>
      </c>
      <c r="R171">
        <v>1</v>
      </c>
      <c r="S171">
        <v>1</v>
      </c>
      <c r="T171">
        <v>2</v>
      </c>
      <c r="U171">
        <v>4</v>
      </c>
      <c r="V171">
        <v>18</v>
      </c>
      <c r="W171">
        <v>16</v>
      </c>
      <c r="X171">
        <v>15</v>
      </c>
      <c r="Y171">
        <v>17</v>
      </c>
      <c r="Z171">
        <v>3</v>
      </c>
      <c r="AA171">
        <v>1</v>
      </c>
      <c r="AB171">
        <v>6</v>
      </c>
      <c r="AC171">
        <v>2</v>
      </c>
      <c r="AD171">
        <v>7</v>
      </c>
      <c r="AE171">
        <v>14</v>
      </c>
      <c r="AF171">
        <v>3</v>
      </c>
      <c r="AG171">
        <v>4</v>
      </c>
      <c r="AH171">
        <v>-2</v>
      </c>
      <c r="AI171">
        <v>0</v>
      </c>
      <c r="AJ171" t="s">
        <v>187</v>
      </c>
      <c r="AK171">
        <v>0</v>
      </c>
    </row>
    <row r="172" spans="1:37" x14ac:dyDescent="0.25">
      <c r="A172">
        <v>2024</v>
      </c>
      <c r="B172" s="1">
        <v>45557</v>
      </c>
      <c r="C172">
        <v>27</v>
      </c>
      <c r="D172">
        <v>25755</v>
      </c>
      <c r="E172">
        <v>72788</v>
      </c>
      <c r="F172" t="s">
        <v>82</v>
      </c>
      <c r="G172" t="s">
        <v>95</v>
      </c>
      <c r="H172" t="s">
        <v>160</v>
      </c>
      <c r="I172" t="s">
        <v>97</v>
      </c>
      <c r="J172">
        <v>10</v>
      </c>
      <c r="K172">
        <v>2</v>
      </c>
      <c r="L172">
        <v>3300</v>
      </c>
      <c r="M172">
        <v>9550</v>
      </c>
      <c r="N172" t="s">
        <v>100</v>
      </c>
      <c r="O172" t="s">
        <v>116</v>
      </c>
      <c r="P172">
        <v>0</v>
      </c>
      <c r="Q172">
        <v>1</v>
      </c>
      <c r="R172">
        <v>0</v>
      </c>
      <c r="S172">
        <v>1</v>
      </c>
      <c r="T172">
        <v>5</v>
      </c>
      <c r="U172">
        <v>5</v>
      </c>
      <c r="V172">
        <v>8</v>
      </c>
      <c r="W172">
        <v>14</v>
      </c>
      <c r="X172">
        <v>14</v>
      </c>
      <c r="Y172">
        <v>8</v>
      </c>
      <c r="Z172">
        <v>2</v>
      </c>
      <c r="AA172">
        <v>3</v>
      </c>
      <c r="AB172">
        <v>0</v>
      </c>
      <c r="AC172">
        <v>2</v>
      </c>
      <c r="AD172">
        <v>10</v>
      </c>
      <c r="AE172">
        <v>14</v>
      </c>
      <c r="AF172">
        <v>6</v>
      </c>
      <c r="AG172">
        <v>8</v>
      </c>
      <c r="AH172">
        <v>-1</v>
      </c>
      <c r="AI172">
        <v>0</v>
      </c>
      <c r="AJ172" t="s">
        <v>121</v>
      </c>
      <c r="AK172">
        <v>0</v>
      </c>
    </row>
    <row r="173" spans="1:37" x14ac:dyDescent="0.25">
      <c r="A173">
        <v>2024</v>
      </c>
      <c r="B173" s="1">
        <v>45557</v>
      </c>
      <c r="C173">
        <v>27</v>
      </c>
      <c r="D173">
        <v>42051</v>
      </c>
      <c r="E173">
        <v>60326</v>
      </c>
      <c r="F173" t="s">
        <v>63</v>
      </c>
      <c r="G173" t="s">
        <v>38</v>
      </c>
      <c r="H173" t="s">
        <v>65</v>
      </c>
      <c r="I173" t="s">
        <v>40</v>
      </c>
      <c r="J173">
        <v>3</v>
      </c>
      <c r="K173">
        <v>7</v>
      </c>
      <c r="L173">
        <v>1745</v>
      </c>
      <c r="M173">
        <v>3445</v>
      </c>
      <c r="N173" t="s">
        <v>193</v>
      </c>
      <c r="O173" t="s">
        <v>111</v>
      </c>
      <c r="P173">
        <v>4</v>
      </c>
      <c r="Q173">
        <v>1</v>
      </c>
      <c r="R173">
        <v>2</v>
      </c>
      <c r="S173">
        <v>1</v>
      </c>
      <c r="T173">
        <v>2</v>
      </c>
      <c r="U173">
        <v>1</v>
      </c>
      <c r="V173">
        <v>13</v>
      </c>
      <c r="W173">
        <v>9</v>
      </c>
      <c r="X173">
        <v>9</v>
      </c>
      <c r="Y173">
        <v>10</v>
      </c>
      <c r="Z173">
        <v>3</v>
      </c>
      <c r="AA173">
        <v>3</v>
      </c>
      <c r="AB173">
        <v>3</v>
      </c>
      <c r="AC173">
        <v>4</v>
      </c>
      <c r="AD173">
        <v>11</v>
      </c>
      <c r="AE173">
        <v>9</v>
      </c>
      <c r="AF173">
        <v>1</v>
      </c>
      <c r="AG173">
        <v>2</v>
      </c>
      <c r="AH173">
        <v>3</v>
      </c>
      <c r="AI173">
        <v>1</v>
      </c>
      <c r="AJ173" t="s">
        <v>281</v>
      </c>
      <c r="AK173">
        <v>1</v>
      </c>
    </row>
    <row r="174" spans="1:37" x14ac:dyDescent="0.25">
      <c r="A174">
        <v>2024</v>
      </c>
      <c r="B174" s="1">
        <v>45558</v>
      </c>
      <c r="C174">
        <v>27</v>
      </c>
      <c r="D174">
        <v>12765</v>
      </c>
      <c r="E174">
        <v>19225</v>
      </c>
      <c r="F174" t="s">
        <v>43</v>
      </c>
      <c r="G174" t="s">
        <v>69</v>
      </c>
      <c r="H174" t="s">
        <v>45</v>
      </c>
      <c r="I174" t="s">
        <v>249</v>
      </c>
      <c r="J174">
        <v>14</v>
      </c>
      <c r="K174">
        <v>11</v>
      </c>
      <c r="L174">
        <v>680</v>
      </c>
      <c r="M174">
        <v>2010</v>
      </c>
      <c r="N174" t="s">
        <v>142</v>
      </c>
      <c r="O174" t="s">
        <v>233</v>
      </c>
      <c r="P174">
        <v>0</v>
      </c>
      <c r="Q174">
        <v>0</v>
      </c>
      <c r="R174">
        <v>0</v>
      </c>
      <c r="S174">
        <v>0</v>
      </c>
      <c r="T174">
        <v>12</v>
      </c>
      <c r="U174">
        <v>1</v>
      </c>
      <c r="V174">
        <v>11</v>
      </c>
      <c r="W174">
        <v>12</v>
      </c>
      <c r="X174">
        <v>12</v>
      </c>
      <c r="Y174">
        <v>10</v>
      </c>
      <c r="Z174">
        <v>3</v>
      </c>
      <c r="AA174">
        <v>7</v>
      </c>
      <c r="AB174">
        <v>0</v>
      </c>
      <c r="AC174">
        <v>0</v>
      </c>
      <c r="AD174">
        <v>25</v>
      </c>
      <c r="AE174">
        <v>10</v>
      </c>
      <c r="AF174">
        <v>12</v>
      </c>
      <c r="AG174">
        <v>5</v>
      </c>
      <c r="AH174">
        <v>0</v>
      </c>
      <c r="AI174">
        <v>0</v>
      </c>
      <c r="AJ174" t="s">
        <v>282</v>
      </c>
      <c r="AK174">
        <v>0</v>
      </c>
    </row>
    <row r="175" spans="1:37" x14ac:dyDescent="0.25">
      <c r="A175">
        <v>2024</v>
      </c>
      <c r="B175" s="1">
        <v>45563</v>
      </c>
      <c r="C175">
        <v>28</v>
      </c>
      <c r="D175">
        <v>16040</v>
      </c>
      <c r="E175">
        <v>32713</v>
      </c>
      <c r="F175" t="s">
        <v>95</v>
      </c>
      <c r="G175" t="s">
        <v>89</v>
      </c>
      <c r="H175" t="s">
        <v>97</v>
      </c>
      <c r="I175" t="s">
        <v>91</v>
      </c>
      <c r="J175">
        <v>2</v>
      </c>
      <c r="K175">
        <v>10</v>
      </c>
      <c r="L175">
        <v>8650</v>
      </c>
      <c r="M175">
        <v>3960</v>
      </c>
      <c r="N175" t="s">
        <v>168</v>
      </c>
      <c r="O175" t="s">
        <v>92</v>
      </c>
      <c r="P175">
        <v>2</v>
      </c>
      <c r="Q175">
        <v>1</v>
      </c>
      <c r="R175">
        <v>1</v>
      </c>
      <c r="S175">
        <v>0</v>
      </c>
      <c r="T175">
        <v>7</v>
      </c>
      <c r="U175">
        <v>3</v>
      </c>
      <c r="V175">
        <v>15</v>
      </c>
      <c r="W175">
        <v>10</v>
      </c>
      <c r="X175">
        <v>10</v>
      </c>
      <c r="Y175">
        <v>15</v>
      </c>
      <c r="Z175">
        <v>3</v>
      </c>
      <c r="AA175">
        <v>6</v>
      </c>
      <c r="AB175">
        <v>2</v>
      </c>
      <c r="AC175">
        <v>1</v>
      </c>
      <c r="AD175">
        <v>15</v>
      </c>
      <c r="AE175">
        <v>6</v>
      </c>
      <c r="AF175">
        <v>3</v>
      </c>
      <c r="AG175">
        <v>2</v>
      </c>
      <c r="AH175">
        <v>1</v>
      </c>
      <c r="AI175">
        <v>1</v>
      </c>
      <c r="AJ175" t="s">
        <v>283</v>
      </c>
      <c r="AK175">
        <v>0</v>
      </c>
    </row>
    <row r="176" spans="1:37" x14ac:dyDescent="0.25">
      <c r="A176">
        <v>2024</v>
      </c>
      <c r="B176" s="1">
        <v>45564</v>
      </c>
      <c r="C176">
        <v>28</v>
      </c>
      <c r="D176">
        <v>42220</v>
      </c>
      <c r="E176">
        <v>46931</v>
      </c>
      <c r="F176" t="s">
        <v>51</v>
      </c>
      <c r="G176" t="s">
        <v>83</v>
      </c>
      <c r="H176" t="s">
        <v>53</v>
      </c>
      <c r="I176" t="s">
        <v>284</v>
      </c>
      <c r="J176">
        <v>1</v>
      </c>
      <c r="K176">
        <v>14</v>
      </c>
      <c r="L176">
        <v>6960</v>
      </c>
      <c r="M176">
        <v>4150</v>
      </c>
      <c r="N176" t="s">
        <v>100</v>
      </c>
      <c r="O176" t="s">
        <v>166</v>
      </c>
      <c r="P176">
        <v>0</v>
      </c>
      <c r="Q176">
        <v>0</v>
      </c>
      <c r="R176">
        <v>0</v>
      </c>
      <c r="S176">
        <v>0</v>
      </c>
      <c r="T176">
        <v>5</v>
      </c>
      <c r="U176">
        <v>3</v>
      </c>
      <c r="V176">
        <v>10</v>
      </c>
      <c r="W176">
        <v>14</v>
      </c>
      <c r="X176">
        <v>13</v>
      </c>
      <c r="Y176">
        <v>9</v>
      </c>
      <c r="Z176">
        <v>4</v>
      </c>
      <c r="AA176">
        <v>3</v>
      </c>
      <c r="AB176">
        <v>2</v>
      </c>
      <c r="AC176">
        <v>0</v>
      </c>
      <c r="AD176">
        <v>15</v>
      </c>
      <c r="AE176">
        <v>11</v>
      </c>
      <c r="AF176">
        <v>6</v>
      </c>
      <c r="AG176">
        <v>5</v>
      </c>
      <c r="AH176">
        <v>0</v>
      </c>
      <c r="AI176">
        <v>0</v>
      </c>
      <c r="AJ176" t="s">
        <v>285</v>
      </c>
      <c r="AK176">
        <v>0</v>
      </c>
    </row>
    <row r="177" spans="1:37" x14ac:dyDescent="0.25">
      <c r="A177">
        <v>2024</v>
      </c>
      <c r="B177" s="1">
        <v>45564</v>
      </c>
      <c r="C177">
        <v>28</v>
      </c>
      <c r="D177">
        <v>56331</v>
      </c>
      <c r="E177">
        <v>61927</v>
      </c>
      <c r="F177" t="s">
        <v>50</v>
      </c>
      <c r="G177" t="s">
        <v>82</v>
      </c>
      <c r="H177" t="s">
        <v>286</v>
      </c>
      <c r="I177" t="s">
        <v>160</v>
      </c>
      <c r="J177">
        <v>8</v>
      </c>
      <c r="K177">
        <v>9</v>
      </c>
      <c r="L177">
        <v>4180</v>
      </c>
      <c r="M177">
        <v>3805</v>
      </c>
      <c r="N177" t="s">
        <v>135</v>
      </c>
      <c r="O177" t="s">
        <v>135</v>
      </c>
      <c r="P177">
        <v>1</v>
      </c>
      <c r="Q177">
        <v>1</v>
      </c>
      <c r="R177">
        <v>0</v>
      </c>
      <c r="S177">
        <v>1</v>
      </c>
      <c r="T177">
        <v>11</v>
      </c>
      <c r="U177">
        <v>4</v>
      </c>
      <c r="V177">
        <v>7</v>
      </c>
      <c r="W177">
        <v>6</v>
      </c>
      <c r="X177">
        <v>6</v>
      </c>
      <c r="Y177">
        <v>6</v>
      </c>
      <c r="Z177">
        <v>3</v>
      </c>
      <c r="AA177">
        <v>5</v>
      </c>
      <c r="AB177">
        <v>1</v>
      </c>
      <c r="AC177">
        <v>0</v>
      </c>
      <c r="AD177">
        <v>15</v>
      </c>
      <c r="AE177">
        <v>13</v>
      </c>
      <c r="AF177">
        <v>8</v>
      </c>
      <c r="AG177">
        <v>6</v>
      </c>
      <c r="AH177">
        <v>0</v>
      </c>
      <c r="AI177">
        <v>0</v>
      </c>
      <c r="AJ177" t="s">
        <v>256</v>
      </c>
      <c r="AK177">
        <v>0</v>
      </c>
    </row>
    <row r="178" spans="1:37" x14ac:dyDescent="0.25">
      <c r="A178">
        <v>2024</v>
      </c>
      <c r="B178" s="1">
        <v>45564</v>
      </c>
      <c r="C178">
        <v>28</v>
      </c>
      <c r="D178">
        <v>6285</v>
      </c>
      <c r="E178">
        <v>23726</v>
      </c>
      <c r="F178" t="s">
        <v>44</v>
      </c>
      <c r="G178" t="s">
        <v>56</v>
      </c>
      <c r="H178" t="s">
        <v>287</v>
      </c>
      <c r="I178" t="s">
        <v>58</v>
      </c>
      <c r="J178">
        <v>13</v>
      </c>
      <c r="K178">
        <v>12</v>
      </c>
      <c r="L178">
        <v>765</v>
      </c>
      <c r="M178">
        <v>3370</v>
      </c>
      <c r="N178" t="s">
        <v>142</v>
      </c>
      <c r="O178" t="s">
        <v>233</v>
      </c>
      <c r="P178">
        <v>1</v>
      </c>
      <c r="Q178">
        <v>1</v>
      </c>
      <c r="R178">
        <v>0</v>
      </c>
      <c r="S178">
        <v>0</v>
      </c>
      <c r="T178">
        <v>4</v>
      </c>
      <c r="U178">
        <v>5</v>
      </c>
      <c r="V178">
        <v>9</v>
      </c>
      <c r="W178">
        <v>19</v>
      </c>
      <c r="X178">
        <v>18</v>
      </c>
      <c r="Y178">
        <v>9</v>
      </c>
      <c r="Z178">
        <v>5</v>
      </c>
      <c r="AA178">
        <v>5</v>
      </c>
      <c r="AB178">
        <v>1</v>
      </c>
      <c r="AC178">
        <v>0</v>
      </c>
      <c r="AD178">
        <v>12</v>
      </c>
      <c r="AE178">
        <v>15</v>
      </c>
      <c r="AF178">
        <v>5</v>
      </c>
      <c r="AG178">
        <v>6</v>
      </c>
      <c r="AH178">
        <v>0</v>
      </c>
      <c r="AI178">
        <v>0</v>
      </c>
      <c r="AJ178" t="s">
        <v>288</v>
      </c>
      <c r="AK178">
        <v>0</v>
      </c>
    </row>
    <row r="179" spans="1:37" x14ac:dyDescent="0.25">
      <c r="A179">
        <v>2024</v>
      </c>
      <c r="B179" s="1">
        <v>45564</v>
      </c>
      <c r="C179">
        <v>28</v>
      </c>
      <c r="D179">
        <v>7871</v>
      </c>
      <c r="E179">
        <v>13000</v>
      </c>
      <c r="F179" t="s">
        <v>76</v>
      </c>
      <c r="G179" t="s">
        <v>55</v>
      </c>
      <c r="H179" t="s">
        <v>238</v>
      </c>
      <c r="I179" t="s">
        <v>240</v>
      </c>
      <c r="J179">
        <v>20</v>
      </c>
      <c r="K179">
        <v>16</v>
      </c>
      <c r="L179">
        <v>950</v>
      </c>
      <c r="M179">
        <v>3145</v>
      </c>
      <c r="N179" t="s">
        <v>252</v>
      </c>
      <c r="O179" t="s">
        <v>289</v>
      </c>
      <c r="P179">
        <v>1</v>
      </c>
      <c r="Q179">
        <v>0</v>
      </c>
      <c r="R179">
        <v>0</v>
      </c>
      <c r="S179">
        <v>0</v>
      </c>
      <c r="T179">
        <v>4</v>
      </c>
      <c r="U179">
        <v>3</v>
      </c>
      <c r="V179">
        <v>15</v>
      </c>
      <c r="W179">
        <v>14</v>
      </c>
      <c r="X179">
        <v>14</v>
      </c>
      <c r="Y179">
        <v>14</v>
      </c>
      <c r="Z179">
        <v>2</v>
      </c>
      <c r="AA179">
        <v>6</v>
      </c>
      <c r="AB179">
        <v>2</v>
      </c>
      <c r="AC179">
        <v>0</v>
      </c>
      <c r="AD179">
        <v>16</v>
      </c>
      <c r="AE179">
        <v>13</v>
      </c>
      <c r="AF179">
        <v>7</v>
      </c>
      <c r="AG179">
        <v>7</v>
      </c>
      <c r="AH179">
        <v>1</v>
      </c>
      <c r="AI179">
        <v>1</v>
      </c>
      <c r="AJ179" t="s">
        <v>201</v>
      </c>
      <c r="AK179">
        <v>0</v>
      </c>
    </row>
    <row r="180" spans="1:37" x14ac:dyDescent="0.25">
      <c r="A180">
        <v>2024</v>
      </c>
      <c r="B180" s="1">
        <v>45564</v>
      </c>
      <c r="C180">
        <v>28</v>
      </c>
      <c r="D180">
        <v>25888</v>
      </c>
      <c r="E180">
        <v>72039</v>
      </c>
      <c r="F180" t="s">
        <v>62</v>
      </c>
      <c r="G180" t="s">
        <v>88</v>
      </c>
      <c r="H180" t="s">
        <v>153</v>
      </c>
      <c r="I180" t="s">
        <v>84</v>
      </c>
      <c r="J180">
        <v>5</v>
      </c>
      <c r="K180">
        <v>18</v>
      </c>
      <c r="L180">
        <v>2375</v>
      </c>
      <c r="M180">
        <v>4140</v>
      </c>
      <c r="N180" t="s">
        <v>179</v>
      </c>
      <c r="O180" t="s">
        <v>73</v>
      </c>
      <c r="P180">
        <v>3</v>
      </c>
      <c r="Q180">
        <v>1</v>
      </c>
      <c r="R180">
        <v>1</v>
      </c>
      <c r="S180">
        <v>0</v>
      </c>
      <c r="T180">
        <v>7</v>
      </c>
      <c r="U180">
        <v>2</v>
      </c>
      <c r="V180">
        <v>18</v>
      </c>
      <c r="W180">
        <v>17</v>
      </c>
      <c r="X180">
        <v>17</v>
      </c>
      <c r="Y180">
        <v>18</v>
      </c>
      <c r="Z180">
        <v>2</v>
      </c>
      <c r="AA180">
        <v>5</v>
      </c>
      <c r="AB180">
        <v>2</v>
      </c>
      <c r="AC180">
        <v>2</v>
      </c>
      <c r="AD180">
        <v>19</v>
      </c>
      <c r="AE180">
        <v>11</v>
      </c>
      <c r="AF180">
        <v>6</v>
      </c>
      <c r="AG180">
        <v>5</v>
      </c>
      <c r="AH180">
        <v>2</v>
      </c>
      <c r="AI180">
        <v>1</v>
      </c>
      <c r="AJ180" t="s">
        <v>290</v>
      </c>
      <c r="AK180">
        <v>0</v>
      </c>
    </row>
    <row r="181" spans="1:37" x14ac:dyDescent="0.25">
      <c r="A181">
        <v>2024</v>
      </c>
      <c r="B181" s="1">
        <v>45564</v>
      </c>
      <c r="C181">
        <v>28</v>
      </c>
      <c r="D181">
        <v>45112</v>
      </c>
      <c r="E181">
        <v>50848</v>
      </c>
      <c r="F181" t="s">
        <v>37</v>
      </c>
      <c r="G181" t="s">
        <v>94</v>
      </c>
      <c r="H181" t="s">
        <v>46</v>
      </c>
      <c r="I181" t="s">
        <v>64</v>
      </c>
      <c r="J181">
        <v>6</v>
      </c>
      <c r="K181">
        <v>17</v>
      </c>
      <c r="L181">
        <v>4000</v>
      </c>
      <c r="M181">
        <v>1550</v>
      </c>
      <c r="N181" t="s">
        <v>41</v>
      </c>
      <c r="O181" t="s">
        <v>114</v>
      </c>
      <c r="P181">
        <v>3</v>
      </c>
      <c r="Q181">
        <v>1</v>
      </c>
      <c r="R181">
        <v>1</v>
      </c>
      <c r="S181">
        <v>0</v>
      </c>
      <c r="T181">
        <v>2</v>
      </c>
      <c r="U181">
        <v>6</v>
      </c>
      <c r="V181">
        <v>26</v>
      </c>
      <c r="W181">
        <v>8</v>
      </c>
      <c r="X181">
        <v>8</v>
      </c>
      <c r="Y181">
        <v>25</v>
      </c>
      <c r="Z181">
        <v>3</v>
      </c>
      <c r="AA181">
        <v>2</v>
      </c>
      <c r="AB181">
        <v>0</v>
      </c>
      <c r="AC181">
        <v>4</v>
      </c>
      <c r="AD181">
        <v>10</v>
      </c>
      <c r="AE181">
        <v>7</v>
      </c>
      <c r="AF181">
        <v>2</v>
      </c>
      <c r="AG181">
        <v>1</v>
      </c>
      <c r="AH181">
        <v>2</v>
      </c>
      <c r="AI181">
        <v>1</v>
      </c>
      <c r="AJ181" t="s">
        <v>291</v>
      </c>
      <c r="AK181">
        <v>0</v>
      </c>
    </row>
    <row r="182" spans="1:37" x14ac:dyDescent="0.25">
      <c r="A182">
        <v>2024</v>
      </c>
      <c r="B182" s="1">
        <v>45564</v>
      </c>
      <c r="C182">
        <v>28</v>
      </c>
      <c r="D182">
        <v>24574</v>
      </c>
      <c r="E182">
        <v>47364</v>
      </c>
      <c r="F182" t="s">
        <v>38</v>
      </c>
      <c r="G182" t="s">
        <v>43</v>
      </c>
      <c r="H182" t="s">
        <v>40</v>
      </c>
      <c r="I182" t="s">
        <v>45</v>
      </c>
      <c r="J182">
        <v>7</v>
      </c>
      <c r="K182">
        <v>15</v>
      </c>
      <c r="L182">
        <v>3745</v>
      </c>
      <c r="M182">
        <v>785</v>
      </c>
      <c r="N182" t="s">
        <v>123</v>
      </c>
      <c r="O182" t="s">
        <v>197</v>
      </c>
      <c r="P182">
        <v>1</v>
      </c>
      <c r="Q182">
        <v>0</v>
      </c>
      <c r="R182">
        <v>1</v>
      </c>
      <c r="S182">
        <v>0</v>
      </c>
      <c r="T182">
        <v>9</v>
      </c>
      <c r="U182">
        <v>1</v>
      </c>
      <c r="V182">
        <v>10</v>
      </c>
      <c r="W182">
        <v>8</v>
      </c>
      <c r="X182">
        <v>8</v>
      </c>
      <c r="Y182">
        <v>10</v>
      </c>
      <c r="Z182">
        <v>1</v>
      </c>
      <c r="AA182">
        <v>5</v>
      </c>
      <c r="AB182">
        <v>0</v>
      </c>
      <c r="AC182">
        <v>5</v>
      </c>
      <c r="AD182">
        <v>21</v>
      </c>
      <c r="AE182">
        <v>2</v>
      </c>
      <c r="AF182">
        <v>10</v>
      </c>
      <c r="AG182">
        <v>1</v>
      </c>
      <c r="AH182">
        <v>1</v>
      </c>
      <c r="AI182">
        <v>1</v>
      </c>
      <c r="AJ182" t="s">
        <v>292</v>
      </c>
      <c r="AK182">
        <v>0</v>
      </c>
    </row>
    <row r="183" spans="1:37" x14ac:dyDescent="0.25">
      <c r="A183">
        <v>2024</v>
      </c>
      <c r="B183" s="1">
        <v>45564</v>
      </c>
      <c r="C183">
        <v>28</v>
      </c>
      <c r="D183">
        <v>42000</v>
      </c>
      <c r="E183">
        <v>60326</v>
      </c>
      <c r="F183" t="s">
        <v>63</v>
      </c>
      <c r="G183" t="s">
        <v>70</v>
      </c>
      <c r="H183" t="s">
        <v>65</v>
      </c>
      <c r="I183" t="s">
        <v>237</v>
      </c>
      <c r="J183">
        <v>3</v>
      </c>
      <c r="K183">
        <v>19</v>
      </c>
      <c r="L183">
        <v>1805</v>
      </c>
      <c r="M183">
        <v>1840</v>
      </c>
      <c r="N183" t="s">
        <v>134</v>
      </c>
      <c r="O183" t="s">
        <v>74</v>
      </c>
      <c r="P183">
        <v>1</v>
      </c>
      <c r="Q183">
        <v>0</v>
      </c>
      <c r="R183">
        <v>1</v>
      </c>
      <c r="S183">
        <v>0</v>
      </c>
      <c r="T183">
        <v>7</v>
      </c>
      <c r="U183">
        <v>3</v>
      </c>
      <c r="V183">
        <v>18</v>
      </c>
      <c r="W183">
        <v>9</v>
      </c>
      <c r="X183">
        <v>9</v>
      </c>
      <c r="Y183">
        <v>16</v>
      </c>
      <c r="Z183">
        <v>1</v>
      </c>
      <c r="AA183">
        <v>6</v>
      </c>
      <c r="AB183">
        <v>2</v>
      </c>
      <c r="AC183">
        <v>7</v>
      </c>
      <c r="AD183">
        <v>15</v>
      </c>
      <c r="AE183">
        <v>2</v>
      </c>
      <c r="AF183">
        <v>7</v>
      </c>
      <c r="AG183">
        <v>1</v>
      </c>
      <c r="AH183">
        <v>1</v>
      </c>
      <c r="AI183">
        <v>1</v>
      </c>
      <c r="AJ183" t="s">
        <v>293</v>
      </c>
      <c r="AK183">
        <v>0</v>
      </c>
    </row>
    <row r="184" spans="1:37" x14ac:dyDescent="0.25">
      <c r="A184">
        <v>2024</v>
      </c>
      <c r="B184" s="1">
        <v>45565</v>
      </c>
      <c r="C184">
        <v>28</v>
      </c>
      <c r="D184">
        <v>30022</v>
      </c>
      <c r="E184">
        <v>78838</v>
      </c>
      <c r="F184" t="s">
        <v>77</v>
      </c>
      <c r="G184" t="s">
        <v>69</v>
      </c>
      <c r="H184" t="s">
        <v>79</v>
      </c>
      <c r="I184" t="s">
        <v>241</v>
      </c>
      <c r="J184">
        <v>4</v>
      </c>
      <c r="K184">
        <v>11</v>
      </c>
      <c r="L184">
        <v>8040</v>
      </c>
      <c r="M184">
        <v>3570</v>
      </c>
      <c r="N184" t="s">
        <v>117</v>
      </c>
      <c r="O184" t="s">
        <v>221</v>
      </c>
      <c r="P184">
        <v>1</v>
      </c>
      <c r="Q184">
        <v>0</v>
      </c>
      <c r="R184">
        <v>0</v>
      </c>
      <c r="S184">
        <v>0</v>
      </c>
      <c r="T184">
        <v>6</v>
      </c>
      <c r="U184">
        <v>1</v>
      </c>
      <c r="V184">
        <v>12</v>
      </c>
      <c r="W184">
        <v>13</v>
      </c>
      <c r="X184">
        <v>13</v>
      </c>
      <c r="Y184">
        <v>12</v>
      </c>
      <c r="Z184">
        <v>1</v>
      </c>
      <c r="AA184">
        <v>3</v>
      </c>
      <c r="AB184">
        <v>2</v>
      </c>
      <c r="AC184">
        <v>3</v>
      </c>
      <c r="AD184">
        <v>17</v>
      </c>
      <c r="AE184">
        <v>7</v>
      </c>
      <c r="AF184">
        <v>3</v>
      </c>
      <c r="AG184">
        <v>3</v>
      </c>
      <c r="AH184">
        <v>1</v>
      </c>
      <c r="AI184">
        <v>1</v>
      </c>
      <c r="AJ184" t="s">
        <v>294</v>
      </c>
      <c r="AK184">
        <v>0</v>
      </c>
    </row>
    <row r="185" spans="1:37" x14ac:dyDescent="0.25">
      <c r="A185">
        <v>2024</v>
      </c>
      <c r="B185" s="1">
        <v>45569</v>
      </c>
      <c r="C185">
        <v>29</v>
      </c>
      <c r="D185">
        <v>30242</v>
      </c>
      <c r="E185">
        <v>82238</v>
      </c>
      <c r="F185" t="s">
        <v>55</v>
      </c>
      <c r="G185" t="s">
        <v>50</v>
      </c>
      <c r="H185" t="s">
        <v>240</v>
      </c>
      <c r="I185" t="s">
        <v>57</v>
      </c>
      <c r="J185">
        <v>16</v>
      </c>
      <c r="K185">
        <v>8</v>
      </c>
      <c r="L185">
        <v>3585</v>
      </c>
      <c r="M185">
        <v>4730</v>
      </c>
      <c r="N185" t="s">
        <v>67</v>
      </c>
      <c r="O185" t="s">
        <v>128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2</v>
      </c>
      <c r="V185">
        <v>19</v>
      </c>
      <c r="W185">
        <v>16</v>
      </c>
      <c r="X185">
        <v>16</v>
      </c>
      <c r="Y185">
        <v>19</v>
      </c>
      <c r="Z185">
        <v>4</v>
      </c>
      <c r="AA185">
        <v>4</v>
      </c>
      <c r="AB185">
        <v>1</v>
      </c>
      <c r="AC185">
        <v>1</v>
      </c>
      <c r="AD185">
        <v>14</v>
      </c>
      <c r="AE185">
        <v>13</v>
      </c>
      <c r="AF185">
        <v>6</v>
      </c>
      <c r="AG185">
        <v>6</v>
      </c>
      <c r="AH185">
        <v>1</v>
      </c>
      <c r="AI185">
        <v>1</v>
      </c>
      <c r="AJ185" t="s">
        <v>81</v>
      </c>
      <c r="AK185">
        <v>0</v>
      </c>
    </row>
    <row r="186" spans="1:37" x14ac:dyDescent="0.25">
      <c r="A186">
        <v>2024</v>
      </c>
      <c r="B186" s="1">
        <v>45569</v>
      </c>
      <c r="C186">
        <v>29</v>
      </c>
      <c r="D186">
        <v>12343</v>
      </c>
      <c r="E186">
        <v>19225</v>
      </c>
      <c r="F186" t="s">
        <v>43</v>
      </c>
      <c r="G186" t="s">
        <v>76</v>
      </c>
      <c r="H186" t="s">
        <v>45</v>
      </c>
      <c r="I186" t="s">
        <v>238</v>
      </c>
      <c r="J186">
        <v>12</v>
      </c>
      <c r="K186">
        <v>20</v>
      </c>
      <c r="L186">
        <v>730</v>
      </c>
      <c r="M186">
        <v>890</v>
      </c>
      <c r="N186" t="s">
        <v>142</v>
      </c>
      <c r="O186" t="s">
        <v>189</v>
      </c>
      <c r="P186">
        <v>2</v>
      </c>
      <c r="Q186">
        <v>0</v>
      </c>
      <c r="R186">
        <v>1</v>
      </c>
      <c r="S186">
        <v>0</v>
      </c>
      <c r="T186">
        <v>7</v>
      </c>
      <c r="U186">
        <v>6</v>
      </c>
      <c r="V186">
        <v>16</v>
      </c>
      <c r="W186">
        <v>8</v>
      </c>
      <c r="X186">
        <v>5</v>
      </c>
      <c r="Y186">
        <v>16</v>
      </c>
      <c r="Z186">
        <v>3</v>
      </c>
      <c r="AA186">
        <v>3</v>
      </c>
      <c r="AB186">
        <v>1</v>
      </c>
      <c r="AC186">
        <v>1</v>
      </c>
      <c r="AD186">
        <v>17</v>
      </c>
      <c r="AE186">
        <v>14</v>
      </c>
      <c r="AF186">
        <v>7</v>
      </c>
      <c r="AG186">
        <v>9</v>
      </c>
      <c r="AH186">
        <v>2</v>
      </c>
      <c r="AI186">
        <v>1</v>
      </c>
      <c r="AJ186" t="s">
        <v>282</v>
      </c>
      <c r="AK186">
        <v>0</v>
      </c>
    </row>
    <row r="187" spans="1:37" x14ac:dyDescent="0.25">
      <c r="A187">
        <v>2024</v>
      </c>
      <c r="B187" s="1">
        <v>45570</v>
      </c>
      <c r="C187">
        <v>29</v>
      </c>
      <c r="D187">
        <v>9989</v>
      </c>
      <c r="E187">
        <v>15010</v>
      </c>
      <c r="F187" t="s">
        <v>56</v>
      </c>
      <c r="G187" t="s">
        <v>95</v>
      </c>
      <c r="H187" t="s">
        <v>58</v>
      </c>
      <c r="I187" t="s">
        <v>97</v>
      </c>
      <c r="J187">
        <v>14</v>
      </c>
      <c r="K187">
        <v>2</v>
      </c>
      <c r="L187">
        <v>3300</v>
      </c>
      <c r="M187">
        <v>9450</v>
      </c>
      <c r="N187" t="s">
        <v>80</v>
      </c>
      <c r="O187" t="s">
        <v>209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3</v>
      </c>
      <c r="V187">
        <v>7</v>
      </c>
      <c r="W187">
        <v>14</v>
      </c>
      <c r="X187">
        <v>13</v>
      </c>
      <c r="Y187">
        <v>7</v>
      </c>
      <c r="Z187">
        <v>5</v>
      </c>
      <c r="AA187">
        <v>5</v>
      </c>
      <c r="AB187">
        <v>3</v>
      </c>
      <c r="AC187">
        <v>0</v>
      </c>
      <c r="AD187">
        <v>17</v>
      </c>
      <c r="AE187">
        <v>14</v>
      </c>
      <c r="AF187">
        <v>5</v>
      </c>
      <c r="AG187">
        <v>6</v>
      </c>
      <c r="AH187">
        <v>0</v>
      </c>
      <c r="AI187">
        <v>0</v>
      </c>
      <c r="AJ187" t="s">
        <v>295</v>
      </c>
      <c r="AK187">
        <v>0</v>
      </c>
    </row>
    <row r="188" spans="1:37" x14ac:dyDescent="0.25">
      <c r="A188">
        <v>2024</v>
      </c>
      <c r="B188" s="1">
        <v>45570</v>
      </c>
      <c r="C188">
        <v>29</v>
      </c>
      <c r="D188">
        <v>22204</v>
      </c>
      <c r="E188">
        <v>60540</v>
      </c>
      <c r="F188" t="s">
        <v>83</v>
      </c>
      <c r="G188" t="s">
        <v>63</v>
      </c>
      <c r="H188" t="s">
        <v>85</v>
      </c>
      <c r="I188" t="s">
        <v>65</v>
      </c>
      <c r="J188">
        <v>11</v>
      </c>
      <c r="K188">
        <v>3</v>
      </c>
      <c r="L188">
        <v>3290</v>
      </c>
      <c r="M188">
        <v>1960</v>
      </c>
      <c r="N188" t="s">
        <v>105</v>
      </c>
      <c r="O188" t="s">
        <v>166</v>
      </c>
      <c r="P188">
        <v>3</v>
      </c>
      <c r="Q188">
        <v>1</v>
      </c>
      <c r="R188">
        <v>1</v>
      </c>
      <c r="S188">
        <v>1</v>
      </c>
      <c r="T188">
        <v>10</v>
      </c>
      <c r="U188">
        <v>2</v>
      </c>
      <c r="V188">
        <v>11</v>
      </c>
      <c r="W188">
        <v>9</v>
      </c>
      <c r="X188">
        <v>9</v>
      </c>
      <c r="Y188">
        <v>10</v>
      </c>
      <c r="Z188">
        <v>4</v>
      </c>
      <c r="AA188">
        <v>2</v>
      </c>
      <c r="AB188">
        <v>2</v>
      </c>
      <c r="AC188">
        <v>1</v>
      </c>
      <c r="AD188">
        <v>16</v>
      </c>
      <c r="AE188">
        <v>7</v>
      </c>
      <c r="AF188">
        <v>5</v>
      </c>
      <c r="AG188">
        <v>2</v>
      </c>
      <c r="AH188">
        <v>2</v>
      </c>
      <c r="AI188">
        <v>1</v>
      </c>
      <c r="AJ188" t="s">
        <v>131</v>
      </c>
      <c r="AK188">
        <v>0</v>
      </c>
    </row>
    <row r="189" spans="1:37" x14ac:dyDescent="0.25">
      <c r="A189">
        <v>2024</v>
      </c>
      <c r="B189" s="1">
        <v>45570</v>
      </c>
      <c r="C189">
        <v>29</v>
      </c>
      <c r="D189">
        <v>22726</v>
      </c>
      <c r="E189">
        <v>42372</v>
      </c>
      <c r="F189" t="s">
        <v>69</v>
      </c>
      <c r="G189" t="s">
        <v>51</v>
      </c>
      <c r="H189" t="s">
        <v>241</v>
      </c>
      <c r="I189" t="s">
        <v>53</v>
      </c>
      <c r="J189">
        <v>13</v>
      </c>
      <c r="K189">
        <v>1</v>
      </c>
      <c r="L189">
        <v>3180</v>
      </c>
      <c r="M189">
        <v>8000</v>
      </c>
      <c r="N189" t="s">
        <v>99</v>
      </c>
      <c r="O189">
        <v>28</v>
      </c>
      <c r="P189">
        <v>0</v>
      </c>
      <c r="Q189">
        <v>1</v>
      </c>
      <c r="R189">
        <v>0</v>
      </c>
      <c r="S189">
        <v>1</v>
      </c>
      <c r="T189">
        <v>8</v>
      </c>
      <c r="U189">
        <v>3</v>
      </c>
      <c r="V189">
        <v>8</v>
      </c>
      <c r="W189">
        <v>20</v>
      </c>
      <c r="X189">
        <v>19</v>
      </c>
      <c r="Y189">
        <v>8</v>
      </c>
      <c r="Z189">
        <v>2</v>
      </c>
      <c r="AA189">
        <v>3</v>
      </c>
      <c r="AB189">
        <v>0</v>
      </c>
      <c r="AC189">
        <v>2</v>
      </c>
      <c r="AD189">
        <v>26</v>
      </c>
      <c r="AE189">
        <v>11</v>
      </c>
      <c r="AF189">
        <v>14</v>
      </c>
      <c r="AG189">
        <v>5</v>
      </c>
      <c r="AH189">
        <v>-1</v>
      </c>
      <c r="AI189">
        <v>0</v>
      </c>
      <c r="AJ189" t="s">
        <v>258</v>
      </c>
      <c r="AK189">
        <v>0</v>
      </c>
    </row>
    <row r="190" spans="1:37" x14ac:dyDescent="0.25">
      <c r="A190">
        <v>2024</v>
      </c>
      <c r="B190" s="1">
        <v>45570</v>
      </c>
      <c r="C190">
        <v>29</v>
      </c>
      <c r="D190">
        <v>34910</v>
      </c>
      <c r="E190">
        <v>46000</v>
      </c>
      <c r="F190" t="s">
        <v>89</v>
      </c>
      <c r="G190" t="s">
        <v>94</v>
      </c>
      <c r="H190" t="s">
        <v>91</v>
      </c>
      <c r="I190" t="s">
        <v>64</v>
      </c>
      <c r="J190">
        <v>10</v>
      </c>
      <c r="K190">
        <v>17</v>
      </c>
      <c r="L190">
        <v>3510</v>
      </c>
      <c r="M190">
        <v>1500</v>
      </c>
      <c r="N190" t="s">
        <v>129</v>
      </c>
      <c r="O190" t="s">
        <v>73</v>
      </c>
      <c r="P190">
        <v>2</v>
      </c>
      <c r="Q190">
        <v>2</v>
      </c>
      <c r="R190">
        <v>2</v>
      </c>
      <c r="S190">
        <v>0</v>
      </c>
      <c r="T190">
        <v>2</v>
      </c>
      <c r="U190">
        <v>5</v>
      </c>
      <c r="V190">
        <v>13</v>
      </c>
      <c r="W190">
        <v>14</v>
      </c>
      <c r="X190">
        <v>14</v>
      </c>
      <c r="Y190">
        <v>12</v>
      </c>
      <c r="Z190">
        <v>1</v>
      </c>
      <c r="AA190">
        <v>1</v>
      </c>
      <c r="AB190">
        <v>1</v>
      </c>
      <c r="AC190">
        <v>3</v>
      </c>
      <c r="AD190">
        <v>14</v>
      </c>
      <c r="AE190">
        <v>9</v>
      </c>
      <c r="AF190">
        <v>8</v>
      </c>
      <c r="AG190">
        <v>5</v>
      </c>
      <c r="AH190">
        <v>0</v>
      </c>
      <c r="AI190">
        <v>0</v>
      </c>
      <c r="AJ190" t="s">
        <v>288</v>
      </c>
      <c r="AK190">
        <v>1</v>
      </c>
    </row>
    <row r="191" spans="1:37" x14ac:dyDescent="0.25">
      <c r="A191">
        <v>2024</v>
      </c>
      <c r="B191" s="1">
        <v>45571</v>
      </c>
      <c r="C191">
        <v>29</v>
      </c>
      <c r="D191">
        <v>44866</v>
      </c>
      <c r="E191">
        <v>49205</v>
      </c>
      <c r="F191" t="s">
        <v>88</v>
      </c>
      <c r="G191" t="s">
        <v>37</v>
      </c>
      <c r="H191" t="s">
        <v>84</v>
      </c>
      <c r="I191" t="s">
        <v>46</v>
      </c>
      <c r="J191">
        <v>18</v>
      </c>
      <c r="K191">
        <v>6</v>
      </c>
      <c r="L191">
        <v>5250</v>
      </c>
      <c r="M191">
        <v>3890</v>
      </c>
      <c r="N191" t="s">
        <v>116</v>
      </c>
      <c r="O191" t="s">
        <v>122</v>
      </c>
      <c r="P191">
        <v>2</v>
      </c>
      <c r="Q191">
        <v>2</v>
      </c>
      <c r="R191">
        <v>1</v>
      </c>
      <c r="S191">
        <v>1</v>
      </c>
      <c r="T191">
        <v>9</v>
      </c>
      <c r="U191">
        <v>9</v>
      </c>
      <c r="V191">
        <v>11</v>
      </c>
      <c r="W191">
        <v>14</v>
      </c>
      <c r="X191">
        <v>12</v>
      </c>
      <c r="Y191">
        <v>11</v>
      </c>
      <c r="Z191">
        <v>0</v>
      </c>
      <c r="AA191">
        <v>4</v>
      </c>
      <c r="AB191">
        <v>3</v>
      </c>
      <c r="AC191">
        <v>0</v>
      </c>
      <c r="AD191">
        <v>15</v>
      </c>
      <c r="AE191">
        <v>9</v>
      </c>
      <c r="AF191">
        <v>6</v>
      </c>
      <c r="AG191">
        <v>2</v>
      </c>
      <c r="AH191">
        <v>0</v>
      </c>
      <c r="AI191">
        <v>0</v>
      </c>
      <c r="AJ191" t="s">
        <v>75</v>
      </c>
      <c r="AK191">
        <v>0</v>
      </c>
    </row>
    <row r="192" spans="1:37" x14ac:dyDescent="0.25">
      <c r="A192">
        <v>2024</v>
      </c>
      <c r="B192" s="1">
        <v>45571</v>
      </c>
      <c r="C192">
        <v>29</v>
      </c>
      <c r="D192">
        <v>11883</v>
      </c>
      <c r="E192">
        <v>42968</v>
      </c>
      <c r="F192" t="s">
        <v>70</v>
      </c>
      <c r="G192" t="s">
        <v>62</v>
      </c>
      <c r="H192" t="s">
        <v>237</v>
      </c>
      <c r="I192" t="s">
        <v>153</v>
      </c>
      <c r="J192">
        <v>19</v>
      </c>
      <c r="K192">
        <v>5</v>
      </c>
      <c r="L192">
        <v>1750</v>
      </c>
      <c r="M192">
        <v>2175</v>
      </c>
      <c r="N192" t="s">
        <v>296</v>
      </c>
      <c r="O192" t="s">
        <v>59</v>
      </c>
      <c r="P192">
        <v>2</v>
      </c>
      <c r="Q192">
        <v>0</v>
      </c>
      <c r="R192">
        <v>2</v>
      </c>
      <c r="S192">
        <v>0</v>
      </c>
      <c r="T192">
        <v>3</v>
      </c>
      <c r="U192">
        <v>7</v>
      </c>
      <c r="V192">
        <v>12</v>
      </c>
      <c r="W192">
        <v>8</v>
      </c>
      <c r="X192">
        <v>8</v>
      </c>
      <c r="Y192">
        <v>11</v>
      </c>
      <c r="Z192">
        <v>3</v>
      </c>
      <c r="AA192">
        <v>1</v>
      </c>
      <c r="AB192">
        <v>1</v>
      </c>
      <c r="AC192">
        <v>1</v>
      </c>
      <c r="AD192">
        <v>7</v>
      </c>
      <c r="AE192">
        <v>12</v>
      </c>
      <c r="AF192">
        <v>1</v>
      </c>
      <c r="AG192">
        <v>7</v>
      </c>
      <c r="AH192">
        <v>2</v>
      </c>
      <c r="AI192">
        <v>1</v>
      </c>
      <c r="AJ192" t="s">
        <v>271</v>
      </c>
      <c r="AK192">
        <v>0</v>
      </c>
    </row>
    <row r="193" spans="1:37" x14ac:dyDescent="0.25">
      <c r="A193">
        <v>2024</v>
      </c>
      <c r="B193" s="1">
        <v>45571</v>
      </c>
      <c r="C193">
        <v>29</v>
      </c>
      <c r="D193">
        <v>18036</v>
      </c>
      <c r="E193">
        <v>24584</v>
      </c>
      <c r="F193" t="s">
        <v>82</v>
      </c>
      <c r="G193" t="s">
        <v>44</v>
      </c>
      <c r="H193" t="s">
        <v>160</v>
      </c>
      <c r="I193" t="s">
        <v>78</v>
      </c>
      <c r="J193">
        <v>9</v>
      </c>
      <c r="K193">
        <v>15</v>
      </c>
      <c r="L193">
        <v>3300</v>
      </c>
      <c r="M193">
        <v>920</v>
      </c>
      <c r="N193">
        <v>29</v>
      </c>
      <c r="O193" t="s">
        <v>123</v>
      </c>
      <c r="P193">
        <v>1</v>
      </c>
      <c r="Q193">
        <v>1</v>
      </c>
      <c r="R193">
        <v>1</v>
      </c>
      <c r="S193">
        <v>1</v>
      </c>
      <c r="T193">
        <v>3</v>
      </c>
      <c r="U193">
        <v>6</v>
      </c>
      <c r="V193">
        <v>14</v>
      </c>
      <c r="W193">
        <v>13</v>
      </c>
      <c r="X193">
        <v>13</v>
      </c>
      <c r="Y193">
        <v>14</v>
      </c>
      <c r="Z193">
        <v>4</v>
      </c>
      <c r="AA193">
        <v>2</v>
      </c>
      <c r="AB193">
        <v>3</v>
      </c>
      <c r="AC193">
        <v>1</v>
      </c>
      <c r="AD193">
        <v>16</v>
      </c>
      <c r="AE193">
        <v>17</v>
      </c>
      <c r="AF193">
        <v>6</v>
      </c>
      <c r="AG193">
        <v>7</v>
      </c>
      <c r="AH193">
        <v>0</v>
      </c>
      <c r="AI193">
        <v>0</v>
      </c>
      <c r="AJ193" t="s">
        <v>297</v>
      </c>
      <c r="AK193">
        <v>1</v>
      </c>
    </row>
    <row r="194" spans="1:37" x14ac:dyDescent="0.25">
      <c r="A194">
        <v>2024</v>
      </c>
      <c r="B194" s="1">
        <v>45571</v>
      </c>
      <c r="C194">
        <v>29</v>
      </c>
      <c r="D194">
        <v>43433</v>
      </c>
      <c r="E194">
        <v>47364</v>
      </c>
      <c r="F194" t="s">
        <v>38</v>
      </c>
      <c r="G194" t="s">
        <v>77</v>
      </c>
      <c r="H194" t="s">
        <v>40</v>
      </c>
      <c r="I194" t="s">
        <v>298</v>
      </c>
      <c r="J194">
        <v>7</v>
      </c>
      <c r="K194">
        <v>4</v>
      </c>
      <c r="L194">
        <v>3735</v>
      </c>
      <c r="M194">
        <v>9980</v>
      </c>
      <c r="N194" t="s">
        <v>129</v>
      </c>
      <c r="O194" t="s">
        <v>137</v>
      </c>
      <c r="P194">
        <v>0</v>
      </c>
      <c r="Q194">
        <v>2</v>
      </c>
      <c r="R194">
        <v>0</v>
      </c>
      <c r="S194">
        <v>1</v>
      </c>
      <c r="T194">
        <v>3</v>
      </c>
      <c r="U194">
        <v>7</v>
      </c>
      <c r="V194">
        <v>20</v>
      </c>
      <c r="W194">
        <v>11</v>
      </c>
      <c r="X194">
        <v>11</v>
      </c>
      <c r="Y194">
        <v>20</v>
      </c>
      <c r="Z194">
        <v>4</v>
      </c>
      <c r="AA194">
        <v>2</v>
      </c>
      <c r="AB194">
        <v>3</v>
      </c>
      <c r="AC194">
        <v>4</v>
      </c>
      <c r="AD194">
        <v>9</v>
      </c>
      <c r="AE194">
        <v>13</v>
      </c>
      <c r="AF194">
        <v>5</v>
      </c>
      <c r="AG194">
        <v>4</v>
      </c>
      <c r="AH194">
        <v>-2</v>
      </c>
      <c r="AI194">
        <v>0</v>
      </c>
      <c r="AJ194" t="s">
        <v>256</v>
      </c>
      <c r="AK194">
        <v>1</v>
      </c>
    </row>
    <row r="195" spans="1:37" x14ac:dyDescent="0.25">
      <c r="A195">
        <v>2024</v>
      </c>
      <c r="B195" s="1">
        <v>45582</v>
      </c>
      <c r="C195">
        <v>30</v>
      </c>
      <c r="D195">
        <v>15497</v>
      </c>
      <c r="E195">
        <v>32039</v>
      </c>
      <c r="F195" t="s">
        <v>62</v>
      </c>
      <c r="G195" t="s">
        <v>82</v>
      </c>
      <c r="H195" t="s">
        <v>153</v>
      </c>
      <c r="I195" t="s">
        <v>160</v>
      </c>
      <c r="J195">
        <v>5</v>
      </c>
      <c r="K195">
        <v>10</v>
      </c>
      <c r="L195">
        <v>2685</v>
      </c>
      <c r="M195">
        <v>3380</v>
      </c>
      <c r="N195" t="s">
        <v>174</v>
      </c>
      <c r="O195" t="s">
        <v>174</v>
      </c>
      <c r="P195">
        <v>3</v>
      </c>
      <c r="Q195">
        <v>0</v>
      </c>
      <c r="R195">
        <v>1</v>
      </c>
      <c r="S195">
        <v>0</v>
      </c>
      <c r="T195">
        <v>3</v>
      </c>
      <c r="U195">
        <v>5</v>
      </c>
      <c r="V195">
        <v>8</v>
      </c>
      <c r="W195">
        <v>6</v>
      </c>
      <c r="X195">
        <v>6</v>
      </c>
      <c r="Y195">
        <v>8</v>
      </c>
      <c r="Z195">
        <v>3</v>
      </c>
      <c r="AA195">
        <v>4</v>
      </c>
      <c r="AB195">
        <v>1</v>
      </c>
      <c r="AC195">
        <v>1</v>
      </c>
      <c r="AD195">
        <v>14</v>
      </c>
      <c r="AE195">
        <v>9</v>
      </c>
      <c r="AF195">
        <v>6</v>
      </c>
      <c r="AG195">
        <v>4</v>
      </c>
      <c r="AH195">
        <v>3</v>
      </c>
      <c r="AI195">
        <v>1</v>
      </c>
      <c r="AJ195" t="s">
        <v>125</v>
      </c>
      <c r="AK195">
        <v>0</v>
      </c>
    </row>
    <row r="196" spans="1:37" x14ac:dyDescent="0.25">
      <c r="A196">
        <v>2024</v>
      </c>
      <c r="B196" s="1">
        <v>45582</v>
      </c>
      <c r="C196">
        <v>30</v>
      </c>
      <c r="D196">
        <v>23046</v>
      </c>
      <c r="E196">
        <v>60326</v>
      </c>
      <c r="F196" t="s">
        <v>63</v>
      </c>
      <c r="G196" t="s">
        <v>89</v>
      </c>
      <c r="H196" t="s">
        <v>65</v>
      </c>
      <c r="I196" t="s">
        <v>91</v>
      </c>
      <c r="J196">
        <v>3</v>
      </c>
      <c r="K196">
        <v>9</v>
      </c>
      <c r="L196">
        <v>1260</v>
      </c>
      <c r="M196">
        <v>2350</v>
      </c>
      <c r="N196" t="s">
        <v>299</v>
      </c>
      <c r="O196" t="s">
        <v>98</v>
      </c>
      <c r="P196">
        <v>1</v>
      </c>
      <c r="Q196">
        <v>1</v>
      </c>
      <c r="R196">
        <v>1</v>
      </c>
      <c r="S196">
        <v>0</v>
      </c>
      <c r="T196">
        <v>7</v>
      </c>
      <c r="U196">
        <v>3</v>
      </c>
      <c r="V196">
        <v>9</v>
      </c>
      <c r="W196">
        <v>10</v>
      </c>
      <c r="X196">
        <v>10</v>
      </c>
      <c r="Y196">
        <v>9</v>
      </c>
      <c r="Z196">
        <v>4</v>
      </c>
      <c r="AA196">
        <v>0</v>
      </c>
      <c r="AB196">
        <v>0</v>
      </c>
      <c r="AC196">
        <v>3</v>
      </c>
      <c r="AD196">
        <v>14</v>
      </c>
      <c r="AE196">
        <v>18</v>
      </c>
      <c r="AF196">
        <v>8</v>
      </c>
      <c r="AG196">
        <v>9</v>
      </c>
      <c r="AH196">
        <v>0</v>
      </c>
      <c r="AI196">
        <v>0</v>
      </c>
      <c r="AJ196" t="s">
        <v>300</v>
      </c>
      <c r="AK196">
        <v>1</v>
      </c>
    </row>
    <row r="197" spans="1:37" x14ac:dyDescent="0.25">
      <c r="A197">
        <v>2024</v>
      </c>
      <c r="B197" s="1">
        <v>45583</v>
      </c>
      <c r="C197">
        <v>30</v>
      </c>
      <c r="D197">
        <v>58117</v>
      </c>
      <c r="E197">
        <v>78838</v>
      </c>
      <c r="F197" t="s">
        <v>77</v>
      </c>
      <c r="G197" t="s">
        <v>55</v>
      </c>
      <c r="H197" t="s">
        <v>298</v>
      </c>
      <c r="I197" t="s">
        <v>240</v>
      </c>
      <c r="J197">
        <v>4</v>
      </c>
      <c r="K197">
        <v>11</v>
      </c>
      <c r="L197">
        <v>7780</v>
      </c>
      <c r="M197">
        <v>3075</v>
      </c>
      <c r="N197" t="s">
        <v>117</v>
      </c>
      <c r="O197" t="s">
        <v>166</v>
      </c>
      <c r="P197">
        <v>0</v>
      </c>
      <c r="Q197">
        <v>2</v>
      </c>
      <c r="R197">
        <v>0</v>
      </c>
      <c r="S197">
        <v>0</v>
      </c>
      <c r="T197">
        <v>5</v>
      </c>
      <c r="U197">
        <v>1</v>
      </c>
      <c r="V197">
        <v>15</v>
      </c>
      <c r="W197">
        <v>15</v>
      </c>
      <c r="X197">
        <v>14</v>
      </c>
      <c r="Y197">
        <v>15</v>
      </c>
      <c r="Z197">
        <v>1</v>
      </c>
      <c r="AA197">
        <v>5</v>
      </c>
      <c r="AB197">
        <v>3</v>
      </c>
      <c r="AC197">
        <v>1</v>
      </c>
      <c r="AD197">
        <v>20</v>
      </c>
      <c r="AE197">
        <v>12</v>
      </c>
      <c r="AF197">
        <v>7</v>
      </c>
      <c r="AG197">
        <v>3</v>
      </c>
      <c r="AH197">
        <v>-2</v>
      </c>
      <c r="AI197">
        <v>0</v>
      </c>
      <c r="AJ197" t="s">
        <v>281</v>
      </c>
      <c r="AK197">
        <v>0</v>
      </c>
    </row>
    <row r="198" spans="1:37" x14ac:dyDescent="0.25">
      <c r="A198">
        <v>2024</v>
      </c>
      <c r="B198" s="1">
        <v>45583</v>
      </c>
      <c r="C198">
        <v>30</v>
      </c>
      <c r="D198">
        <v>44399</v>
      </c>
      <c r="E198">
        <v>49205</v>
      </c>
      <c r="F198" t="s">
        <v>88</v>
      </c>
      <c r="G198" t="s">
        <v>69</v>
      </c>
      <c r="H198" t="s">
        <v>84</v>
      </c>
      <c r="I198" t="s">
        <v>241</v>
      </c>
      <c r="J198">
        <v>18</v>
      </c>
      <c r="K198">
        <v>14</v>
      </c>
      <c r="L198">
        <v>5400</v>
      </c>
      <c r="M198">
        <v>2280</v>
      </c>
      <c r="N198" t="s">
        <v>163</v>
      </c>
      <c r="O198" t="s">
        <v>209</v>
      </c>
      <c r="P198">
        <v>5</v>
      </c>
      <c r="Q198">
        <v>2</v>
      </c>
      <c r="R198">
        <v>2</v>
      </c>
      <c r="S198">
        <v>2</v>
      </c>
      <c r="T198">
        <v>3</v>
      </c>
      <c r="U198">
        <v>8</v>
      </c>
      <c r="V198">
        <v>9</v>
      </c>
      <c r="W198">
        <v>7</v>
      </c>
      <c r="X198">
        <v>7</v>
      </c>
      <c r="Y198">
        <v>6</v>
      </c>
      <c r="Z198">
        <v>4</v>
      </c>
      <c r="AA198">
        <v>4</v>
      </c>
      <c r="AB198">
        <v>0</v>
      </c>
      <c r="AC198">
        <v>2</v>
      </c>
      <c r="AD198">
        <v>14</v>
      </c>
      <c r="AE198">
        <v>22</v>
      </c>
      <c r="AF198">
        <v>4</v>
      </c>
      <c r="AG198">
        <v>12</v>
      </c>
      <c r="AH198">
        <v>3</v>
      </c>
      <c r="AI198">
        <v>1</v>
      </c>
      <c r="AJ198" t="s">
        <v>245</v>
      </c>
      <c r="AK198">
        <v>0</v>
      </c>
    </row>
    <row r="199" spans="1:37" x14ac:dyDescent="0.25">
      <c r="A199">
        <v>2024</v>
      </c>
      <c r="B199" s="1">
        <v>45584</v>
      </c>
      <c r="C199">
        <v>30</v>
      </c>
      <c r="D199">
        <v>25189</v>
      </c>
      <c r="E199">
        <v>30618</v>
      </c>
      <c r="F199" t="s">
        <v>94</v>
      </c>
      <c r="G199" t="s">
        <v>56</v>
      </c>
      <c r="H199" t="s">
        <v>64</v>
      </c>
      <c r="I199" t="s">
        <v>58</v>
      </c>
      <c r="J199">
        <v>17</v>
      </c>
      <c r="K199">
        <v>15</v>
      </c>
      <c r="L199">
        <v>1285</v>
      </c>
      <c r="M199">
        <v>3720</v>
      </c>
      <c r="N199">
        <v>28</v>
      </c>
      <c r="O199" t="s">
        <v>233</v>
      </c>
      <c r="P199">
        <v>1</v>
      </c>
      <c r="Q199">
        <v>0</v>
      </c>
      <c r="R199">
        <v>0</v>
      </c>
      <c r="S199">
        <v>0</v>
      </c>
      <c r="T199">
        <v>5</v>
      </c>
      <c r="U199">
        <v>5</v>
      </c>
      <c r="V199">
        <v>15</v>
      </c>
      <c r="W199">
        <v>8</v>
      </c>
      <c r="X199">
        <v>8</v>
      </c>
      <c r="Y199">
        <v>14</v>
      </c>
      <c r="Z199">
        <v>0</v>
      </c>
      <c r="AA199">
        <v>2</v>
      </c>
      <c r="AB199">
        <v>2</v>
      </c>
      <c r="AC199">
        <v>0</v>
      </c>
      <c r="AD199">
        <v>11</v>
      </c>
      <c r="AE199">
        <v>9</v>
      </c>
      <c r="AF199">
        <v>5</v>
      </c>
      <c r="AG199">
        <v>7</v>
      </c>
      <c r="AH199">
        <v>1</v>
      </c>
      <c r="AI199">
        <v>1</v>
      </c>
      <c r="AJ199" t="s">
        <v>143</v>
      </c>
      <c r="AK199">
        <v>0</v>
      </c>
    </row>
    <row r="200" spans="1:37" x14ac:dyDescent="0.25">
      <c r="A200">
        <v>2024</v>
      </c>
      <c r="B200" s="1">
        <v>45584</v>
      </c>
      <c r="C200">
        <v>30</v>
      </c>
      <c r="D200">
        <v>3622</v>
      </c>
      <c r="E200">
        <v>13000</v>
      </c>
      <c r="F200" t="s">
        <v>76</v>
      </c>
      <c r="G200" t="s">
        <v>70</v>
      </c>
      <c r="H200" t="s">
        <v>238</v>
      </c>
      <c r="I200" t="s">
        <v>237</v>
      </c>
      <c r="J200">
        <v>20</v>
      </c>
      <c r="K200">
        <v>19</v>
      </c>
      <c r="L200">
        <v>970</v>
      </c>
      <c r="M200">
        <v>1615</v>
      </c>
      <c r="N200" t="s">
        <v>104</v>
      </c>
      <c r="O200" t="s">
        <v>74</v>
      </c>
      <c r="P200">
        <v>0</v>
      </c>
      <c r="Q200">
        <v>0</v>
      </c>
      <c r="R200">
        <v>0</v>
      </c>
      <c r="S200">
        <v>0</v>
      </c>
      <c r="T200">
        <v>8</v>
      </c>
      <c r="U200">
        <v>4</v>
      </c>
      <c r="V200">
        <v>17</v>
      </c>
      <c r="W200">
        <v>15</v>
      </c>
      <c r="X200">
        <v>14</v>
      </c>
      <c r="Y200">
        <v>16</v>
      </c>
      <c r="Z200">
        <v>0</v>
      </c>
      <c r="AA200">
        <v>4</v>
      </c>
      <c r="AB200">
        <v>0</v>
      </c>
      <c r="AC200">
        <v>1</v>
      </c>
      <c r="AD200">
        <v>16</v>
      </c>
      <c r="AE200">
        <v>6</v>
      </c>
      <c r="AF200">
        <v>7</v>
      </c>
      <c r="AG200">
        <v>2</v>
      </c>
      <c r="AH200">
        <v>0</v>
      </c>
      <c r="AI200">
        <v>0</v>
      </c>
      <c r="AJ200" t="s">
        <v>143</v>
      </c>
      <c r="AK200">
        <v>0</v>
      </c>
    </row>
    <row r="201" spans="1:37" x14ac:dyDescent="0.25">
      <c r="A201">
        <v>2024</v>
      </c>
      <c r="B201" s="1">
        <v>45584</v>
      </c>
      <c r="C201">
        <v>30</v>
      </c>
      <c r="D201">
        <v>48049</v>
      </c>
      <c r="E201">
        <v>50848</v>
      </c>
      <c r="F201" t="s">
        <v>37</v>
      </c>
      <c r="G201" t="s">
        <v>83</v>
      </c>
      <c r="H201" t="s">
        <v>46</v>
      </c>
      <c r="I201" t="s">
        <v>85</v>
      </c>
      <c r="J201">
        <v>6</v>
      </c>
      <c r="K201">
        <v>13</v>
      </c>
      <c r="L201">
        <v>3890</v>
      </c>
      <c r="M201">
        <v>4010</v>
      </c>
      <c r="N201" t="s">
        <v>151</v>
      </c>
      <c r="O201" t="s">
        <v>166</v>
      </c>
      <c r="P201">
        <v>1</v>
      </c>
      <c r="Q201">
        <v>0</v>
      </c>
      <c r="R201">
        <v>0</v>
      </c>
      <c r="S201">
        <v>0</v>
      </c>
      <c r="T201">
        <v>3</v>
      </c>
      <c r="U201">
        <v>6</v>
      </c>
      <c r="V201">
        <v>14</v>
      </c>
      <c r="W201">
        <v>15</v>
      </c>
      <c r="X201">
        <v>14</v>
      </c>
      <c r="Y201">
        <v>14</v>
      </c>
      <c r="Z201">
        <v>7</v>
      </c>
      <c r="AA201">
        <v>5</v>
      </c>
      <c r="AB201">
        <v>1</v>
      </c>
      <c r="AC201">
        <v>1</v>
      </c>
      <c r="AD201">
        <v>18</v>
      </c>
      <c r="AE201">
        <v>9</v>
      </c>
      <c r="AF201">
        <v>6</v>
      </c>
      <c r="AG201">
        <v>1</v>
      </c>
      <c r="AH201">
        <v>1</v>
      </c>
      <c r="AI201">
        <v>1</v>
      </c>
      <c r="AJ201" t="s">
        <v>301</v>
      </c>
      <c r="AK201">
        <v>0</v>
      </c>
    </row>
    <row r="202" spans="1:37" x14ac:dyDescent="0.25">
      <c r="A202">
        <v>2024</v>
      </c>
      <c r="B202" s="1">
        <v>45584</v>
      </c>
      <c r="C202">
        <v>30</v>
      </c>
      <c r="D202">
        <v>64727</v>
      </c>
      <c r="E202">
        <v>76931</v>
      </c>
      <c r="F202" t="s">
        <v>51</v>
      </c>
      <c r="G202" t="s">
        <v>43</v>
      </c>
      <c r="H202" t="s">
        <v>53</v>
      </c>
      <c r="I202" t="s">
        <v>45</v>
      </c>
      <c r="J202">
        <v>1</v>
      </c>
      <c r="K202">
        <v>12</v>
      </c>
      <c r="L202">
        <v>8300</v>
      </c>
      <c r="M202">
        <v>940</v>
      </c>
      <c r="N202" t="s">
        <v>114</v>
      </c>
      <c r="O202" t="s">
        <v>205</v>
      </c>
      <c r="P202">
        <v>1</v>
      </c>
      <c r="Q202">
        <v>1</v>
      </c>
      <c r="R202">
        <v>0</v>
      </c>
      <c r="S202">
        <v>0</v>
      </c>
      <c r="T202">
        <v>9</v>
      </c>
      <c r="U202">
        <v>1</v>
      </c>
      <c r="V202">
        <v>12</v>
      </c>
      <c r="W202">
        <v>10</v>
      </c>
      <c r="X202">
        <v>9</v>
      </c>
      <c r="Y202">
        <v>11</v>
      </c>
      <c r="Z202">
        <v>2</v>
      </c>
      <c r="AA202">
        <v>6</v>
      </c>
      <c r="AB202">
        <v>1</v>
      </c>
      <c r="AC202">
        <v>2</v>
      </c>
      <c r="AD202">
        <v>25</v>
      </c>
      <c r="AE202">
        <v>6</v>
      </c>
      <c r="AF202">
        <v>8</v>
      </c>
      <c r="AG202">
        <v>3</v>
      </c>
      <c r="AH202">
        <v>0</v>
      </c>
      <c r="AI202">
        <v>0</v>
      </c>
      <c r="AJ202" t="s">
        <v>302</v>
      </c>
      <c r="AK202">
        <v>0</v>
      </c>
    </row>
    <row r="203" spans="1:37" x14ac:dyDescent="0.25">
      <c r="A203">
        <v>2024</v>
      </c>
      <c r="B203" s="1">
        <v>45584</v>
      </c>
      <c r="C203">
        <v>30</v>
      </c>
      <c r="D203">
        <v>34473</v>
      </c>
      <c r="E203">
        <v>61927</v>
      </c>
      <c r="F203" t="s">
        <v>50</v>
      </c>
      <c r="G203" t="s">
        <v>38</v>
      </c>
      <c r="H203" t="s">
        <v>57</v>
      </c>
      <c r="I203" t="s">
        <v>40</v>
      </c>
      <c r="J203">
        <v>8</v>
      </c>
      <c r="K203">
        <v>7</v>
      </c>
      <c r="L203">
        <v>4910</v>
      </c>
      <c r="M203">
        <v>3545</v>
      </c>
      <c r="N203" t="s">
        <v>135</v>
      </c>
      <c r="O203" t="s">
        <v>129</v>
      </c>
      <c r="P203">
        <v>1</v>
      </c>
      <c r="Q203">
        <v>1</v>
      </c>
      <c r="R203">
        <v>0</v>
      </c>
      <c r="S203">
        <v>0</v>
      </c>
      <c r="T203">
        <v>5</v>
      </c>
      <c r="U203">
        <v>7</v>
      </c>
      <c r="V203">
        <v>10</v>
      </c>
      <c r="W203">
        <v>8</v>
      </c>
      <c r="X203">
        <v>8</v>
      </c>
      <c r="Y203">
        <v>9</v>
      </c>
      <c r="Z203">
        <v>3</v>
      </c>
      <c r="AA203">
        <v>2</v>
      </c>
      <c r="AB203">
        <v>2</v>
      </c>
      <c r="AC203">
        <v>5</v>
      </c>
      <c r="AD203">
        <v>11</v>
      </c>
      <c r="AE203">
        <v>10</v>
      </c>
      <c r="AF203">
        <v>7</v>
      </c>
      <c r="AG203">
        <v>6</v>
      </c>
      <c r="AH203">
        <v>0</v>
      </c>
      <c r="AI203">
        <v>0</v>
      </c>
      <c r="AJ203" t="s">
        <v>148</v>
      </c>
      <c r="AK203">
        <v>0</v>
      </c>
    </row>
    <row r="204" spans="1:37" x14ac:dyDescent="0.25">
      <c r="A204">
        <v>2024</v>
      </c>
      <c r="B204" s="1">
        <v>45586</v>
      </c>
      <c r="C204">
        <v>30</v>
      </c>
      <c r="D204">
        <v>10102</v>
      </c>
      <c r="E204">
        <v>23726</v>
      </c>
      <c r="F204" t="s">
        <v>44</v>
      </c>
      <c r="G204" t="s">
        <v>95</v>
      </c>
      <c r="H204" t="s">
        <v>78</v>
      </c>
      <c r="I204" t="s">
        <v>97</v>
      </c>
      <c r="J204">
        <v>16</v>
      </c>
      <c r="K204">
        <v>2</v>
      </c>
      <c r="L204">
        <v>930</v>
      </c>
      <c r="M204">
        <v>11600</v>
      </c>
      <c r="N204" t="s">
        <v>98</v>
      </c>
      <c r="O204" t="s">
        <v>114</v>
      </c>
      <c r="P204">
        <v>3</v>
      </c>
      <c r="Q204">
        <v>5</v>
      </c>
      <c r="R204">
        <v>1</v>
      </c>
      <c r="S204">
        <v>2</v>
      </c>
      <c r="T204">
        <v>7</v>
      </c>
      <c r="U204">
        <v>5</v>
      </c>
      <c r="V204">
        <v>15</v>
      </c>
      <c r="W204">
        <v>19</v>
      </c>
      <c r="X204">
        <v>18</v>
      </c>
      <c r="Y204">
        <v>14</v>
      </c>
      <c r="Z204">
        <v>2</v>
      </c>
      <c r="AA204">
        <v>3</v>
      </c>
      <c r="AB204">
        <v>1</v>
      </c>
      <c r="AC204">
        <v>5</v>
      </c>
      <c r="AD204">
        <v>25</v>
      </c>
      <c r="AE204">
        <v>14</v>
      </c>
      <c r="AF204">
        <v>13</v>
      </c>
      <c r="AG204">
        <v>2</v>
      </c>
      <c r="AH204">
        <v>-2</v>
      </c>
      <c r="AI204">
        <v>0</v>
      </c>
      <c r="AJ204" t="s">
        <v>242</v>
      </c>
      <c r="AK204">
        <v>0</v>
      </c>
    </row>
    <row r="205" spans="1:37" x14ac:dyDescent="0.25">
      <c r="A205">
        <v>2024</v>
      </c>
      <c r="B205" s="1">
        <v>45591</v>
      </c>
      <c r="C205">
        <v>31</v>
      </c>
      <c r="D205">
        <v>36959</v>
      </c>
      <c r="E205">
        <v>60540</v>
      </c>
      <c r="F205" t="s">
        <v>83</v>
      </c>
      <c r="G205" t="s">
        <v>76</v>
      </c>
      <c r="H205" t="s">
        <v>85</v>
      </c>
      <c r="I205" t="s">
        <v>238</v>
      </c>
      <c r="J205">
        <v>11</v>
      </c>
      <c r="K205">
        <v>20</v>
      </c>
      <c r="L205">
        <v>4420</v>
      </c>
      <c r="M205">
        <v>1000</v>
      </c>
      <c r="N205" t="s">
        <v>74</v>
      </c>
      <c r="O205" t="s">
        <v>209</v>
      </c>
      <c r="P205">
        <v>3</v>
      </c>
      <c r="Q205">
        <v>1</v>
      </c>
      <c r="R205">
        <v>1</v>
      </c>
      <c r="S205">
        <v>1</v>
      </c>
      <c r="T205">
        <v>4</v>
      </c>
      <c r="U205">
        <v>3</v>
      </c>
      <c r="V205">
        <v>14</v>
      </c>
      <c r="W205">
        <v>18</v>
      </c>
      <c r="X205">
        <v>18</v>
      </c>
      <c r="Y205">
        <v>13</v>
      </c>
      <c r="Z205">
        <v>4</v>
      </c>
      <c r="AA205">
        <v>3</v>
      </c>
      <c r="AB205">
        <v>0</v>
      </c>
      <c r="AC205">
        <v>0</v>
      </c>
      <c r="AD205">
        <v>11</v>
      </c>
      <c r="AE205">
        <v>13</v>
      </c>
      <c r="AF205">
        <v>3</v>
      </c>
      <c r="AG205">
        <v>4</v>
      </c>
      <c r="AH205">
        <v>2</v>
      </c>
      <c r="AI205">
        <v>1</v>
      </c>
      <c r="AJ205" t="s">
        <v>303</v>
      </c>
      <c r="AK205">
        <v>0</v>
      </c>
    </row>
    <row r="206" spans="1:37" x14ac:dyDescent="0.25">
      <c r="A206">
        <v>2024</v>
      </c>
      <c r="B206" s="1">
        <v>45591</v>
      </c>
      <c r="C206">
        <v>31</v>
      </c>
      <c r="D206">
        <v>40321</v>
      </c>
      <c r="E206">
        <v>43713</v>
      </c>
      <c r="F206" t="s">
        <v>95</v>
      </c>
      <c r="G206" t="s">
        <v>63</v>
      </c>
      <c r="H206" t="s">
        <v>97</v>
      </c>
      <c r="I206" t="s">
        <v>65</v>
      </c>
      <c r="J206">
        <v>2</v>
      </c>
      <c r="K206">
        <v>3</v>
      </c>
      <c r="L206">
        <v>11300</v>
      </c>
      <c r="M206">
        <v>1655</v>
      </c>
      <c r="N206" t="s">
        <v>41</v>
      </c>
      <c r="O206" t="s">
        <v>142</v>
      </c>
      <c r="P206">
        <v>2</v>
      </c>
      <c r="Q206">
        <v>2</v>
      </c>
      <c r="R206">
        <v>1</v>
      </c>
      <c r="S206">
        <v>1</v>
      </c>
      <c r="T206">
        <v>3</v>
      </c>
      <c r="U206">
        <v>3</v>
      </c>
      <c r="V206">
        <v>9</v>
      </c>
      <c r="W206">
        <v>17</v>
      </c>
      <c r="X206">
        <v>15</v>
      </c>
      <c r="Y206">
        <v>9</v>
      </c>
      <c r="Z206">
        <v>1</v>
      </c>
      <c r="AA206">
        <v>4</v>
      </c>
      <c r="AB206">
        <v>0</v>
      </c>
      <c r="AC206">
        <v>0</v>
      </c>
      <c r="AD206">
        <v>16</v>
      </c>
      <c r="AE206">
        <v>11</v>
      </c>
      <c r="AF206">
        <v>5</v>
      </c>
      <c r="AG206">
        <v>6</v>
      </c>
      <c r="AH206">
        <v>0</v>
      </c>
      <c r="AI206">
        <v>0</v>
      </c>
      <c r="AJ206" t="s">
        <v>304</v>
      </c>
      <c r="AK206">
        <v>0</v>
      </c>
    </row>
    <row r="207" spans="1:37" x14ac:dyDescent="0.25">
      <c r="A207">
        <v>2024</v>
      </c>
      <c r="B207" s="1">
        <v>45591</v>
      </c>
      <c r="C207">
        <v>31</v>
      </c>
      <c r="D207">
        <v>35959</v>
      </c>
      <c r="E207">
        <v>42372</v>
      </c>
      <c r="F207" t="s">
        <v>69</v>
      </c>
      <c r="G207" t="s">
        <v>50</v>
      </c>
      <c r="H207" t="s">
        <v>241</v>
      </c>
      <c r="I207" t="s">
        <v>57</v>
      </c>
      <c r="J207">
        <v>12</v>
      </c>
      <c r="K207">
        <v>8</v>
      </c>
      <c r="L207">
        <v>1465</v>
      </c>
      <c r="M207">
        <v>1740</v>
      </c>
      <c r="N207" t="s">
        <v>151</v>
      </c>
      <c r="O207" t="s">
        <v>116</v>
      </c>
      <c r="P207">
        <v>3</v>
      </c>
      <c r="Q207">
        <v>0</v>
      </c>
      <c r="R207">
        <v>1</v>
      </c>
      <c r="S207">
        <v>0</v>
      </c>
      <c r="T207">
        <v>7</v>
      </c>
      <c r="U207">
        <v>1</v>
      </c>
      <c r="V207">
        <v>14</v>
      </c>
      <c r="W207">
        <v>14</v>
      </c>
      <c r="X207">
        <v>13</v>
      </c>
      <c r="Y207">
        <v>14</v>
      </c>
      <c r="Z207">
        <v>0</v>
      </c>
      <c r="AA207">
        <v>3</v>
      </c>
      <c r="AB207">
        <v>0</v>
      </c>
      <c r="AC207">
        <v>0</v>
      </c>
      <c r="AD207">
        <v>19</v>
      </c>
      <c r="AE207">
        <v>2</v>
      </c>
      <c r="AF207">
        <v>8</v>
      </c>
      <c r="AG207">
        <v>2</v>
      </c>
      <c r="AH207">
        <v>3</v>
      </c>
      <c r="AI207">
        <v>1</v>
      </c>
      <c r="AJ207" t="s">
        <v>305</v>
      </c>
      <c r="AK207">
        <v>0</v>
      </c>
    </row>
    <row r="208" spans="1:37" x14ac:dyDescent="0.25">
      <c r="A208">
        <v>2024</v>
      </c>
      <c r="B208" s="1">
        <v>45591</v>
      </c>
      <c r="C208">
        <v>31</v>
      </c>
      <c r="D208">
        <v>65700</v>
      </c>
      <c r="E208">
        <v>78838</v>
      </c>
      <c r="F208" t="s">
        <v>77</v>
      </c>
      <c r="G208" t="s">
        <v>44</v>
      </c>
      <c r="H208" t="s">
        <v>298</v>
      </c>
      <c r="I208" t="s">
        <v>78</v>
      </c>
      <c r="J208">
        <v>4</v>
      </c>
      <c r="K208">
        <v>18</v>
      </c>
      <c r="L208">
        <v>8900</v>
      </c>
      <c r="M208">
        <v>815</v>
      </c>
      <c r="N208" t="s">
        <v>120</v>
      </c>
      <c r="O208" t="s">
        <v>137</v>
      </c>
      <c r="P208">
        <v>4</v>
      </c>
      <c r="Q208">
        <v>2</v>
      </c>
      <c r="R208">
        <v>1</v>
      </c>
      <c r="S208">
        <v>1</v>
      </c>
      <c r="T208">
        <v>8</v>
      </c>
      <c r="U208">
        <v>1</v>
      </c>
      <c r="V208">
        <v>8</v>
      </c>
      <c r="W208">
        <v>14</v>
      </c>
      <c r="X208">
        <v>13</v>
      </c>
      <c r="Y208">
        <v>8</v>
      </c>
      <c r="Z208">
        <v>1</v>
      </c>
      <c r="AA208">
        <v>6</v>
      </c>
      <c r="AB208">
        <v>2</v>
      </c>
      <c r="AC208">
        <v>1</v>
      </c>
      <c r="AD208">
        <v>20</v>
      </c>
      <c r="AE208">
        <v>5</v>
      </c>
      <c r="AF208">
        <v>7</v>
      </c>
      <c r="AG208">
        <v>2</v>
      </c>
      <c r="AH208">
        <v>2</v>
      </c>
      <c r="AI208">
        <v>1</v>
      </c>
      <c r="AJ208" t="s">
        <v>306</v>
      </c>
      <c r="AK208">
        <v>0</v>
      </c>
    </row>
    <row r="209" spans="1:37" x14ac:dyDescent="0.25">
      <c r="A209">
        <v>2024</v>
      </c>
      <c r="B209" s="1">
        <v>45591</v>
      </c>
      <c r="C209">
        <v>31</v>
      </c>
      <c r="D209">
        <v>29497</v>
      </c>
      <c r="E209">
        <v>30618</v>
      </c>
      <c r="F209" t="s">
        <v>94</v>
      </c>
      <c r="G209" t="s">
        <v>55</v>
      </c>
      <c r="H209" t="s">
        <v>64</v>
      </c>
      <c r="I209" t="s">
        <v>240</v>
      </c>
      <c r="J209">
        <v>15</v>
      </c>
      <c r="K209">
        <v>14</v>
      </c>
      <c r="L209">
        <v>1205</v>
      </c>
      <c r="M209">
        <v>3735</v>
      </c>
      <c r="N209" t="s">
        <v>137</v>
      </c>
      <c r="O209" t="s">
        <v>208</v>
      </c>
      <c r="P209">
        <v>2</v>
      </c>
      <c r="Q209">
        <v>1</v>
      </c>
      <c r="R209">
        <v>1</v>
      </c>
      <c r="S209">
        <v>0</v>
      </c>
      <c r="T209">
        <v>7</v>
      </c>
      <c r="U209">
        <v>5</v>
      </c>
      <c r="V209">
        <v>15</v>
      </c>
      <c r="W209">
        <v>7</v>
      </c>
      <c r="X209">
        <v>7</v>
      </c>
      <c r="Y209">
        <v>15</v>
      </c>
      <c r="Z209">
        <v>4</v>
      </c>
      <c r="AA209">
        <v>1</v>
      </c>
      <c r="AB209">
        <v>2</v>
      </c>
      <c r="AC209">
        <v>2</v>
      </c>
      <c r="AD209">
        <v>12</v>
      </c>
      <c r="AE209">
        <v>11</v>
      </c>
      <c r="AF209">
        <v>5</v>
      </c>
      <c r="AG209">
        <v>3</v>
      </c>
      <c r="AH209">
        <v>1</v>
      </c>
      <c r="AI209">
        <v>1</v>
      </c>
      <c r="AJ209" t="s">
        <v>307</v>
      </c>
      <c r="AK209">
        <v>0</v>
      </c>
    </row>
    <row r="210" spans="1:37" hidden="1" x14ac:dyDescent="0.25">
      <c r="A210">
        <v>2023</v>
      </c>
      <c r="B210" s="1">
        <v>45038</v>
      </c>
      <c r="C210">
        <v>2</v>
      </c>
      <c r="D210">
        <v>38598</v>
      </c>
      <c r="F210" t="s">
        <v>55</v>
      </c>
      <c r="G210" t="s">
        <v>69</v>
      </c>
      <c r="H210" t="s">
        <v>57</v>
      </c>
      <c r="I210" t="s">
        <v>308</v>
      </c>
      <c r="J210">
        <v>1</v>
      </c>
      <c r="K210">
        <v>11</v>
      </c>
      <c r="L210">
        <v>3695</v>
      </c>
      <c r="M210">
        <v>2730</v>
      </c>
      <c r="N210" t="s">
        <v>309</v>
      </c>
      <c r="O210" t="s">
        <v>135</v>
      </c>
      <c r="P210">
        <v>2</v>
      </c>
      <c r="Q210">
        <v>0</v>
      </c>
      <c r="R210">
        <v>1</v>
      </c>
      <c r="S210">
        <v>0</v>
      </c>
      <c r="T210">
        <v>10</v>
      </c>
      <c r="U210">
        <v>6</v>
      </c>
      <c r="V210">
        <v>13</v>
      </c>
      <c r="W210">
        <v>20</v>
      </c>
      <c r="X210">
        <v>20</v>
      </c>
      <c r="Y210">
        <v>13</v>
      </c>
      <c r="Z210">
        <v>1</v>
      </c>
      <c r="AA210">
        <v>2</v>
      </c>
      <c r="AB210">
        <v>3</v>
      </c>
      <c r="AC210">
        <v>1</v>
      </c>
      <c r="AD210">
        <v>14</v>
      </c>
      <c r="AE210">
        <v>10</v>
      </c>
      <c r="AF210">
        <v>6</v>
      </c>
      <c r="AG210">
        <v>4</v>
      </c>
      <c r="AH210">
        <v>2</v>
      </c>
      <c r="AI210">
        <v>1</v>
      </c>
    </row>
    <row r="211" spans="1:37" hidden="1" x14ac:dyDescent="0.25">
      <c r="A211">
        <v>2023</v>
      </c>
      <c r="B211" s="1">
        <v>45075</v>
      </c>
      <c r="C211">
        <v>8</v>
      </c>
      <c r="D211">
        <v>23708</v>
      </c>
      <c r="F211" t="s">
        <v>51</v>
      </c>
      <c r="G211" t="s">
        <v>310</v>
      </c>
      <c r="H211" t="s">
        <v>311</v>
      </c>
      <c r="I211" t="s">
        <v>312</v>
      </c>
      <c r="J211">
        <v>1</v>
      </c>
      <c r="K211">
        <v>19</v>
      </c>
      <c r="L211">
        <v>2280</v>
      </c>
      <c r="M211">
        <v>890</v>
      </c>
      <c r="N211" t="s">
        <v>123</v>
      </c>
      <c r="O211" t="s">
        <v>137</v>
      </c>
      <c r="P211">
        <v>2</v>
      </c>
      <c r="Q211">
        <v>0</v>
      </c>
      <c r="R211">
        <v>1</v>
      </c>
      <c r="S211">
        <v>0</v>
      </c>
      <c r="T211">
        <v>7</v>
      </c>
      <c r="U211">
        <v>0</v>
      </c>
      <c r="V211">
        <v>9</v>
      </c>
      <c r="W211">
        <v>11</v>
      </c>
      <c r="X211">
        <v>11</v>
      </c>
      <c r="Y211">
        <v>9</v>
      </c>
      <c r="Z211">
        <v>1</v>
      </c>
      <c r="AA211">
        <v>4</v>
      </c>
      <c r="AB211">
        <v>2</v>
      </c>
      <c r="AC211">
        <v>3</v>
      </c>
      <c r="AD211">
        <v>18</v>
      </c>
      <c r="AE211">
        <v>4</v>
      </c>
      <c r="AF211">
        <v>4</v>
      </c>
      <c r="AG211">
        <v>2</v>
      </c>
      <c r="AH211">
        <v>2</v>
      </c>
      <c r="AI211">
        <v>1</v>
      </c>
    </row>
    <row r="212" spans="1:37" hidden="1" x14ac:dyDescent="0.25">
      <c r="A212">
        <v>2023</v>
      </c>
      <c r="B212" s="1">
        <v>45123</v>
      </c>
      <c r="C212">
        <v>15</v>
      </c>
      <c r="D212">
        <v>41823</v>
      </c>
      <c r="F212" t="s">
        <v>37</v>
      </c>
      <c r="G212" t="s">
        <v>95</v>
      </c>
      <c r="H212" t="s">
        <v>240</v>
      </c>
      <c r="I212" t="s">
        <v>97</v>
      </c>
      <c r="J212">
        <v>11</v>
      </c>
      <c r="K212">
        <v>6</v>
      </c>
      <c r="L212">
        <v>4115</v>
      </c>
      <c r="M212">
        <v>7345</v>
      </c>
      <c r="N212" t="s">
        <v>200</v>
      </c>
      <c r="O212" t="s">
        <v>114</v>
      </c>
      <c r="P212">
        <v>0</v>
      </c>
      <c r="Q212">
        <v>0</v>
      </c>
      <c r="R212">
        <v>0</v>
      </c>
      <c r="S212">
        <v>0</v>
      </c>
      <c r="T212">
        <v>4</v>
      </c>
      <c r="U212">
        <v>7</v>
      </c>
      <c r="V212">
        <v>18</v>
      </c>
      <c r="W212">
        <v>13</v>
      </c>
      <c r="X212">
        <v>13</v>
      </c>
      <c r="Y212">
        <v>17</v>
      </c>
      <c r="Z212">
        <v>5</v>
      </c>
      <c r="AA212">
        <v>4</v>
      </c>
      <c r="AB212">
        <v>1</v>
      </c>
      <c r="AC212">
        <v>2</v>
      </c>
      <c r="AD212">
        <v>9</v>
      </c>
      <c r="AE212">
        <v>16</v>
      </c>
      <c r="AF212">
        <v>4</v>
      </c>
      <c r="AG212">
        <v>5</v>
      </c>
      <c r="AH212">
        <v>0</v>
      </c>
      <c r="AI212">
        <v>0</v>
      </c>
    </row>
    <row r="213" spans="1:37" hidden="1" x14ac:dyDescent="0.25">
      <c r="A213">
        <v>2023</v>
      </c>
      <c r="B213" s="1">
        <v>45123</v>
      </c>
      <c r="C213">
        <v>15</v>
      </c>
      <c r="D213">
        <v>17091</v>
      </c>
      <c r="F213" t="s">
        <v>69</v>
      </c>
      <c r="G213" t="s">
        <v>38</v>
      </c>
      <c r="J213">
        <v>8</v>
      </c>
      <c r="K213">
        <v>16</v>
      </c>
      <c r="L213">
        <v>5290</v>
      </c>
      <c r="M213">
        <v>2760</v>
      </c>
      <c r="N213" t="s">
        <v>80</v>
      </c>
      <c r="O213" t="s">
        <v>104</v>
      </c>
      <c r="P213">
        <v>2</v>
      </c>
      <c r="Q213">
        <v>0</v>
      </c>
      <c r="R213">
        <v>2</v>
      </c>
      <c r="S213">
        <v>0</v>
      </c>
      <c r="T213">
        <v>5</v>
      </c>
      <c r="U213">
        <v>3</v>
      </c>
      <c r="V213">
        <v>14</v>
      </c>
      <c r="W213">
        <v>9</v>
      </c>
      <c r="X213">
        <v>9</v>
      </c>
      <c r="Y213">
        <v>13</v>
      </c>
      <c r="Z213">
        <v>6</v>
      </c>
      <c r="AA213">
        <v>5</v>
      </c>
      <c r="AB213">
        <v>4</v>
      </c>
      <c r="AC213">
        <v>0</v>
      </c>
      <c r="AD213">
        <v>15</v>
      </c>
      <c r="AE213">
        <v>8</v>
      </c>
      <c r="AF213">
        <v>5</v>
      </c>
      <c r="AG213">
        <v>2</v>
      </c>
      <c r="AH213">
        <v>2</v>
      </c>
      <c r="AI213">
        <v>1</v>
      </c>
    </row>
    <row r="214" spans="1:37" hidden="1" x14ac:dyDescent="0.25">
      <c r="A214">
        <v>2023</v>
      </c>
      <c r="B214" s="1">
        <v>45218</v>
      </c>
      <c r="C214">
        <v>27</v>
      </c>
      <c r="D214">
        <v>12685</v>
      </c>
      <c r="F214" t="s">
        <v>313</v>
      </c>
      <c r="G214" t="s">
        <v>62</v>
      </c>
      <c r="H214" t="s">
        <v>314</v>
      </c>
      <c r="I214" t="s">
        <v>315</v>
      </c>
      <c r="J214">
        <v>18</v>
      </c>
      <c r="K214">
        <v>11</v>
      </c>
      <c r="L214">
        <v>713</v>
      </c>
      <c r="M214">
        <v>3760</v>
      </c>
      <c r="N214" t="s">
        <v>74</v>
      </c>
      <c r="O214" t="s">
        <v>107</v>
      </c>
      <c r="P214">
        <v>2</v>
      </c>
      <c r="Q214">
        <v>0</v>
      </c>
      <c r="R214">
        <v>2</v>
      </c>
      <c r="S214">
        <v>0</v>
      </c>
      <c r="T214">
        <v>6</v>
      </c>
      <c r="U214">
        <v>3</v>
      </c>
      <c r="V214">
        <v>18</v>
      </c>
      <c r="W214">
        <v>15</v>
      </c>
      <c r="X214">
        <v>15</v>
      </c>
      <c r="Y214">
        <v>17</v>
      </c>
      <c r="Z214">
        <v>3</v>
      </c>
      <c r="AA214">
        <v>0</v>
      </c>
      <c r="AB214">
        <v>0</v>
      </c>
      <c r="AC214">
        <v>0</v>
      </c>
      <c r="AD214">
        <v>7</v>
      </c>
      <c r="AE214">
        <v>8</v>
      </c>
      <c r="AF214">
        <v>2</v>
      </c>
      <c r="AG214">
        <v>3</v>
      </c>
      <c r="AH214">
        <v>2</v>
      </c>
      <c r="AI214">
        <v>1</v>
      </c>
    </row>
    <row r="215" spans="1:37" hidden="1" x14ac:dyDescent="0.25">
      <c r="A215">
        <v>2023</v>
      </c>
      <c r="B215" s="1">
        <v>45263</v>
      </c>
      <c r="C215">
        <v>37</v>
      </c>
      <c r="D215">
        <v>29986</v>
      </c>
      <c r="F215" t="s">
        <v>95</v>
      </c>
      <c r="G215" t="s">
        <v>55</v>
      </c>
      <c r="H215" t="s">
        <v>97</v>
      </c>
      <c r="I215" t="s">
        <v>57</v>
      </c>
      <c r="J215">
        <v>1</v>
      </c>
      <c r="K215">
        <v>7</v>
      </c>
      <c r="L215">
        <v>8200</v>
      </c>
      <c r="M215">
        <v>2010</v>
      </c>
      <c r="N215" t="s">
        <v>137</v>
      </c>
      <c r="O215" t="s">
        <v>86</v>
      </c>
      <c r="P215">
        <v>1</v>
      </c>
      <c r="Q215">
        <v>0</v>
      </c>
      <c r="R215">
        <v>1</v>
      </c>
      <c r="S215">
        <v>0</v>
      </c>
      <c r="T215">
        <v>7</v>
      </c>
      <c r="U215">
        <v>1</v>
      </c>
      <c r="V215">
        <v>11</v>
      </c>
      <c r="W215">
        <v>12</v>
      </c>
      <c r="X215">
        <v>11</v>
      </c>
      <c r="Y215">
        <v>10</v>
      </c>
      <c r="Z215">
        <v>2</v>
      </c>
      <c r="AA215">
        <v>4</v>
      </c>
      <c r="AB215">
        <v>1</v>
      </c>
      <c r="AC215">
        <v>3</v>
      </c>
      <c r="AD215">
        <v>22</v>
      </c>
      <c r="AE215">
        <v>6</v>
      </c>
      <c r="AF215">
        <v>11</v>
      </c>
      <c r="AG215">
        <v>3</v>
      </c>
      <c r="AH215">
        <v>1</v>
      </c>
      <c r="AI215">
        <v>1</v>
      </c>
    </row>
    <row r="216" spans="1:37" hidden="1" x14ac:dyDescent="0.25">
      <c r="A216">
        <v>2023</v>
      </c>
      <c r="B216" s="1">
        <v>45099</v>
      </c>
      <c r="C216">
        <v>11</v>
      </c>
      <c r="D216">
        <v>31013</v>
      </c>
      <c r="E216">
        <v>47364</v>
      </c>
      <c r="F216" t="s">
        <v>38</v>
      </c>
      <c r="G216" t="s">
        <v>95</v>
      </c>
      <c r="H216" t="s">
        <v>316</v>
      </c>
      <c r="I216" t="s">
        <v>97</v>
      </c>
      <c r="J216">
        <v>14</v>
      </c>
      <c r="K216">
        <v>2</v>
      </c>
      <c r="L216">
        <v>3055</v>
      </c>
      <c r="M216">
        <v>7130</v>
      </c>
      <c r="N216" t="s">
        <v>151</v>
      </c>
      <c r="O216" t="s">
        <v>114</v>
      </c>
      <c r="P216">
        <v>1</v>
      </c>
      <c r="Q216">
        <v>0</v>
      </c>
      <c r="R216">
        <v>0</v>
      </c>
      <c r="S216">
        <v>0</v>
      </c>
      <c r="T216">
        <v>6</v>
      </c>
      <c r="U216">
        <v>8</v>
      </c>
      <c r="V216">
        <v>18</v>
      </c>
      <c r="W216">
        <v>16</v>
      </c>
      <c r="X216">
        <v>16</v>
      </c>
      <c r="Y216">
        <v>18</v>
      </c>
      <c r="Z216">
        <v>2</v>
      </c>
      <c r="AA216">
        <v>2</v>
      </c>
      <c r="AB216">
        <v>6</v>
      </c>
      <c r="AC216">
        <v>7</v>
      </c>
      <c r="AD216">
        <v>9</v>
      </c>
      <c r="AE216">
        <v>10</v>
      </c>
      <c r="AF216">
        <v>4</v>
      </c>
      <c r="AG216">
        <v>6</v>
      </c>
      <c r="AH216">
        <v>1</v>
      </c>
      <c r="AI216">
        <v>1</v>
      </c>
    </row>
    <row r="217" spans="1:37" hidden="1" x14ac:dyDescent="0.25">
      <c r="A217">
        <v>2023</v>
      </c>
      <c r="B217" s="1">
        <v>45129</v>
      </c>
      <c r="C217">
        <v>16</v>
      </c>
      <c r="D217">
        <v>43716</v>
      </c>
      <c r="E217">
        <v>47364</v>
      </c>
      <c r="F217" t="s">
        <v>38</v>
      </c>
      <c r="G217" t="s">
        <v>88</v>
      </c>
      <c r="H217" t="s">
        <v>316</v>
      </c>
      <c r="I217" t="s">
        <v>317</v>
      </c>
      <c r="J217">
        <v>17</v>
      </c>
      <c r="K217">
        <v>14</v>
      </c>
      <c r="L217">
        <v>2405</v>
      </c>
      <c r="M217">
        <v>4490</v>
      </c>
      <c r="N217" t="s">
        <v>168</v>
      </c>
      <c r="O217" t="s">
        <v>193</v>
      </c>
      <c r="P217">
        <v>0</v>
      </c>
      <c r="Q217">
        <v>0</v>
      </c>
      <c r="R217">
        <v>0</v>
      </c>
      <c r="S217">
        <v>0</v>
      </c>
      <c r="T217">
        <v>11</v>
      </c>
      <c r="U217">
        <v>5</v>
      </c>
      <c r="V217">
        <v>13</v>
      </c>
      <c r="W217">
        <v>20</v>
      </c>
      <c r="X217">
        <v>20</v>
      </c>
      <c r="Y217">
        <v>13</v>
      </c>
      <c r="Z217">
        <v>1</v>
      </c>
      <c r="AA217">
        <v>4</v>
      </c>
      <c r="AB217">
        <v>2</v>
      </c>
      <c r="AC217">
        <v>4</v>
      </c>
      <c r="AD217">
        <v>18</v>
      </c>
      <c r="AE217">
        <v>5</v>
      </c>
      <c r="AF217">
        <v>8</v>
      </c>
      <c r="AG217">
        <v>1</v>
      </c>
      <c r="AH217">
        <v>0</v>
      </c>
      <c r="AI217">
        <v>0</v>
      </c>
    </row>
    <row r="218" spans="1:37" hidden="1" x14ac:dyDescent="0.25">
      <c r="A218">
        <v>2023</v>
      </c>
      <c r="B218" s="1">
        <v>45158</v>
      </c>
      <c r="C218">
        <v>20</v>
      </c>
      <c r="D218">
        <v>38452</v>
      </c>
      <c r="E218">
        <v>47364</v>
      </c>
      <c r="F218" t="s">
        <v>38</v>
      </c>
      <c r="G218" t="s">
        <v>56</v>
      </c>
      <c r="H218" t="s">
        <v>316</v>
      </c>
      <c r="I218" t="s">
        <v>58</v>
      </c>
      <c r="J218">
        <v>16</v>
      </c>
      <c r="K218">
        <v>7</v>
      </c>
      <c r="L218">
        <v>2475</v>
      </c>
      <c r="M218">
        <v>3130</v>
      </c>
      <c r="N218" t="s">
        <v>128</v>
      </c>
      <c r="O218" t="s">
        <v>318</v>
      </c>
      <c r="P218">
        <v>4</v>
      </c>
      <c r="Q218">
        <v>0</v>
      </c>
      <c r="R218">
        <v>2</v>
      </c>
      <c r="S218">
        <v>0</v>
      </c>
      <c r="T218">
        <v>4</v>
      </c>
      <c r="U218">
        <v>7</v>
      </c>
      <c r="V218">
        <v>11</v>
      </c>
      <c r="W218">
        <v>18</v>
      </c>
      <c r="X218">
        <v>17</v>
      </c>
      <c r="Y218">
        <v>10</v>
      </c>
      <c r="Z218">
        <v>7</v>
      </c>
      <c r="AA218">
        <v>1</v>
      </c>
      <c r="AB218">
        <v>1</v>
      </c>
      <c r="AC218">
        <v>5</v>
      </c>
      <c r="AD218">
        <v>13</v>
      </c>
      <c r="AE218">
        <v>11</v>
      </c>
      <c r="AF218">
        <v>3</v>
      </c>
      <c r="AG218">
        <v>2</v>
      </c>
      <c r="AH218">
        <v>4</v>
      </c>
      <c r="AI218">
        <v>1</v>
      </c>
    </row>
    <row r="219" spans="1:37" hidden="1" x14ac:dyDescent="0.25">
      <c r="A219">
        <v>2023</v>
      </c>
      <c r="B219" s="1">
        <v>45218</v>
      </c>
      <c r="C219">
        <v>27</v>
      </c>
      <c r="D219">
        <v>31385</v>
      </c>
      <c r="E219">
        <v>47364</v>
      </c>
      <c r="F219" t="s">
        <v>38</v>
      </c>
      <c r="G219" t="s">
        <v>37</v>
      </c>
      <c r="H219" t="s">
        <v>40</v>
      </c>
      <c r="I219" t="s">
        <v>39</v>
      </c>
      <c r="J219">
        <v>14</v>
      </c>
      <c r="K219">
        <v>12</v>
      </c>
      <c r="L219">
        <v>2335</v>
      </c>
      <c r="M219">
        <v>3885</v>
      </c>
      <c r="N219" t="s">
        <v>134</v>
      </c>
      <c r="O219" t="s">
        <v>193</v>
      </c>
      <c r="P219">
        <v>1</v>
      </c>
      <c r="Q219">
        <v>0</v>
      </c>
      <c r="R219">
        <v>1</v>
      </c>
      <c r="S219">
        <v>0</v>
      </c>
      <c r="T219">
        <v>5</v>
      </c>
      <c r="U219">
        <v>3</v>
      </c>
      <c r="V219">
        <v>14</v>
      </c>
      <c r="W219">
        <v>13</v>
      </c>
      <c r="X219">
        <v>13</v>
      </c>
      <c r="Y219">
        <v>13</v>
      </c>
      <c r="Z219">
        <v>1</v>
      </c>
      <c r="AA219">
        <v>3</v>
      </c>
      <c r="AB219">
        <v>4</v>
      </c>
      <c r="AC219">
        <v>0</v>
      </c>
      <c r="AD219">
        <v>14</v>
      </c>
      <c r="AE219">
        <v>12</v>
      </c>
      <c r="AF219">
        <v>7</v>
      </c>
      <c r="AG219">
        <v>5</v>
      </c>
      <c r="AH219">
        <v>1</v>
      </c>
      <c r="AI219">
        <v>1</v>
      </c>
    </row>
    <row r="220" spans="1:37" hidden="1" x14ac:dyDescent="0.25">
      <c r="A220">
        <v>2023</v>
      </c>
      <c r="B220" s="1">
        <v>45220</v>
      </c>
      <c r="C220">
        <v>28</v>
      </c>
      <c r="D220">
        <v>44761</v>
      </c>
      <c r="E220">
        <v>47364</v>
      </c>
      <c r="F220" t="s">
        <v>38</v>
      </c>
      <c r="G220" t="s">
        <v>63</v>
      </c>
      <c r="H220" t="s">
        <v>40</v>
      </c>
      <c r="I220" t="s">
        <v>65</v>
      </c>
      <c r="J220">
        <v>13</v>
      </c>
      <c r="K220">
        <v>8</v>
      </c>
      <c r="L220">
        <v>2760</v>
      </c>
      <c r="M220">
        <v>1110</v>
      </c>
      <c r="N220" t="s">
        <v>120</v>
      </c>
      <c r="O220">
        <v>31</v>
      </c>
      <c r="P220">
        <v>2</v>
      </c>
      <c r="Q220">
        <v>0</v>
      </c>
      <c r="R220">
        <v>1</v>
      </c>
      <c r="S220">
        <v>0</v>
      </c>
      <c r="T220">
        <v>7</v>
      </c>
      <c r="U220">
        <v>2</v>
      </c>
      <c r="V220">
        <v>23</v>
      </c>
      <c r="W220">
        <v>13</v>
      </c>
      <c r="X220">
        <v>13</v>
      </c>
      <c r="Y220">
        <v>22</v>
      </c>
      <c r="Z220">
        <v>5</v>
      </c>
      <c r="AA220">
        <v>1</v>
      </c>
      <c r="AB220">
        <v>0</v>
      </c>
      <c r="AC220">
        <v>5</v>
      </c>
      <c r="AD220">
        <v>16</v>
      </c>
      <c r="AE220">
        <v>10</v>
      </c>
      <c r="AF220">
        <v>10</v>
      </c>
      <c r="AG220">
        <v>4</v>
      </c>
      <c r="AH220">
        <v>2</v>
      </c>
      <c r="AI220">
        <v>1</v>
      </c>
    </row>
    <row r="221" spans="1:37" hidden="1" x14ac:dyDescent="0.25">
      <c r="A221">
        <v>2023</v>
      </c>
      <c r="B221" s="1">
        <v>45230</v>
      </c>
      <c r="C221">
        <v>31</v>
      </c>
      <c r="D221">
        <v>34319</v>
      </c>
      <c r="E221">
        <v>47364</v>
      </c>
      <c r="F221" t="s">
        <v>38</v>
      </c>
      <c r="G221" t="s">
        <v>55</v>
      </c>
      <c r="H221" t="s">
        <v>40</v>
      </c>
      <c r="I221" t="s">
        <v>286</v>
      </c>
      <c r="J221">
        <v>15</v>
      </c>
      <c r="K221">
        <v>8</v>
      </c>
      <c r="L221">
        <v>2335</v>
      </c>
      <c r="M221">
        <v>1890</v>
      </c>
      <c r="N221" t="s">
        <v>134</v>
      </c>
      <c r="O221" t="s">
        <v>104</v>
      </c>
      <c r="P221">
        <v>1</v>
      </c>
      <c r="Q221">
        <v>0</v>
      </c>
      <c r="R221">
        <v>1</v>
      </c>
      <c r="S221">
        <v>0</v>
      </c>
      <c r="T221">
        <v>2</v>
      </c>
      <c r="U221">
        <v>4</v>
      </c>
      <c r="V221">
        <v>15</v>
      </c>
      <c r="W221">
        <v>16</v>
      </c>
      <c r="X221">
        <v>16</v>
      </c>
      <c r="Y221">
        <v>13</v>
      </c>
      <c r="Z221">
        <v>4</v>
      </c>
      <c r="AA221">
        <v>4</v>
      </c>
      <c r="AB221">
        <v>1</v>
      </c>
      <c r="AC221">
        <v>1</v>
      </c>
      <c r="AD221">
        <v>8</v>
      </c>
      <c r="AE221">
        <v>17</v>
      </c>
      <c r="AF221">
        <v>1</v>
      </c>
      <c r="AG221">
        <v>13</v>
      </c>
      <c r="AH221">
        <v>1</v>
      </c>
      <c r="AI221">
        <v>1</v>
      </c>
    </row>
    <row r="222" spans="1:37" hidden="1" x14ac:dyDescent="0.25">
      <c r="A222">
        <v>2023</v>
      </c>
      <c r="B222" s="1">
        <v>45144</v>
      </c>
      <c r="C222">
        <v>18</v>
      </c>
      <c r="D222">
        <v>0</v>
      </c>
      <c r="E222">
        <v>24584</v>
      </c>
      <c r="F222" t="s">
        <v>82</v>
      </c>
      <c r="G222" t="s">
        <v>83</v>
      </c>
      <c r="H222" t="s">
        <v>84</v>
      </c>
      <c r="I222" t="s">
        <v>319</v>
      </c>
      <c r="J222">
        <v>18</v>
      </c>
      <c r="K222">
        <v>4</v>
      </c>
      <c r="L222">
        <v>3630</v>
      </c>
      <c r="M222">
        <v>3560</v>
      </c>
      <c r="N222" t="s">
        <v>233</v>
      </c>
      <c r="O222" t="s">
        <v>134</v>
      </c>
      <c r="P222">
        <v>1</v>
      </c>
      <c r="Q222">
        <v>0</v>
      </c>
      <c r="R222">
        <v>0</v>
      </c>
      <c r="S222">
        <v>0</v>
      </c>
      <c r="T222">
        <v>5</v>
      </c>
      <c r="U222">
        <v>7</v>
      </c>
      <c r="V222">
        <v>19</v>
      </c>
      <c r="W222">
        <v>17</v>
      </c>
      <c r="X222">
        <v>17</v>
      </c>
      <c r="Y222">
        <v>19</v>
      </c>
      <c r="Z222">
        <v>3</v>
      </c>
      <c r="AA222">
        <v>4</v>
      </c>
      <c r="AB222">
        <v>1</v>
      </c>
      <c r="AC222">
        <v>1</v>
      </c>
      <c r="AD222">
        <v>11</v>
      </c>
      <c r="AE222">
        <v>12</v>
      </c>
      <c r="AF222">
        <v>4</v>
      </c>
      <c r="AG222">
        <v>4</v>
      </c>
      <c r="AH222">
        <v>1</v>
      </c>
      <c r="AI222">
        <v>1</v>
      </c>
    </row>
    <row r="223" spans="1:37" hidden="1" x14ac:dyDescent="0.25">
      <c r="A223">
        <v>2023</v>
      </c>
      <c r="B223" s="1">
        <v>45206</v>
      </c>
      <c r="C223">
        <v>26</v>
      </c>
      <c r="D223">
        <v>20690</v>
      </c>
      <c r="E223">
        <v>24584</v>
      </c>
      <c r="F223" t="s">
        <v>82</v>
      </c>
      <c r="G223" t="s">
        <v>62</v>
      </c>
      <c r="H223" t="s">
        <v>84</v>
      </c>
      <c r="I223" t="s">
        <v>315</v>
      </c>
      <c r="J223">
        <v>17</v>
      </c>
      <c r="K223">
        <v>10</v>
      </c>
      <c r="L223">
        <v>2915</v>
      </c>
      <c r="M223">
        <v>3750</v>
      </c>
      <c r="N223" t="s">
        <v>104</v>
      </c>
      <c r="O223" t="s">
        <v>120</v>
      </c>
      <c r="P223">
        <v>0</v>
      </c>
      <c r="Q223">
        <v>0</v>
      </c>
      <c r="R223">
        <v>0</v>
      </c>
      <c r="S223">
        <v>0</v>
      </c>
      <c r="T223">
        <v>7</v>
      </c>
      <c r="U223">
        <v>3</v>
      </c>
      <c r="V223">
        <v>15</v>
      </c>
      <c r="W223">
        <v>7</v>
      </c>
      <c r="X223">
        <v>5</v>
      </c>
      <c r="Y223">
        <v>14</v>
      </c>
      <c r="Z223">
        <v>4</v>
      </c>
      <c r="AA223">
        <v>2</v>
      </c>
      <c r="AB223">
        <v>3</v>
      </c>
      <c r="AC223">
        <v>1</v>
      </c>
      <c r="AD223">
        <v>11</v>
      </c>
      <c r="AE223">
        <v>12</v>
      </c>
      <c r="AF223">
        <v>6</v>
      </c>
      <c r="AG223">
        <v>6</v>
      </c>
      <c r="AH223">
        <v>0</v>
      </c>
      <c r="AI223">
        <v>0</v>
      </c>
    </row>
    <row r="224" spans="1:37" hidden="1" x14ac:dyDescent="0.25">
      <c r="A224">
        <v>2023</v>
      </c>
      <c r="B224" s="1">
        <v>45218</v>
      </c>
      <c r="C224">
        <v>27</v>
      </c>
      <c r="D224">
        <v>20255</v>
      </c>
      <c r="E224">
        <v>24584</v>
      </c>
      <c r="F224" t="s">
        <v>82</v>
      </c>
      <c r="G224" t="s">
        <v>63</v>
      </c>
      <c r="H224" t="s">
        <v>84</v>
      </c>
      <c r="I224" t="s">
        <v>65</v>
      </c>
      <c r="J224">
        <v>16</v>
      </c>
      <c r="K224">
        <v>8</v>
      </c>
      <c r="L224">
        <v>2995</v>
      </c>
      <c r="M224">
        <v>1495</v>
      </c>
      <c r="N224" t="s">
        <v>120</v>
      </c>
      <c r="O224" t="s">
        <v>174</v>
      </c>
      <c r="P224">
        <v>1</v>
      </c>
      <c r="Q224">
        <v>0</v>
      </c>
      <c r="R224">
        <v>0</v>
      </c>
      <c r="S224">
        <v>0</v>
      </c>
      <c r="T224">
        <v>6</v>
      </c>
      <c r="U224">
        <v>6</v>
      </c>
      <c r="V224">
        <v>7</v>
      </c>
      <c r="W224">
        <v>9</v>
      </c>
      <c r="X224">
        <v>8</v>
      </c>
      <c r="Y224">
        <v>6</v>
      </c>
      <c r="Z224">
        <v>4</v>
      </c>
      <c r="AA224">
        <v>8</v>
      </c>
      <c r="AB224">
        <v>1</v>
      </c>
      <c r="AC224">
        <v>1</v>
      </c>
      <c r="AD224">
        <v>18</v>
      </c>
      <c r="AE224">
        <v>12</v>
      </c>
      <c r="AF224">
        <v>7</v>
      </c>
      <c r="AG224">
        <v>6</v>
      </c>
      <c r="AH224">
        <v>1</v>
      </c>
      <c r="AI224">
        <v>1</v>
      </c>
    </row>
    <row r="225" spans="1:35" hidden="1" x14ac:dyDescent="0.25">
      <c r="A225">
        <v>2023</v>
      </c>
      <c r="B225" s="1">
        <v>45236</v>
      </c>
      <c r="C225">
        <v>32</v>
      </c>
      <c r="D225">
        <v>21043</v>
      </c>
      <c r="E225">
        <v>24584</v>
      </c>
      <c r="F225" t="s">
        <v>82</v>
      </c>
      <c r="G225" t="s">
        <v>51</v>
      </c>
      <c r="H225" t="s">
        <v>84</v>
      </c>
      <c r="I225" t="s">
        <v>320</v>
      </c>
      <c r="J225">
        <v>17</v>
      </c>
      <c r="K225">
        <v>1</v>
      </c>
      <c r="L225">
        <v>2345</v>
      </c>
      <c r="M225">
        <v>2060</v>
      </c>
      <c r="N225" t="s">
        <v>114</v>
      </c>
      <c r="O225" t="s">
        <v>109</v>
      </c>
      <c r="P225">
        <v>1</v>
      </c>
      <c r="Q225">
        <v>0</v>
      </c>
      <c r="R225">
        <v>1</v>
      </c>
      <c r="S225">
        <v>0</v>
      </c>
      <c r="T225">
        <v>4</v>
      </c>
      <c r="U225">
        <v>4</v>
      </c>
      <c r="V225">
        <v>23</v>
      </c>
      <c r="W225">
        <v>13</v>
      </c>
      <c r="X225">
        <v>13</v>
      </c>
      <c r="Y225">
        <v>20</v>
      </c>
      <c r="Z225">
        <v>2</v>
      </c>
      <c r="AA225">
        <v>2</v>
      </c>
      <c r="AB225">
        <v>2</v>
      </c>
      <c r="AC225">
        <v>2</v>
      </c>
      <c r="AD225">
        <v>9</v>
      </c>
      <c r="AE225">
        <v>12</v>
      </c>
      <c r="AF225">
        <v>5</v>
      </c>
      <c r="AG225">
        <v>2</v>
      </c>
      <c r="AH225">
        <v>1</v>
      </c>
      <c r="AI225">
        <v>1</v>
      </c>
    </row>
    <row r="226" spans="1:35" hidden="1" x14ac:dyDescent="0.25">
      <c r="A226">
        <v>2023</v>
      </c>
      <c r="B226" s="1">
        <v>45241</v>
      </c>
      <c r="C226">
        <v>34</v>
      </c>
      <c r="D226">
        <v>7243</v>
      </c>
      <c r="E226">
        <v>20502</v>
      </c>
      <c r="F226" t="s">
        <v>321</v>
      </c>
      <c r="G226" t="s">
        <v>50</v>
      </c>
      <c r="H226" t="s">
        <v>322</v>
      </c>
      <c r="I226" t="s">
        <v>323</v>
      </c>
      <c r="J226">
        <v>19</v>
      </c>
      <c r="K226">
        <v>16</v>
      </c>
      <c r="L226">
        <v>1915</v>
      </c>
      <c r="M226">
        <v>2405</v>
      </c>
      <c r="N226" t="s">
        <v>134</v>
      </c>
      <c r="O226" t="s">
        <v>235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5</v>
      </c>
      <c r="V226">
        <v>15</v>
      </c>
      <c r="W226">
        <v>18</v>
      </c>
      <c r="X226">
        <v>17</v>
      </c>
      <c r="Y226">
        <v>15</v>
      </c>
      <c r="Z226">
        <v>4</v>
      </c>
      <c r="AA226">
        <v>2</v>
      </c>
      <c r="AB226">
        <v>2</v>
      </c>
      <c r="AC226">
        <v>1</v>
      </c>
      <c r="AD226">
        <v>7</v>
      </c>
      <c r="AE226">
        <v>13</v>
      </c>
      <c r="AF226">
        <v>2</v>
      </c>
      <c r="AG226">
        <v>6</v>
      </c>
      <c r="AH226">
        <v>1</v>
      </c>
      <c r="AI226">
        <v>1</v>
      </c>
    </row>
    <row r="227" spans="1:35" hidden="1" x14ac:dyDescent="0.25">
      <c r="A227">
        <v>2023</v>
      </c>
      <c r="B227" s="1">
        <v>45074</v>
      </c>
      <c r="C227">
        <v>8</v>
      </c>
      <c r="D227">
        <v>34624</v>
      </c>
      <c r="E227">
        <v>49205</v>
      </c>
      <c r="F227" t="s">
        <v>88</v>
      </c>
      <c r="G227" t="s">
        <v>55</v>
      </c>
      <c r="H227" t="s">
        <v>317</v>
      </c>
      <c r="I227" t="s">
        <v>57</v>
      </c>
      <c r="J227">
        <v>14</v>
      </c>
      <c r="K227">
        <v>8</v>
      </c>
      <c r="L227">
        <v>5950</v>
      </c>
      <c r="M227">
        <v>4325</v>
      </c>
      <c r="N227" t="s">
        <v>233</v>
      </c>
      <c r="O227" t="s">
        <v>144</v>
      </c>
      <c r="P227">
        <v>2</v>
      </c>
      <c r="Q227">
        <v>0</v>
      </c>
      <c r="R227">
        <v>0</v>
      </c>
      <c r="S227">
        <v>0</v>
      </c>
      <c r="T227">
        <v>7</v>
      </c>
      <c r="U227">
        <v>6</v>
      </c>
      <c r="V227">
        <v>18</v>
      </c>
      <c r="W227">
        <v>6</v>
      </c>
      <c r="X227">
        <v>6</v>
      </c>
      <c r="Y227">
        <v>17</v>
      </c>
      <c r="Z227">
        <v>7</v>
      </c>
      <c r="AA227">
        <v>2</v>
      </c>
      <c r="AB227">
        <v>2</v>
      </c>
      <c r="AC227">
        <v>3</v>
      </c>
      <c r="AD227">
        <v>14</v>
      </c>
      <c r="AE227">
        <v>22</v>
      </c>
      <c r="AF227">
        <v>8</v>
      </c>
      <c r="AG227">
        <v>10</v>
      </c>
      <c r="AH227">
        <v>2</v>
      </c>
      <c r="AI227">
        <v>1</v>
      </c>
    </row>
    <row r="228" spans="1:35" hidden="1" x14ac:dyDescent="0.25">
      <c r="A228">
        <v>2023</v>
      </c>
      <c r="B228" s="1">
        <v>45172</v>
      </c>
      <c r="C228">
        <v>22</v>
      </c>
      <c r="D228">
        <v>44371</v>
      </c>
      <c r="E228">
        <v>49205</v>
      </c>
      <c r="F228" t="s">
        <v>88</v>
      </c>
      <c r="G228" t="s">
        <v>95</v>
      </c>
      <c r="H228" t="s">
        <v>317</v>
      </c>
      <c r="I228" t="s">
        <v>97</v>
      </c>
      <c r="J228">
        <v>12</v>
      </c>
      <c r="K228">
        <v>2</v>
      </c>
      <c r="L228">
        <v>4410</v>
      </c>
      <c r="M228">
        <v>8600</v>
      </c>
      <c r="N228" t="s">
        <v>128</v>
      </c>
      <c r="O228">
        <v>29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11</v>
      </c>
      <c r="V228">
        <v>13</v>
      </c>
      <c r="W228">
        <v>17</v>
      </c>
      <c r="X228">
        <v>16</v>
      </c>
      <c r="Y228">
        <v>13</v>
      </c>
      <c r="Z228">
        <v>4</v>
      </c>
      <c r="AA228">
        <v>2</v>
      </c>
      <c r="AB228">
        <v>2</v>
      </c>
      <c r="AC228">
        <v>1</v>
      </c>
      <c r="AD228">
        <v>6</v>
      </c>
      <c r="AE228">
        <v>16</v>
      </c>
      <c r="AF228">
        <v>4</v>
      </c>
      <c r="AG228">
        <v>7</v>
      </c>
      <c r="AH228">
        <v>0</v>
      </c>
      <c r="AI228">
        <v>0</v>
      </c>
    </row>
    <row r="229" spans="1:35" hidden="1" x14ac:dyDescent="0.25">
      <c r="A229">
        <v>2023</v>
      </c>
      <c r="B229" s="1">
        <v>45192</v>
      </c>
      <c r="C229">
        <v>24</v>
      </c>
      <c r="D229">
        <v>37543</v>
      </c>
      <c r="E229">
        <v>49205</v>
      </c>
      <c r="F229" t="s">
        <v>88</v>
      </c>
      <c r="G229" t="s">
        <v>51</v>
      </c>
      <c r="H229" t="s">
        <v>317</v>
      </c>
      <c r="I229" t="s">
        <v>324</v>
      </c>
      <c r="J229">
        <v>11</v>
      </c>
      <c r="K229">
        <v>1</v>
      </c>
      <c r="L229">
        <v>5170</v>
      </c>
      <c r="M229">
        <v>3080</v>
      </c>
      <c r="N229" t="s">
        <v>189</v>
      </c>
      <c r="O229" t="s">
        <v>166</v>
      </c>
      <c r="P229">
        <v>1</v>
      </c>
      <c r="Q229">
        <v>0</v>
      </c>
      <c r="R229">
        <v>0</v>
      </c>
      <c r="S229">
        <v>0</v>
      </c>
      <c r="T229">
        <v>6</v>
      </c>
      <c r="U229">
        <v>1</v>
      </c>
      <c r="V229">
        <v>18</v>
      </c>
      <c r="W229">
        <v>8</v>
      </c>
      <c r="X229">
        <v>8</v>
      </c>
      <c r="Y229">
        <v>18</v>
      </c>
      <c r="Z229">
        <v>2</v>
      </c>
      <c r="AA229">
        <v>4</v>
      </c>
      <c r="AB229">
        <v>2</v>
      </c>
      <c r="AC229">
        <v>1</v>
      </c>
      <c r="AD229">
        <v>19</v>
      </c>
      <c r="AE229">
        <v>9</v>
      </c>
      <c r="AF229">
        <v>9</v>
      </c>
      <c r="AG229">
        <v>5</v>
      </c>
      <c r="AH229">
        <v>1</v>
      </c>
      <c r="AI229">
        <v>1</v>
      </c>
    </row>
    <row r="230" spans="1:35" hidden="1" x14ac:dyDescent="0.25">
      <c r="A230">
        <v>2023</v>
      </c>
      <c r="B230" s="1">
        <v>45231</v>
      </c>
      <c r="C230">
        <v>31</v>
      </c>
      <c r="D230">
        <v>29870</v>
      </c>
      <c r="E230">
        <v>49205</v>
      </c>
      <c r="F230" t="s">
        <v>88</v>
      </c>
      <c r="G230" t="s">
        <v>69</v>
      </c>
      <c r="H230" t="s">
        <v>240</v>
      </c>
      <c r="I230" t="s">
        <v>325</v>
      </c>
      <c r="J230">
        <v>13</v>
      </c>
      <c r="K230">
        <v>7</v>
      </c>
      <c r="L230">
        <v>3680</v>
      </c>
      <c r="M230">
        <v>3130</v>
      </c>
      <c r="N230" t="s">
        <v>166</v>
      </c>
      <c r="O230" t="s">
        <v>114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7</v>
      </c>
      <c r="V230">
        <v>4</v>
      </c>
      <c r="W230">
        <v>11</v>
      </c>
      <c r="X230">
        <v>11</v>
      </c>
      <c r="Y230">
        <v>4</v>
      </c>
      <c r="Z230">
        <v>3</v>
      </c>
      <c r="AA230">
        <v>2</v>
      </c>
      <c r="AB230">
        <v>2</v>
      </c>
      <c r="AC230">
        <v>2</v>
      </c>
      <c r="AD230">
        <v>12</v>
      </c>
      <c r="AE230">
        <v>19</v>
      </c>
      <c r="AF230">
        <v>5</v>
      </c>
      <c r="AG230">
        <v>9</v>
      </c>
      <c r="AH230">
        <v>1</v>
      </c>
      <c r="AI230">
        <v>1</v>
      </c>
    </row>
    <row r="231" spans="1:35" hidden="1" x14ac:dyDescent="0.25">
      <c r="A231">
        <v>2023</v>
      </c>
      <c r="B231" s="1">
        <v>45087</v>
      </c>
      <c r="C231">
        <v>10</v>
      </c>
      <c r="D231">
        <v>25512</v>
      </c>
      <c r="E231">
        <v>40502</v>
      </c>
      <c r="F231" t="s">
        <v>321</v>
      </c>
      <c r="G231" t="s">
        <v>326</v>
      </c>
      <c r="H231" t="s">
        <v>327</v>
      </c>
      <c r="I231" t="s">
        <v>328</v>
      </c>
      <c r="J231">
        <v>20</v>
      </c>
      <c r="K231">
        <v>13</v>
      </c>
      <c r="L231">
        <v>1860</v>
      </c>
      <c r="M231">
        <v>3640</v>
      </c>
      <c r="N231" t="s">
        <v>149</v>
      </c>
      <c r="O231" t="s">
        <v>168</v>
      </c>
      <c r="P231">
        <v>0</v>
      </c>
      <c r="Q231">
        <v>0</v>
      </c>
      <c r="R231">
        <v>0</v>
      </c>
      <c r="S231">
        <v>0</v>
      </c>
      <c r="T231">
        <v>8</v>
      </c>
      <c r="U231">
        <v>3</v>
      </c>
      <c r="V231">
        <v>15</v>
      </c>
      <c r="W231">
        <v>18</v>
      </c>
      <c r="X231">
        <v>18</v>
      </c>
      <c r="Y231">
        <v>15</v>
      </c>
      <c r="Z231">
        <v>3</v>
      </c>
      <c r="AA231">
        <v>7</v>
      </c>
      <c r="AB231">
        <v>4</v>
      </c>
      <c r="AC231">
        <v>3</v>
      </c>
      <c r="AD231">
        <v>19</v>
      </c>
      <c r="AE231">
        <v>7</v>
      </c>
      <c r="AF231">
        <v>7</v>
      </c>
      <c r="AG231">
        <v>2</v>
      </c>
      <c r="AH231">
        <v>0</v>
      </c>
      <c r="AI231">
        <v>0</v>
      </c>
    </row>
    <row r="232" spans="1:35" hidden="1" x14ac:dyDescent="0.25">
      <c r="A232">
        <v>2023</v>
      </c>
      <c r="B232" s="1">
        <v>45132</v>
      </c>
      <c r="C232">
        <v>16</v>
      </c>
      <c r="D232">
        <v>32872</v>
      </c>
      <c r="E232">
        <v>40502</v>
      </c>
      <c r="F232" t="s">
        <v>321</v>
      </c>
      <c r="G232" t="s">
        <v>55</v>
      </c>
      <c r="H232" t="s">
        <v>322</v>
      </c>
      <c r="I232" t="s">
        <v>57</v>
      </c>
      <c r="J232">
        <v>18</v>
      </c>
      <c r="K232">
        <v>7</v>
      </c>
      <c r="L232">
        <v>1835</v>
      </c>
      <c r="M232">
        <v>3635</v>
      </c>
      <c r="N232" t="s">
        <v>114</v>
      </c>
      <c r="O232" t="s">
        <v>47</v>
      </c>
      <c r="P232">
        <v>2</v>
      </c>
      <c r="Q232">
        <v>0</v>
      </c>
      <c r="R232">
        <v>2</v>
      </c>
      <c r="S232">
        <v>0</v>
      </c>
      <c r="T232">
        <v>7</v>
      </c>
      <c r="U232">
        <v>11</v>
      </c>
      <c r="V232">
        <v>15</v>
      </c>
      <c r="W232">
        <v>7</v>
      </c>
      <c r="X232">
        <v>7</v>
      </c>
      <c r="Y232">
        <v>15</v>
      </c>
      <c r="Z232">
        <v>3</v>
      </c>
      <c r="AA232">
        <v>3</v>
      </c>
      <c r="AB232">
        <v>0</v>
      </c>
      <c r="AC232">
        <v>1</v>
      </c>
      <c r="AD232">
        <v>9</v>
      </c>
      <c r="AE232">
        <v>15</v>
      </c>
      <c r="AF232">
        <v>4</v>
      </c>
      <c r="AG232">
        <v>9</v>
      </c>
      <c r="AH232">
        <v>2</v>
      </c>
      <c r="AI232">
        <v>1</v>
      </c>
    </row>
    <row r="233" spans="1:35" hidden="1" x14ac:dyDescent="0.25">
      <c r="A233">
        <v>2023</v>
      </c>
      <c r="B233" s="1">
        <v>45200</v>
      </c>
      <c r="C233">
        <v>25</v>
      </c>
      <c r="D233">
        <v>20992</v>
      </c>
      <c r="E233">
        <v>40502</v>
      </c>
      <c r="F233" t="s">
        <v>321</v>
      </c>
      <c r="G233" t="s">
        <v>69</v>
      </c>
      <c r="H233" t="s">
        <v>322</v>
      </c>
      <c r="I233" t="s">
        <v>325</v>
      </c>
      <c r="J233">
        <v>20</v>
      </c>
      <c r="K233">
        <v>8</v>
      </c>
      <c r="L233">
        <v>1665</v>
      </c>
      <c r="M233">
        <v>2920</v>
      </c>
      <c r="N233" t="s">
        <v>296</v>
      </c>
      <c r="O233" t="s">
        <v>100</v>
      </c>
      <c r="P233">
        <v>2</v>
      </c>
      <c r="Q233">
        <v>0</v>
      </c>
      <c r="R233">
        <v>2</v>
      </c>
      <c r="S233">
        <v>0</v>
      </c>
      <c r="T233">
        <v>2</v>
      </c>
      <c r="U233">
        <v>11</v>
      </c>
      <c r="V233">
        <v>21</v>
      </c>
      <c r="W233">
        <v>12</v>
      </c>
      <c r="X233">
        <v>11</v>
      </c>
      <c r="Y233">
        <v>20</v>
      </c>
      <c r="Z233">
        <v>5</v>
      </c>
      <c r="AA233">
        <v>1</v>
      </c>
      <c r="AB233">
        <v>3</v>
      </c>
      <c r="AC233">
        <v>2</v>
      </c>
      <c r="AD233">
        <v>7</v>
      </c>
      <c r="AE233">
        <v>11</v>
      </c>
      <c r="AF233">
        <v>4</v>
      </c>
      <c r="AG233">
        <v>3</v>
      </c>
      <c r="AH233">
        <v>2</v>
      </c>
      <c r="AI233">
        <v>1</v>
      </c>
    </row>
    <row r="234" spans="1:35" hidden="1" x14ac:dyDescent="0.25">
      <c r="A234">
        <v>2023</v>
      </c>
      <c r="B234" s="1">
        <v>45059</v>
      </c>
      <c r="C234">
        <v>6</v>
      </c>
      <c r="D234">
        <v>39040</v>
      </c>
      <c r="E234">
        <v>82238</v>
      </c>
      <c r="F234" t="s">
        <v>55</v>
      </c>
      <c r="G234" t="s">
        <v>70</v>
      </c>
      <c r="H234" t="s">
        <v>57</v>
      </c>
      <c r="I234" t="s">
        <v>72</v>
      </c>
      <c r="J234">
        <v>3</v>
      </c>
      <c r="K234">
        <v>18</v>
      </c>
      <c r="L234">
        <v>2995</v>
      </c>
      <c r="M234">
        <v>825</v>
      </c>
      <c r="N234" t="s">
        <v>138</v>
      </c>
      <c r="O234" t="s">
        <v>100</v>
      </c>
      <c r="P234">
        <v>2</v>
      </c>
      <c r="Q234">
        <v>0</v>
      </c>
      <c r="R234">
        <v>1</v>
      </c>
      <c r="S234">
        <v>0</v>
      </c>
      <c r="T234">
        <v>7</v>
      </c>
      <c r="U234">
        <v>3</v>
      </c>
      <c r="V234">
        <v>14</v>
      </c>
      <c r="W234">
        <v>10</v>
      </c>
      <c r="X234">
        <v>9</v>
      </c>
      <c r="Y234">
        <v>14</v>
      </c>
      <c r="Z234">
        <v>2</v>
      </c>
      <c r="AA234">
        <v>0</v>
      </c>
      <c r="AB234">
        <v>0</v>
      </c>
      <c r="AC234">
        <v>4</v>
      </c>
      <c r="AD234">
        <v>7</v>
      </c>
      <c r="AE234">
        <v>13</v>
      </c>
      <c r="AF234">
        <v>4</v>
      </c>
      <c r="AG234">
        <v>4</v>
      </c>
      <c r="AH234">
        <v>2</v>
      </c>
      <c r="AI234">
        <v>1</v>
      </c>
    </row>
    <row r="235" spans="1:35" hidden="1" x14ac:dyDescent="0.25">
      <c r="A235">
        <v>2023</v>
      </c>
      <c r="B235" s="1">
        <v>45116</v>
      </c>
      <c r="C235">
        <v>14</v>
      </c>
      <c r="D235">
        <v>34166</v>
      </c>
      <c r="E235">
        <v>82238</v>
      </c>
      <c r="F235" t="s">
        <v>55</v>
      </c>
      <c r="G235" t="s">
        <v>37</v>
      </c>
      <c r="H235" t="s">
        <v>57</v>
      </c>
      <c r="I235" t="s">
        <v>240</v>
      </c>
      <c r="J235">
        <v>4</v>
      </c>
      <c r="K235">
        <v>10</v>
      </c>
      <c r="L235">
        <v>3525</v>
      </c>
      <c r="M235">
        <v>3425</v>
      </c>
      <c r="N235" t="s">
        <v>67</v>
      </c>
      <c r="O235">
        <v>30</v>
      </c>
      <c r="P235">
        <v>2</v>
      </c>
      <c r="Q235">
        <v>0</v>
      </c>
      <c r="R235">
        <v>2</v>
      </c>
      <c r="S235">
        <v>0</v>
      </c>
      <c r="T235">
        <v>7</v>
      </c>
      <c r="U235">
        <v>4</v>
      </c>
      <c r="V235">
        <v>18</v>
      </c>
      <c r="W235">
        <v>16</v>
      </c>
      <c r="X235">
        <v>16</v>
      </c>
      <c r="Y235">
        <v>15</v>
      </c>
      <c r="Z235">
        <v>0</v>
      </c>
      <c r="AA235">
        <v>6</v>
      </c>
      <c r="AB235">
        <v>3</v>
      </c>
      <c r="AC235">
        <v>0</v>
      </c>
      <c r="AD235">
        <v>14</v>
      </c>
      <c r="AE235">
        <v>10</v>
      </c>
      <c r="AF235">
        <v>3</v>
      </c>
      <c r="AG235">
        <v>5</v>
      </c>
      <c r="AH235">
        <v>2</v>
      </c>
      <c r="AI235">
        <v>1</v>
      </c>
    </row>
    <row r="236" spans="1:35" hidden="1" x14ac:dyDescent="0.25">
      <c r="A236">
        <v>2023</v>
      </c>
      <c r="B236" s="1">
        <v>45123</v>
      </c>
      <c r="C236">
        <v>15</v>
      </c>
      <c r="D236">
        <v>62354</v>
      </c>
      <c r="E236">
        <v>82238</v>
      </c>
      <c r="F236" t="s">
        <v>55</v>
      </c>
      <c r="G236" t="s">
        <v>77</v>
      </c>
      <c r="H236" t="s">
        <v>57</v>
      </c>
      <c r="I236" t="s">
        <v>329</v>
      </c>
      <c r="J236">
        <v>5</v>
      </c>
      <c r="K236">
        <v>2</v>
      </c>
      <c r="L236">
        <v>4125</v>
      </c>
      <c r="M236">
        <v>8205</v>
      </c>
      <c r="N236" t="s">
        <v>67</v>
      </c>
      <c r="O236" t="s">
        <v>129</v>
      </c>
      <c r="P236">
        <v>0</v>
      </c>
      <c r="Q236">
        <v>0</v>
      </c>
      <c r="R236">
        <v>0</v>
      </c>
      <c r="S236">
        <v>0</v>
      </c>
      <c r="T236">
        <v>8</v>
      </c>
      <c r="U236">
        <v>1</v>
      </c>
      <c r="V236">
        <v>25</v>
      </c>
      <c r="W236">
        <v>20</v>
      </c>
      <c r="X236">
        <v>20</v>
      </c>
      <c r="Y236">
        <v>25</v>
      </c>
      <c r="Z236">
        <v>3</v>
      </c>
      <c r="AA236">
        <v>9</v>
      </c>
      <c r="AB236">
        <v>1</v>
      </c>
      <c r="AC236">
        <v>1</v>
      </c>
      <c r="AD236">
        <v>16</v>
      </c>
      <c r="AE236">
        <v>8</v>
      </c>
      <c r="AF236">
        <v>5</v>
      </c>
      <c r="AG236">
        <v>3</v>
      </c>
      <c r="AH236">
        <v>0</v>
      </c>
      <c r="AI236">
        <v>0</v>
      </c>
    </row>
    <row r="237" spans="1:35" hidden="1" x14ac:dyDescent="0.25">
      <c r="A237">
        <v>2023</v>
      </c>
      <c r="B237" s="1">
        <v>45136</v>
      </c>
      <c r="C237">
        <v>17</v>
      </c>
      <c r="D237">
        <v>34211</v>
      </c>
      <c r="E237">
        <v>82238</v>
      </c>
      <c r="F237" t="s">
        <v>55</v>
      </c>
      <c r="G237" t="s">
        <v>326</v>
      </c>
      <c r="H237" t="s">
        <v>57</v>
      </c>
      <c r="I237" t="s">
        <v>308</v>
      </c>
      <c r="J237">
        <v>5</v>
      </c>
      <c r="K237">
        <v>15</v>
      </c>
      <c r="L237">
        <v>5210</v>
      </c>
      <c r="M237">
        <v>3710</v>
      </c>
      <c r="N237" t="s">
        <v>105</v>
      </c>
      <c r="O237" t="s">
        <v>163</v>
      </c>
      <c r="P237">
        <v>1</v>
      </c>
      <c r="Q237">
        <v>0</v>
      </c>
      <c r="R237">
        <v>0</v>
      </c>
      <c r="S237">
        <v>0</v>
      </c>
      <c r="T237">
        <v>6</v>
      </c>
      <c r="U237">
        <v>2</v>
      </c>
      <c r="V237">
        <v>18</v>
      </c>
      <c r="W237">
        <v>20</v>
      </c>
      <c r="X237">
        <v>19</v>
      </c>
      <c r="Y237">
        <v>18</v>
      </c>
      <c r="Z237">
        <v>0</v>
      </c>
      <c r="AA237">
        <v>7</v>
      </c>
      <c r="AB237">
        <v>0</v>
      </c>
      <c r="AC237">
        <v>0</v>
      </c>
      <c r="AD237">
        <v>15</v>
      </c>
      <c r="AE237">
        <v>3</v>
      </c>
      <c r="AF237">
        <v>5</v>
      </c>
      <c r="AG237">
        <v>3</v>
      </c>
      <c r="AH237">
        <v>1</v>
      </c>
      <c r="AI237">
        <v>1</v>
      </c>
    </row>
    <row r="238" spans="1:35" hidden="1" x14ac:dyDescent="0.25">
      <c r="A238">
        <v>2023</v>
      </c>
      <c r="B238" s="1">
        <v>45190</v>
      </c>
      <c r="C238">
        <v>24</v>
      </c>
      <c r="D238">
        <v>28985</v>
      </c>
      <c r="E238">
        <v>82238</v>
      </c>
      <c r="F238" t="s">
        <v>55</v>
      </c>
      <c r="G238" t="s">
        <v>50</v>
      </c>
      <c r="H238" t="s">
        <v>57</v>
      </c>
      <c r="I238" t="s">
        <v>323</v>
      </c>
      <c r="J238">
        <v>5</v>
      </c>
      <c r="K238">
        <v>13</v>
      </c>
      <c r="L238">
        <v>3625</v>
      </c>
      <c r="M238">
        <v>2295</v>
      </c>
      <c r="N238" t="s">
        <v>48</v>
      </c>
      <c r="O238" t="s">
        <v>74</v>
      </c>
      <c r="P238">
        <v>1</v>
      </c>
      <c r="Q238">
        <v>0</v>
      </c>
      <c r="R238">
        <v>0</v>
      </c>
      <c r="S238">
        <v>0</v>
      </c>
      <c r="T238">
        <v>7</v>
      </c>
      <c r="U238">
        <v>3</v>
      </c>
      <c r="V238">
        <v>6</v>
      </c>
      <c r="W238">
        <v>15</v>
      </c>
      <c r="X238">
        <v>13</v>
      </c>
      <c r="Y238">
        <v>6</v>
      </c>
      <c r="Z238">
        <v>2</v>
      </c>
      <c r="AA238">
        <v>3</v>
      </c>
      <c r="AB238">
        <v>3</v>
      </c>
      <c r="AC238">
        <v>2</v>
      </c>
      <c r="AD238">
        <v>12</v>
      </c>
      <c r="AE238">
        <v>7</v>
      </c>
      <c r="AF238">
        <v>5</v>
      </c>
      <c r="AG238">
        <v>3</v>
      </c>
      <c r="AH238">
        <v>1</v>
      </c>
      <c r="AI238">
        <v>1</v>
      </c>
    </row>
    <row r="239" spans="1:35" hidden="1" x14ac:dyDescent="0.25">
      <c r="A239">
        <v>2023</v>
      </c>
      <c r="B239" s="1">
        <v>45253</v>
      </c>
      <c r="C239">
        <v>32</v>
      </c>
      <c r="D239">
        <v>44694</v>
      </c>
      <c r="E239">
        <v>82238</v>
      </c>
      <c r="F239" t="s">
        <v>55</v>
      </c>
      <c r="G239" t="s">
        <v>62</v>
      </c>
      <c r="H239" t="s">
        <v>57</v>
      </c>
      <c r="I239" t="s">
        <v>315</v>
      </c>
      <c r="J239">
        <v>8</v>
      </c>
      <c r="K239">
        <v>10</v>
      </c>
      <c r="L239">
        <v>1650</v>
      </c>
      <c r="M239">
        <v>2860</v>
      </c>
      <c r="N239">
        <v>32</v>
      </c>
      <c r="O239" t="s">
        <v>168</v>
      </c>
      <c r="P239">
        <v>1</v>
      </c>
      <c r="Q239">
        <v>0</v>
      </c>
      <c r="R239">
        <v>0</v>
      </c>
      <c r="S239">
        <v>0</v>
      </c>
      <c r="T239">
        <v>3</v>
      </c>
      <c r="U239">
        <v>4</v>
      </c>
      <c r="V239">
        <v>25</v>
      </c>
      <c r="W239">
        <v>14</v>
      </c>
      <c r="X239">
        <v>14</v>
      </c>
      <c r="Y239">
        <v>24</v>
      </c>
      <c r="Z239">
        <v>1</v>
      </c>
      <c r="AA239">
        <v>7</v>
      </c>
      <c r="AB239">
        <v>1</v>
      </c>
      <c r="AC239">
        <v>2</v>
      </c>
      <c r="AD239">
        <v>24</v>
      </c>
      <c r="AE239">
        <v>4</v>
      </c>
      <c r="AF239">
        <v>9</v>
      </c>
      <c r="AG239">
        <v>0</v>
      </c>
      <c r="AH239">
        <v>1</v>
      </c>
      <c r="AI239">
        <v>1</v>
      </c>
    </row>
    <row r="240" spans="1:35" hidden="1" x14ac:dyDescent="0.25">
      <c r="A240">
        <v>2023</v>
      </c>
      <c r="B240" s="1">
        <v>45172</v>
      </c>
      <c r="C240">
        <v>22</v>
      </c>
      <c r="D240">
        <v>10035</v>
      </c>
      <c r="E240">
        <v>18238</v>
      </c>
      <c r="F240" t="s">
        <v>55</v>
      </c>
      <c r="G240" t="s">
        <v>63</v>
      </c>
      <c r="H240" t="s">
        <v>57</v>
      </c>
      <c r="I240" t="s">
        <v>65</v>
      </c>
      <c r="J240">
        <v>5</v>
      </c>
      <c r="K240">
        <v>8</v>
      </c>
      <c r="L240">
        <v>3590</v>
      </c>
      <c r="M240">
        <v>1165</v>
      </c>
      <c r="N240" t="s">
        <v>67</v>
      </c>
      <c r="O240" t="s">
        <v>142</v>
      </c>
      <c r="P240">
        <v>1</v>
      </c>
      <c r="Q240">
        <v>0</v>
      </c>
      <c r="R240">
        <v>0</v>
      </c>
      <c r="S240">
        <v>0</v>
      </c>
      <c r="T240">
        <v>5</v>
      </c>
      <c r="U240">
        <v>7</v>
      </c>
      <c r="V240">
        <v>13</v>
      </c>
      <c r="W240">
        <v>16</v>
      </c>
      <c r="X240">
        <v>16</v>
      </c>
      <c r="Y240">
        <v>13</v>
      </c>
      <c r="Z240">
        <v>6</v>
      </c>
      <c r="AA240">
        <v>4</v>
      </c>
      <c r="AB240">
        <v>4</v>
      </c>
      <c r="AC240">
        <v>2</v>
      </c>
      <c r="AD240">
        <v>13</v>
      </c>
      <c r="AE240">
        <v>20</v>
      </c>
      <c r="AF240">
        <v>4</v>
      </c>
      <c r="AG240">
        <v>8</v>
      </c>
      <c r="AH240">
        <v>1</v>
      </c>
      <c r="AI240">
        <v>1</v>
      </c>
    </row>
    <row r="241" spans="1:35" hidden="1" x14ac:dyDescent="0.25">
      <c r="A241">
        <v>2023</v>
      </c>
      <c r="B241" s="1">
        <v>45239</v>
      </c>
      <c r="C241">
        <v>33</v>
      </c>
      <c r="D241">
        <v>11948</v>
      </c>
      <c r="E241">
        <v>20039</v>
      </c>
      <c r="F241" t="s">
        <v>62</v>
      </c>
      <c r="G241" t="s">
        <v>56</v>
      </c>
      <c r="H241" t="s">
        <v>315</v>
      </c>
      <c r="I241" t="s">
        <v>58</v>
      </c>
      <c r="J241">
        <v>9</v>
      </c>
      <c r="K241">
        <v>5</v>
      </c>
      <c r="L241">
        <v>2510</v>
      </c>
      <c r="M241">
        <v>3090</v>
      </c>
      <c r="N241" t="s">
        <v>107</v>
      </c>
      <c r="O241" t="s">
        <v>149</v>
      </c>
      <c r="P241">
        <v>1</v>
      </c>
      <c r="Q241">
        <v>0</v>
      </c>
      <c r="R241">
        <v>0</v>
      </c>
      <c r="S241">
        <v>0</v>
      </c>
      <c r="T241">
        <v>9</v>
      </c>
      <c r="U241">
        <v>5</v>
      </c>
      <c r="V241">
        <v>10</v>
      </c>
      <c r="W241">
        <v>24</v>
      </c>
      <c r="X241">
        <v>24</v>
      </c>
      <c r="Y241">
        <v>9</v>
      </c>
      <c r="Z241">
        <v>3</v>
      </c>
      <c r="AA241">
        <v>4</v>
      </c>
      <c r="AB241">
        <v>0</v>
      </c>
      <c r="AC241">
        <v>2</v>
      </c>
      <c r="AD241">
        <v>15</v>
      </c>
      <c r="AE241">
        <v>10</v>
      </c>
      <c r="AF241">
        <v>5</v>
      </c>
      <c r="AG241">
        <v>3</v>
      </c>
      <c r="AH241">
        <v>1</v>
      </c>
      <c r="AI241">
        <v>1</v>
      </c>
    </row>
    <row r="242" spans="1:35" hidden="1" x14ac:dyDescent="0.25">
      <c r="A242">
        <v>2023</v>
      </c>
      <c r="B242" s="1">
        <v>45053</v>
      </c>
      <c r="C242">
        <v>4</v>
      </c>
      <c r="D242">
        <v>18218</v>
      </c>
      <c r="E242">
        <v>46931</v>
      </c>
      <c r="F242" t="s">
        <v>51</v>
      </c>
      <c r="G242" t="s">
        <v>89</v>
      </c>
      <c r="H242" t="s">
        <v>311</v>
      </c>
      <c r="I242" t="s">
        <v>39</v>
      </c>
      <c r="J242">
        <v>1</v>
      </c>
      <c r="K242">
        <v>16</v>
      </c>
      <c r="L242">
        <v>2730</v>
      </c>
      <c r="M242">
        <v>3780</v>
      </c>
      <c r="N242" t="s">
        <v>116</v>
      </c>
      <c r="O242">
        <v>30</v>
      </c>
      <c r="P242">
        <v>2</v>
      </c>
      <c r="Q242">
        <v>0</v>
      </c>
      <c r="R242">
        <v>1</v>
      </c>
      <c r="S242">
        <v>0</v>
      </c>
      <c r="T242">
        <v>5</v>
      </c>
      <c r="U242">
        <v>9</v>
      </c>
      <c r="V242">
        <v>14</v>
      </c>
      <c r="W242">
        <v>8</v>
      </c>
      <c r="X242">
        <v>8</v>
      </c>
      <c r="Y242">
        <v>13</v>
      </c>
      <c r="Z242">
        <v>1</v>
      </c>
      <c r="AA242">
        <v>5</v>
      </c>
      <c r="AB242">
        <v>0</v>
      </c>
      <c r="AC242">
        <v>4</v>
      </c>
      <c r="AD242">
        <v>22</v>
      </c>
      <c r="AE242">
        <v>9</v>
      </c>
      <c r="AF242">
        <v>9</v>
      </c>
      <c r="AG242">
        <v>5</v>
      </c>
      <c r="AH242">
        <v>2</v>
      </c>
      <c r="AI242">
        <v>1</v>
      </c>
    </row>
    <row r="243" spans="1:35" hidden="1" x14ac:dyDescent="0.25">
      <c r="A243">
        <v>2023</v>
      </c>
      <c r="B243" s="1">
        <v>45058</v>
      </c>
      <c r="C243">
        <v>5</v>
      </c>
      <c r="D243">
        <v>22388</v>
      </c>
      <c r="E243">
        <v>46931</v>
      </c>
      <c r="F243" t="s">
        <v>51</v>
      </c>
      <c r="G243" t="s">
        <v>88</v>
      </c>
      <c r="H243" t="s">
        <v>311</v>
      </c>
      <c r="I243" t="s">
        <v>317</v>
      </c>
      <c r="J243">
        <v>1</v>
      </c>
      <c r="K243">
        <v>16</v>
      </c>
      <c r="L243">
        <v>2350</v>
      </c>
      <c r="M243">
        <v>4740</v>
      </c>
      <c r="N243">
        <v>30</v>
      </c>
      <c r="O243" t="s">
        <v>135</v>
      </c>
      <c r="P243">
        <v>3</v>
      </c>
      <c r="Q243">
        <v>0</v>
      </c>
      <c r="R243">
        <v>1</v>
      </c>
      <c r="S243">
        <v>0</v>
      </c>
      <c r="T243">
        <v>3</v>
      </c>
      <c r="U243">
        <v>3</v>
      </c>
      <c r="V243">
        <v>12</v>
      </c>
      <c r="W243">
        <v>5</v>
      </c>
      <c r="X243">
        <v>5</v>
      </c>
      <c r="Y243">
        <v>12</v>
      </c>
      <c r="Z243">
        <v>4</v>
      </c>
      <c r="AA243">
        <v>3</v>
      </c>
      <c r="AB243">
        <v>0</v>
      </c>
      <c r="AC243">
        <v>0</v>
      </c>
      <c r="AD243">
        <v>16</v>
      </c>
      <c r="AE243">
        <v>12</v>
      </c>
      <c r="AF243">
        <v>5</v>
      </c>
      <c r="AG243">
        <v>4</v>
      </c>
      <c r="AH243">
        <v>3</v>
      </c>
      <c r="AI243">
        <v>1</v>
      </c>
    </row>
    <row r="244" spans="1:35" hidden="1" x14ac:dyDescent="0.25">
      <c r="A244">
        <v>2023</v>
      </c>
      <c r="B244" s="1">
        <v>45066</v>
      </c>
      <c r="C244">
        <v>7</v>
      </c>
      <c r="D244">
        <v>24732</v>
      </c>
      <c r="E244">
        <v>46931</v>
      </c>
      <c r="F244" t="s">
        <v>51</v>
      </c>
      <c r="G244" t="s">
        <v>55</v>
      </c>
      <c r="H244" t="s">
        <v>311</v>
      </c>
      <c r="I244" t="s">
        <v>57</v>
      </c>
      <c r="J244">
        <v>1</v>
      </c>
      <c r="K244">
        <v>3</v>
      </c>
      <c r="L244">
        <v>2700</v>
      </c>
      <c r="M244">
        <v>4175</v>
      </c>
      <c r="N244" t="s">
        <v>200</v>
      </c>
      <c r="O244" t="s">
        <v>193</v>
      </c>
      <c r="P244">
        <v>1</v>
      </c>
      <c r="Q244">
        <v>0</v>
      </c>
      <c r="R244">
        <v>0</v>
      </c>
      <c r="S244">
        <v>0</v>
      </c>
      <c r="T244">
        <v>7</v>
      </c>
      <c r="U244">
        <v>4</v>
      </c>
      <c r="V244">
        <v>24</v>
      </c>
      <c r="W244">
        <v>14</v>
      </c>
      <c r="X244">
        <v>14</v>
      </c>
      <c r="Y244">
        <v>24</v>
      </c>
      <c r="Z244">
        <v>0</v>
      </c>
      <c r="AA244">
        <v>6</v>
      </c>
      <c r="AB244">
        <v>2</v>
      </c>
      <c r="AC244">
        <v>1</v>
      </c>
      <c r="AD244">
        <v>21</v>
      </c>
      <c r="AE244">
        <v>3</v>
      </c>
      <c r="AF244">
        <v>7</v>
      </c>
      <c r="AG244">
        <v>2</v>
      </c>
      <c r="AH244">
        <v>1</v>
      </c>
      <c r="AI244">
        <v>1</v>
      </c>
    </row>
    <row r="245" spans="1:35" hidden="1" x14ac:dyDescent="0.25">
      <c r="A245">
        <v>2023</v>
      </c>
      <c r="B245" s="1">
        <v>45088</v>
      </c>
      <c r="C245">
        <v>10</v>
      </c>
      <c r="D245">
        <v>19291</v>
      </c>
      <c r="E245">
        <v>46931</v>
      </c>
      <c r="F245" t="s">
        <v>51</v>
      </c>
      <c r="G245" t="s">
        <v>63</v>
      </c>
      <c r="H245" t="s">
        <v>311</v>
      </c>
      <c r="I245" t="s">
        <v>65</v>
      </c>
      <c r="J245">
        <v>1</v>
      </c>
      <c r="K245">
        <v>11</v>
      </c>
      <c r="L245">
        <v>2550</v>
      </c>
      <c r="M245">
        <v>1440</v>
      </c>
      <c r="N245" t="s">
        <v>100</v>
      </c>
      <c r="O245" t="s">
        <v>296</v>
      </c>
      <c r="P245">
        <v>2</v>
      </c>
      <c r="Q245">
        <v>0</v>
      </c>
      <c r="R245">
        <v>1</v>
      </c>
      <c r="S245">
        <v>0</v>
      </c>
      <c r="T245">
        <v>7</v>
      </c>
      <c r="U245">
        <v>3</v>
      </c>
      <c r="V245">
        <v>16</v>
      </c>
      <c r="W245">
        <v>12</v>
      </c>
      <c r="X245">
        <v>10</v>
      </c>
      <c r="Y245">
        <v>16</v>
      </c>
      <c r="Z245">
        <v>3</v>
      </c>
      <c r="AA245">
        <v>8</v>
      </c>
      <c r="AB245">
        <v>1</v>
      </c>
      <c r="AC245">
        <v>4</v>
      </c>
      <c r="AD245">
        <v>21</v>
      </c>
      <c r="AE245">
        <v>9</v>
      </c>
      <c r="AF245">
        <v>6</v>
      </c>
      <c r="AG245">
        <v>5</v>
      </c>
      <c r="AH245">
        <v>2</v>
      </c>
      <c r="AI245">
        <v>1</v>
      </c>
    </row>
    <row r="246" spans="1:35" hidden="1" x14ac:dyDescent="0.25">
      <c r="A246">
        <v>2023</v>
      </c>
      <c r="B246" s="1">
        <v>45109</v>
      </c>
      <c r="C246">
        <v>13</v>
      </c>
      <c r="D246">
        <v>38798</v>
      </c>
      <c r="E246">
        <v>46931</v>
      </c>
      <c r="F246" t="s">
        <v>51</v>
      </c>
      <c r="G246" t="s">
        <v>82</v>
      </c>
      <c r="H246" t="s">
        <v>330</v>
      </c>
      <c r="I246" t="s">
        <v>331</v>
      </c>
      <c r="J246">
        <v>1</v>
      </c>
      <c r="K246">
        <v>18</v>
      </c>
      <c r="L246">
        <v>2550</v>
      </c>
      <c r="M246">
        <v>3570</v>
      </c>
      <c r="N246" t="s">
        <v>100</v>
      </c>
      <c r="O246" t="s">
        <v>332</v>
      </c>
      <c r="P246">
        <v>2</v>
      </c>
      <c r="Q246">
        <v>0</v>
      </c>
      <c r="R246">
        <v>0</v>
      </c>
      <c r="S246">
        <v>0</v>
      </c>
      <c r="T246">
        <v>4</v>
      </c>
      <c r="U246">
        <v>8</v>
      </c>
      <c r="V246">
        <v>10</v>
      </c>
      <c r="W246">
        <v>15</v>
      </c>
      <c r="X246">
        <v>15</v>
      </c>
      <c r="Y246">
        <v>9</v>
      </c>
      <c r="Z246">
        <v>4</v>
      </c>
      <c r="AA246">
        <v>4</v>
      </c>
      <c r="AB246">
        <v>0</v>
      </c>
      <c r="AC246">
        <v>1</v>
      </c>
      <c r="AD246">
        <v>16</v>
      </c>
      <c r="AE246">
        <v>12</v>
      </c>
      <c r="AF246">
        <v>5</v>
      </c>
      <c r="AG246">
        <v>6</v>
      </c>
      <c r="AH246">
        <v>2</v>
      </c>
      <c r="AI246">
        <v>1</v>
      </c>
    </row>
    <row r="247" spans="1:35" hidden="1" x14ac:dyDescent="0.25">
      <c r="A247">
        <v>2023</v>
      </c>
      <c r="B247" s="1">
        <v>45123</v>
      </c>
      <c r="C247">
        <v>15</v>
      </c>
      <c r="D247">
        <v>37036</v>
      </c>
      <c r="E247">
        <v>46931</v>
      </c>
      <c r="F247" t="s">
        <v>51</v>
      </c>
      <c r="G247" t="s">
        <v>56</v>
      </c>
      <c r="H247" t="s">
        <v>330</v>
      </c>
      <c r="I247" t="s">
        <v>58</v>
      </c>
      <c r="J247">
        <v>1</v>
      </c>
      <c r="K247">
        <v>7</v>
      </c>
      <c r="L247">
        <v>2480</v>
      </c>
      <c r="M247">
        <v>3180</v>
      </c>
      <c r="N247" t="s">
        <v>296</v>
      </c>
      <c r="O247" t="s">
        <v>60</v>
      </c>
      <c r="P247">
        <v>2</v>
      </c>
      <c r="Q247">
        <v>0</v>
      </c>
      <c r="R247">
        <v>0</v>
      </c>
      <c r="S247">
        <v>0</v>
      </c>
      <c r="T247">
        <v>4</v>
      </c>
      <c r="U247">
        <v>11</v>
      </c>
      <c r="V247">
        <v>16</v>
      </c>
      <c r="W247">
        <v>11</v>
      </c>
      <c r="X247">
        <v>9</v>
      </c>
      <c r="Y247">
        <v>15</v>
      </c>
      <c r="Z247">
        <v>8</v>
      </c>
      <c r="AA247">
        <v>1</v>
      </c>
      <c r="AB247">
        <v>1</v>
      </c>
      <c r="AC247">
        <v>3</v>
      </c>
      <c r="AD247">
        <v>10</v>
      </c>
      <c r="AE247">
        <v>17</v>
      </c>
      <c r="AF247">
        <v>7</v>
      </c>
      <c r="AG247">
        <v>4</v>
      </c>
      <c r="AH247">
        <v>2</v>
      </c>
      <c r="AI247">
        <v>1</v>
      </c>
    </row>
    <row r="248" spans="1:35" hidden="1" x14ac:dyDescent="0.25">
      <c r="A248">
        <v>2023</v>
      </c>
      <c r="B248" s="1">
        <v>45165</v>
      </c>
      <c r="C248">
        <v>21</v>
      </c>
      <c r="D248">
        <v>39610</v>
      </c>
      <c r="E248">
        <v>46931</v>
      </c>
      <c r="F248" t="s">
        <v>51</v>
      </c>
      <c r="G248" t="s">
        <v>38</v>
      </c>
      <c r="H248" t="s">
        <v>324</v>
      </c>
      <c r="I248" t="s">
        <v>316</v>
      </c>
      <c r="J248">
        <v>1</v>
      </c>
      <c r="K248">
        <v>16</v>
      </c>
      <c r="L248">
        <v>2840</v>
      </c>
      <c r="M248">
        <v>2475</v>
      </c>
      <c r="N248">
        <v>28</v>
      </c>
      <c r="O248" t="s">
        <v>107</v>
      </c>
      <c r="P248">
        <v>3</v>
      </c>
      <c r="Q248">
        <v>0</v>
      </c>
      <c r="R248">
        <v>1</v>
      </c>
      <c r="S248">
        <v>0</v>
      </c>
      <c r="T248">
        <v>4</v>
      </c>
      <c r="U248">
        <v>7</v>
      </c>
      <c r="V248">
        <v>14</v>
      </c>
      <c r="W248">
        <v>10</v>
      </c>
      <c r="X248">
        <v>10</v>
      </c>
      <c r="Y248">
        <v>14</v>
      </c>
      <c r="Z248">
        <v>6</v>
      </c>
      <c r="AA248">
        <v>2</v>
      </c>
      <c r="AB248">
        <v>1</v>
      </c>
      <c r="AC248">
        <v>3</v>
      </c>
      <c r="AD248">
        <v>10</v>
      </c>
      <c r="AE248">
        <v>19</v>
      </c>
      <c r="AF248">
        <v>4</v>
      </c>
      <c r="AG248">
        <v>4</v>
      </c>
      <c r="AH248">
        <v>3</v>
      </c>
      <c r="AI248">
        <v>1</v>
      </c>
    </row>
    <row r="249" spans="1:35" hidden="1" x14ac:dyDescent="0.25">
      <c r="A249">
        <v>2023</v>
      </c>
      <c r="B249" s="1">
        <v>45263</v>
      </c>
      <c r="C249">
        <v>37</v>
      </c>
      <c r="D249">
        <v>15462</v>
      </c>
      <c r="E249">
        <v>46931</v>
      </c>
      <c r="F249" t="s">
        <v>51</v>
      </c>
      <c r="G249" t="s">
        <v>50</v>
      </c>
      <c r="H249" t="s">
        <v>333</v>
      </c>
      <c r="I249" t="s">
        <v>334</v>
      </c>
      <c r="J249">
        <v>5</v>
      </c>
      <c r="K249">
        <v>14</v>
      </c>
      <c r="L249">
        <v>3410</v>
      </c>
      <c r="M249">
        <v>2055</v>
      </c>
      <c r="N249">
        <v>29</v>
      </c>
      <c r="O249">
        <v>28</v>
      </c>
      <c r="P249">
        <v>0</v>
      </c>
      <c r="Q249">
        <v>0</v>
      </c>
      <c r="R249">
        <v>0</v>
      </c>
      <c r="S249">
        <v>0</v>
      </c>
      <c r="T249">
        <v>6</v>
      </c>
      <c r="U249">
        <v>2</v>
      </c>
      <c r="V249">
        <v>17</v>
      </c>
      <c r="W249">
        <v>13</v>
      </c>
      <c r="X249">
        <v>13</v>
      </c>
      <c r="Y249">
        <v>17</v>
      </c>
      <c r="Z249">
        <v>3</v>
      </c>
      <c r="AA249">
        <v>2</v>
      </c>
      <c r="AB249">
        <v>3</v>
      </c>
      <c r="AC249">
        <v>4</v>
      </c>
      <c r="AD249">
        <v>16</v>
      </c>
      <c r="AE249">
        <v>7</v>
      </c>
      <c r="AF249">
        <v>10</v>
      </c>
      <c r="AG249">
        <v>4</v>
      </c>
      <c r="AH249">
        <v>0</v>
      </c>
      <c r="AI249">
        <v>0</v>
      </c>
    </row>
    <row r="250" spans="1:35" hidden="1" x14ac:dyDescent="0.25">
      <c r="A250">
        <v>2023</v>
      </c>
      <c r="B250" s="1">
        <v>45039</v>
      </c>
      <c r="C250">
        <v>2</v>
      </c>
      <c r="D250">
        <v>21605</v>
      </c>
      <c r="E250">
        <v>24927</v>
      </c>
      <c r="F250" t="s">
        <v>50</v>
      </c>
      <c r="G250" t="s">
        <v>83</v>
      </c>
      <c r="H250" t="s">
        <v>335</v>
      </c>
      <c r="I250" t="s">
        <v>319</v>
      </c>
      <c r="J250">
        <v>12</v>
      </c>
      <c r="K250">
        <v>13</v>
      </c>
      <c r="L250">
        <v>1740</v>
      </c>
      <c r="M250">
        <v>2510</v>
      </c>
      <c r="N250" t="s">
        <v>174</v>
      </c>
      <c r="O250" t="s">
        <v>105</v>
      </c>
      <c r="P250">
        <v>1</v>
      </c>
      <c r="Q250">
        <v>0</v>
      </c>
      <c r="R250">
        <v>0</v>
      </c>
      <c r="S250">
        <v>0</v>
      </c>
      <c r="T250">
        <v>11</v>
      </c>
      <c r="U250">
        <v>5</v>
      </c>
      <c r="V250">
        <v>21</v>
      </c>
      <c r="W250">
        <v>8</v>
      </c>
      <c r="X250">
        <v>8</v>
      </c>
      <c r="Y250">
        <v>19</v>
      </c>
      <c r="Z250">
        <v>7</v>
      </c>
      <c r="AA250">
        <v>5</v>
      </c>
      <c r="AB250">
        <v>1</v>
      </c>
      <c r="AC250">
        <v>3</v>
      </c>
      <c r="AD250">
        <v>20</v>
      </c>
      <c r="AE250">
        <v>11</v>
      </c>
      <c r="AF250">
        <v>9</v>
      </c>
      <c r="AG250">
        <v>2</v>
      </c>
      <c r="AH250">
        <v>1</v>
      </c>
      <c r="AI250">
        <v>1</v>
      </c>
    </row>
    <row r="251" spans="1:35" hidden="1" x14ac:dyDescent="0.25">
      <c r="A251">
        <v>2023</v>
      </c>
      <c r="B251" s="1">
        <v>45038</v>
      </c>
      <c r="C251">
        <v>2</v>
      </c>
      <c r="D251">
        <v>41006</v>
      </c>
      <c r="E251">
        <v>72039</v>
      </c>
      <c r="F251" t="s">
        <v>62</v>
      </c>
      <c r="G251" t="s">
        <v>310</v>
      </c>
      <c r="H251" t="s">
        <v>315</v>
      </c>
      <c r="I251" t="s">
        <v>312</v>
      </c>
      <c r="J251">
        <v>9</v>
      </c>
      <c r="K251">
        <v>20</v>
      </c>
      <c r="L251">
        <v>3300</v>
      </c>
      <c r="M251">
        <v>900</v>
      </c>
      <c r="N251" t="s">
        <v>80</v>
      </c>
      <c r="O251" t="s">
        <v>47</v>
      </c>
      <c r="P251">
        <v>3</v>
      </c>
      <c r="Q251">
        <v>0</v>
      </c>
      <c r="R251">
        <v>1</v>
      </c>
      <c r="S251">
        <v>0</v>
      </c>
      <c r="T251">
        <v>3</v>
      </c>
      <c r="U251">
        <v>7</v>
      </c>
      <c r="V251">
        <v>18</v>
      </c>
      <c r="W251">
        <v>12</v>
      </c>
      <c r="X251">
        <v>12</v>
      </c>
      <c r="Y251">
        <v>18</v>
      </c>
      <c r="Z251">
        <v>8</v>
      </c>
      <c r="AA251">
        <v>3</v>
      </c>
      <c r="AB251">
        <v>1</v>
      </c>
      <c r="AC251">
        <v>3</v>
      </c>
      <c r="AD251">
        <v>17</v>
      </c>
      <c r="AE251">
        <v>22</v>
      </c>
      <c r="AF251">
        <v>8</v>
      </c>
      <c r="AG251">
        <v>8</v>
      </c>
      <c r="AH251">
        <v>3</v>
      </c>
      <c r="AI251">
        <v>1</v>
      </c>
    </row>
    <row r="252" spans="1:35" hidden="1" x14ac:dyDescent="0.25">
      <c r="A252">
        <v>2023</v>
      </c>
      <c r="B252" s="1">
        <v>45053</v>
      </c>
      <c r="C252">
        <v>4</v>
      </c>
      <c r="D252">
        <v>46093</v>
      </c>
      <c r="E252">
        <v>72039</v>
      </c>
      <c r="F252" t="s">
        <v>62</v>
      </c>
      <c r="G252" t="s">
        <v>37</v>
      </c>
      <c r="H252" t="s">
        <v>315</v>
      </c>
      <c r="I252" t="s">
        <v>240</v>
      </c>
      <c r="J252">
        <v>5</v>
      </c>
      <c r="K252">
        <v>8</v>
      </c>
      <c r="L252">
        <v>3000</v>
      </c>
      <c r="M252">
        <v>3545</v>
      </c>
      <c r="N252" t="s">
        <v>168</v>
      </c>
      <c r="O252" t="s">
        <v>105</v>
      </c>
      <c r="P252">
        <v>2</v>
      </c>
      <c r="Q252">
        <v>0</v>
      </c>
      <c r="R252">
        <v>1</v>
      </c>
      <c r="S252">
        <v>0</v>
      </c>
      <c r="T252">
        <v>4</v>
      </c>
      <c r="U252">
        <v>9</v>
      </c>
      <c r="V252">
        <v>16</v>
      </c>
      <c r="W252">
        <v>9</v>
      </c>
      <c r="X252">
        <v>7</v>
      </c>
      <c r="Y252">
        <v>14</v>
      </c>
      <c r="Z252">
        <v>3</v>
      </c>
      <c r="AA252">
        <v>2</v>
      </c>
      <c r="AB252">
        <v>2</v>
      </c>
      <c r="AC252">
        <v>3</v>
      </c>
      <c r="AD252">
        <v>7</v>
      </c>
      <c r="AE252">
        <v>15</v>
      </c>
      <c r="AF252">
        <v>1</v>
      </c>
      <c r="AG252">
        <v>3</v>
      </c>
      <c r="AH252">
        <v>2</v>
      </c>
      <c r="AI252">
        <v>1</v>
      </c>
    </row>
    <row r="253" spans="1:35" hidden="1" x14ac:dyDescent="0.25">
      <c r="A253">
        <v>2023</v>
      </c>
      <c r="B253" s="1">
        <v>45108</v>
      </c>
      <c r="C253">
        <v>13</v>
      </c>
      <c r="D253">
        <v>49153</v>
      </c>
      <c r="E253">
        <v>72039</v>
      </c>
      <c r="F253" t="s">
        <v>62</v>
      </c>
      <c r="G253" t="s">
        <v>55</v>
      </c>
      <c r="H253" t="s">
        <v>315</v>
      </c>
      <c r="I253" t="s">
        <v>57</v>
      </c>
      <c r="J253">
        <v>7</v>
      </c>
      <c r="K253">
        <v>6</v>
      </c>
      <c r="L253">
        <v>2555</v>
      </c>
      <c r="M253">
        <v>2495</v>
      </c>
      <c r="N253" t="s">
        <v>122</v>
      </c>
      <c r="O253" t="s">
        <v>147</v>
      </c>
      <c r="P253">
        <v>1</v>
      </c>
      <c r="Q253">
        <v>0</v>
      </c>
      <c r="R253">
        <v>0</v>
      </c>
      <c r="S253">
        <v>0</v>
      </c>
      <c r="T253">
        <v>12</v>
      </c>
      <c r="U253">
        <v>2</v>
      </c>
      <c r="V253">
        <v>16</v>
      </c>
      <c r="W253">
        <v>7</v>
      </c>
      <c r="X253">
        <v>7</v>
      </c>
      <c r="Y253">
        <v>16</v>
      </c>
      <c r="Z253">
        <v>2</v>
      </c>
      <c r="AA253">
        <v>3</v>
      </c>
      <c r="AB253">
        <v>2</v>
      </c>
      <c r="AC253">
        <v>1</v>
      </c>
      <c r="AD253">
        <v>21</v>
      </c>
      <c r="AE253">
        <v>4</v>
      </c>
      <c r="AF253">
        <v>8</v>
      </c>
      <c r="AG253">
        <v>1</v>
      </c>
      <c r="AH253">
        <v>1</v>
      </c>
      <c r="AI253">
        <v>1</v>
      </c>
    </row>
    <row r="254" spans="1:35" hidden="1" x14ac:dyDescent="0.25">
      <c r="A254">
        <v>2023</v>
      </c>
      <c r="B254" s="1">
        <v>45137</v>
      </c>
      <c r="C254">
        <v>17</v>
      </c>
      <c r="D254">
        <v>56078</v>
      </c>
      <c r="E254">
        <v>72039</v>
      </c>
      <c r="F254" t="s">
        <v>62</v>
      </c>
      <c r="G254" t="s">
        <v>38</v>
      </c>
      <c r="H254" t="s">
        <v>315</v>
      </c>
      <c r="I254" t="s">
        <v>316</v>
      </c>
      <c r="J254">
        <v>8</v>
      </c>
      <c r="K254">
        <v>17</v>
      </c>
      <c r="L254">
        <v>3110</v>
      </c>
      <c r="M254">
        <v>2395</v>
      </c>
      <c r="N254" t="s">
        <v>135</v>
      </c>
      <c r="O254">
        <v>27</v>
      </c>
      <c r="P254">
        <v>0</v>
      </c>
      <c r="Q254">
        <v>0</v>
      </c>
      <c r="R254">
        <v>0</v>
      </c>
      <c r="S254">
        <v>0</v>
      </c>
      <c r="T254">
        <v>10</v>
      </c>
      <c r="U254">
        <v>5</v>
      </c>
      <c r="V254">
        <v>14</v>
      </c>
      <c r="W254">
        <v>14</v>
      </c>
      <c r="X254">
        <v>14</v>
      </c>
      <c r="Y254">
        <v>12</v>
      </c>
      <c r="Z254">
        <v>2</v>
      </c>
      <c r="AA254">
        <v>10</v>
      </c>
      <c r="AB254">
        <v>8</v>
      </c>
      <c r="AC254">
        <v>1</v>
      </c>
      <c r="AD254">
        <v>16</v>
      </c>
      <c r="AE254">
        <v>13</v>
      </c>
      <c r="AF254">
        <v>3</v>
      </c>
      <c r="AG254">
        <v>8</v>
      </c>
      <c r="AH254">
        <v>0</v>
      </c>
      <c r="AI254">
        <v>0</v>
      </c>
    </row>
    <row r="255" spans="1:35" hidden="1" x14ac:dyDescent="0.25">
      <c r="A255">
        <v>2023</v>
      </c>
      <c r="B255" s="1">
        <v>45157</v>
      </c>
      <c r="C255">
        <v>20</v>
      </c>
      <c r="D255">
        <v>51946</v>
      </c>
      <c r="E255">
        <v>72039</v>
      </c>
      <c r="F255" t="s">
        <v>62</v>
      </c>
      <c r="G255" t="s">
        <v>51</v>
      </c>
      <c r="H255" t="s">
        <v>315</v>
      </c>
      <c r="I255" t="s">
        <v>324</v>
      </c>
      <c r="J255">
        <v>10</v>
      </c>
      <c r="K255">
        <v>1</v>
      </c>
      <c r="L255">
        <v>3080</v>
      </c>
      <c r="M255">
        <v>2690</v>
      </c>
      <c r="N255" t="s">
        <v>80</v>
      </c>
      <c r="O255">
        <v>29</v>
      </c>
      <c r="P255">
        <v>0</v>
      </c>
      <c r="Q255">
        <v>0</v>
      </c>
      <c r="R255">
        <v>0</v>
      </c>
      <c r="S255">
        <v>0</v>
      </c>
      <c r="T255">
        <v>5</v>
      </c>
      <c r="U255">
        <v>2</v>
      </c>
      <c r="V255">
        <v>12</v>
      </c>
      <c r="W255">
        <v>9</v>
      </c>
      <c r="X255">
        <v>9</v>
      </c>
      <c r="Y255">
        <v>11</v>
      </c>
      <c r="Z255">
        <v>0</v>
      </c>
      <c r="AA255">
        <v>4</v>
      </c>
      <c r="AB255">
        <v>7</v>
      </c>
      <c r="AC255">
        <v>0</v>
      </c>
      <c r="AD255">
        <v>13</v>
      </c>
      <c r="AE255">
        <v>12</v>
      </c>
      <c r="AF255">
        <v>9</v>
      </c>
      <c r="AG255">
        <v>7</v>
      </c>
      <c r="AH255">
        <v>0</v>
      </c>
      <c r="AI255">
        <v>0</v>
      </c>
    </row>
    <row r="256" spans="1:35" hidden="1" x14ac:dyDescent="0.25">
      <c r="A256">
        <v>2023</v>
      </c>
      <c r="B256" s="1">
        <v>45220</v>
      </c>
      <c r="C256">
        <v>28</v>
      </c>
      <c r="D256">
        <v>47132</v>
      </c>
      <c r="E256">
        <v>72039</v>
      </c>
      <c r="F256" t="s">
        <v>62</v>
      </c>
      <c r="G256" t="s">
        <v>83</v>
      </c>
      <c r="H256" t="s">
        <v>315</v>
      </c>
      <c r="I256" t="s">
        <v>319</v>
      </c>
      <c r="J256">
        <v>10</v>
      </c>
      <c r="K256">
        <v>6</v>
      </c>
      <c r="L256">
        <v>3660</v>
      </c>
      <c r="M256">
        <v>2560</v>
      </c>
      <c r="N256" t="s">
        <v>107</v>
      </c>
      <c r="O256" t="s">
        <v>120</v>
      </c>
      <c r="P256">
        <v>3</v>
      </c>
      <c r="Q256">
        <v>0</v>
      </c>
      <c r="R256">
        <v>1</v>
      </c>
      <c r="S256">
        <v>0</v>
      </c>
      <c r="T256">
        <v>6</v>
      </c>
      <c r="U256">
        <v>3</v>
      </c>
      <c r="V256">
        <v>24</v>
      </c>
      <c r="W256">
        <v>17</v>
      </c>
      <c r="X256">
        <v>17</v>
      </c>
      <c r="Y256">
        <v>22</v>
      </c>
      <c r="Z256">
        <v>2</v>
      </c>
      <c r="AA256">
        <v>4</v>
      </c>
      <c r="AB256">
        <v>1</v>
      </c>
      <c r="AC256">
        <v>2</v>
      </c>
      <c r="AD256">
        <v>20</v>
      </c>
      <c r="AE256">
        <v>3</v>
      </c>
      <c r="AF256">
        <v>9</v>
      </c>
      <c r="AG256">
        <v>0</v>
      </c>
      <c r="AH256">
        <v>3</v>
      </c>
      <c r="AI256">
        <v>1</v>
      </c>
    </row>
    <row r="257" spans="1:35" hidden="1" x14ac:dyDescent="0.25">
      <c r="A257">
        <v>2023</v>
      </c>
      <c r="B257" s="1">
        <v>45233</v>
      </c>
      <c r="C257">
        <v>31</v>
      </c>
      <c r="D257">
        <v>50570</v>
      </c>
      <c r="E257">
        <v>72039</v>
      </c>
      <c r="F257" t="s">
        <v>62</v>
      </c>
      <c r="G257" t="s">
        <v>50</v>
      </c>
      <c r="H257" t="s">
        <v>315</v>
      </c>
      <c r="I257" t="s">
        <v>323</v>
      </c>
      <c r="J257">
        <v>10</v>
      </c>
      <c r="K257">
        <v>12</v>
      </c>
      <c r="L257">
        <v>3410</v>
      </c>
      <c r="M257">
        <v>2305</v>
      </c>
      <c r="N257" t="s">
        <v>123</v>
      </c>
      <c r="O257" t="s">
        <v>105</v>
      </c>
      <c r="P257">
        <v>1</v>
      </c>
      <c r="Q257">
        <v>0</v>
      </c>
      <c r="R257">
        <v>0</v>
      </c>
      <c r="S257">
        <v>0</v>
      </c>
      <c r="T257">
        <v>3</v>
      </c>
      <c r="U257">
        <v>4</v>
      </c>
      <c r="V257">
        <v>10</v>
      </c>
      <c r="W257">
        <v>12</v>
      </c>
      <c r="X257">
        <v>12</v>
      </c>
      <c r="Y257">
        <v>9</v>
      </c>
      <c r="Z257">
        <v>4</v>
      </c>
      <c r="AA257">
        <v>4</v>
      </c>
      <c r="AB257">
        <v>5</v>
      </c>
      <c r="AC257">
        <v>1</v>
      </c>
      <c r="AD257">
        <v>13</v>
      </c>
      <c r="AE257">
        <v>19</v>
      </c>
      <c r="AF257">
        <v>4</v>
      </c>
      <c r="AG257">
        <v>10</v>
      </c>
      <c r="AH257">
        <v>1</v>
      </c>
      <c r="AI257">
        <v>1</v>
      </c>
    </row>
    <row r="258" spans="1:35" hidden="1" x14ac:dyDescent="0.25">
      <c r="A258">
        <v>2023</v>
      </c>
      <c r="B258" s="1">
        <v>45256</v>
      </c>
      <c r="C258">
        <v>35</v>
      </c>
      <c r="D258">
        <v>34252</v>
      </c>
      <c r="E258">
        <v>72039</v>
      </c>
      <c r="F258" t="s">
        <v>62</v>
      </c>
      <c r="G258" t="s">
        <v>70</v>
      </c>
      <c r="H258" t="s">
        <v>315</v>
      </c>
      <c r="I258" t="s">
        <v>90</v>
      </c>
      <c r="J258">
        <v>10</v>
      </c>
      <c r="K258">
        <v>9</v>
      </c>
      <c r="L258">
        <v>3150</v>
      </c>
      <c r="M258">
        <v>873</v>
      </c>
      <c r="N258" t="s">
        <v>134</v>
      </c>
      <c r="O258" t="s">
        <v>107</v>
      </c>
      <c r="P258">
        <v>0</v>
      </c>
      <c r="Q258">
        <v>0</v>
      </c>
      <c r="R258">
        <v>0</v>
      </c>
      <c r="S258">
        <v>0</v>
      </c>
      <c r="T258">
        <v>5</v>
      </c>
      <c r="U258">
        <v>1</v>
      </c>
      <c r="V258">
        <v>12</v>
      </c>
      <c r="W258">
        <v>11</v>
      </c>
      <c r="X258">
        <v>11</v>
      </c>
      <c r="Y258">
        <v>12</v>
      </c>
      <c r="Z258">
        <v>0</v>
      </c>
      <c r="AA258">
        <v>4</v>
      </c>
      <c r="AB258">
        <v>1</v>
      </c>
      <c r="AC258">
        <v>2</v>
      </c>
      <c r="AD258">
        <v>19</v>
      </c>
      <c r="AE258">
        <v>3</v>
      </c>
      <c r="AF258">
        <v>8</v>
      </c>
      <c r="AG258">
        <v>1</v>
      </c>
      <c r="AH258">
        <v>0</v>
      </c>
      <c r="AI258">
        <v>0</v>
      </c>
    </row>
    <row r="259" spans="1:35" hidden="1" x14ac:dyDescent="0.25">
      <c r="A259">
        <v>2023</v>
      </c>
      <c r="B259" s="1">
        <v>45267</v>
      </c>
      <c r="C259">
        <v>38</v>
      </c>
      <c r="D259">
        <v>36618</v>
      </c>
      <c r="E259">
        <v>72039</v>
      </c>
      <c r="F259" t="s">
        <v>62</v>
      </c>
      <c r="G259" t="s">
        <v>77</v>
      </c>
      <c r="H259" t="s">
        <v>315</v>
      </c>
      <c r="I259" t="s">
        <v>79</v>
      </c>
      <c r="J259">
        <v>11</v>
      </c>
      <c r="K259">
        <v>4</v>
      </c>
      <c r="L259">
        <v>2650</v>
      </c>
      <c r="M259">
        <v>9700</v>
      </c>
      <c r="N259" t="s">
        <v>104</v>
      </c>
      <c r="O259" t="s">
        <v>129</v>
      </c>
      <c r="P259">
        <v>1</v>
      </c>
      <c r="Q259">
        <v>0</v>
      </c>
      <c r="R259">
        <v>1</v>
      </c>
      <c r="S259">
        <v>0</v>
      </c>
      <c r="T259">
        <v>4</v>
      </c>
      <c r="U259">
        <v>9</v>
      </c>
      <c r="V259">
        <v>13</v>
      </c>
      <c r="W259">
        <v>16</v>
      </c>
      <c r="X259">
        <v>16</v>
      </c>
      <c r="Y259">
        <v>13</v>
      </c>
      <c r="Z259">
        <v>2</v>
      </c>
      <c r="AA259">
        <v>2</v>
      </c>
      <c r="AB259">
        <v>2</v>
      </c>
      <c r="AC259">
        <v>0</v>
      </c>
      <c r="AD259">
        <v>9</v>
      </c>
      <c r="AE259">
        <v>10</v>
      </c>
      <c r="AF259">
        <v>4</v>
      </c>
      <c r="AG259">
        <v>3</v>
      </c>
      <c r="AH259">
        <v>1</v>
      </c>
      <c r="AI259">
        <v>1</v>
      </c>
    </row>
    <row r="260" spans="1:35" hidden="1" x14ac:dyDescent="0.25">
      <c r="A260">
        <v>2023</v>
      </c>
      <c r="B260" s="1">
        <v>45060</v>
      </c>
      <c r="C260">
        <v>6</v>
      </c>
      <c r="D260">
        <v>19598</v>
      </c>
      <c r="E260">
        <v>60540</v>
      </c>
      <c r="F260" t="s">
        <v>83</v>
      </c>
      <c r="G260" t="s">
        <v>63</v>
      </c>
      <c r="H260" t="s">
        <v>319</v>
      </c>
      <c r="I260" t="s">
        <v>65</v>
      </c>
      <c r="J260">
        <v>11</v>
      </c>
      <c r="K260">
        <v>8</v>
      </c>
      <c r="L260">
        <v>2690</v>
      </c>
      <c r="M260">
        <v>1335</v>
      </c>
      <c r="N260" t="s">
        <v>137</v>
      </c>
      <c r="O260" t="s">
        <v>129</v>
      </c>
      <c r="P260">
        <v>0</v>
      </c>
      <c r="Q260">
        <v>0</v>
      </c>
      <c r="R260">
        <v>0</v>
      </c>
      <c r="S260">
        <v>0</v>
      </c>
      <c r="T260">
        <v>9</v>
      </c>
      <c r="U260">
        <v>5</v>
      </c>
      <c r="V260">
        <v>22</v>
      </c>
      <c r="W260">
        <v>22</v>
      </c>
      <c r="X260">
        <v>20</v>
      </c>
      <c r="Y260">
        <v>19</v>
      </c>
      <c r="Z260">
        <v>4</v>
      </c>
      <c r="AA260">
        <v>6</v>
      </c>
      <c r="AB260">
        <v>1</v>
      </c>
      <c r="AC260">
        <v>1</v>
      </c>
      <c r="AD260">
        <v>17</v>
      </c>
      <c r="AE260">
        <v>14</v>
      </c>
      <c r="AF260">
        <v>7</v>
      </c>
      <c r="AG260">
        <v>7</v>
      </c>
      <c r="AH260">
        <v>0</v>
      </c>
      <c r="AI260">
        <v>0</v>
      </c>
    </row>
    <row r="261" spans="1:35" hidden="1" x14ac:dyDescent="0.25">
      <c r="A261">
        <v>2023</v>
      </c>
      <c r="B261" s="1">
        <v>45130</v>
      </c>
      <c r="C261">
        <v>16</v>
      </c>
      <c r="D261">
        <v>37085</v>
      </c>
      <c r="E261">
        <v>60540</v>
      </c>
      <c r="F261" t="s">
        <v>83</v>
      </c>
      <c r="G261" t="s">
        <v>89</v>
      </c>
      <c r="H261" t="s">
        <v>319</v>
      </c>
      <c r="I261" t="s">
        <v>336</v>
      </c>
      <c r="J261">
        <v>2</v>
      </c>
      <c r="K261">
        <v>13</v>
      </c>
      <c r="L261">
        <v>2055</v>
      </c>
      <c r="M261">
        <v>3730</v>
      </c>
      <c r="N261" t="s">
        <v>209</v>
      </c>
      <c r="O261" t="s">
        <v>74</v>
      </c>
      <c r="P261">
        <v>1</v>
      </c>
      <c r="Q261">
        <v>0</v>
      </c>
      <c r="R261">
        <v>1</v>
      </c>
      <c r="S261">
        <v>0</v>
      </c>
      <c r="T261">
        <v>3</v>
      </c>
      <c r="U261">
        <v>8</v>
      </c>
      <c r="V261">
        <v>7</v>
      </c>
      <c r="W261">
        <v>17</v>
      </c>
      <c r="X261">
        <v>15</v>
      </c>
      <c r="Y261">
        <v>7</v>
      </c>
      <c r="Z261">
        <v>3</v>
      </c>
      <c r="AA261">
        <v>1</v>
      </c>
      <c r="AB261">
        <v>0</v>
      </c>
      <c r="AC261">
        <v>1</v>
      </c>
      <c r="AD261">
        <v>6</v>
      </c>
      <c r="AE261">
        <v>17</v>
      </c>
      <c r="AF261">
        <v>2</v>
      </c>
      <c r="AG261">
        <v>7</v>
      </c>
      <c r="AH261">
        <v>1</v>
      </c>
      <c r="AI261">
        <v>1</v>
      </c>
    </row>
    <row r="262" spans="1:35" hidden="1" x14ac:dyDescent="0.25">
      <c r="A262">
        <v>2023</v>
      </c>
      <c r="B262" s="1">
        <v>45166</v>
      </c>
      <c r="C262">
        <v>21</v>
      </c>
      <c r="D262">
        <v>24938</v>
      </c>
      <c r="E262">
        <v>60540</v>
      </c>
      <c r="F262" t="s">
        <v>83</v>
      </c>
      <c r="G262" t="s">
        <v>50</v>
      </c>
      <c r="H262" t="s">
        <v>319</v>
      </c>
      <c r="I262" t="s">
        <v>335</v>
      </c>
      <c r="J262">
        <v>3</v>
      </c>
      <c r="K262">
        <v>13</v>
      </c>
      <c r="L262">
        <v>3645</v>
      </c>
      <c r="M262">
        <v>2325</v>
      </c>
      <c r="N262" t="s">
        <v>100</v>
      </c>
      <c r="O262" t="s">
        <v>137</v>
      </c>
      <c r="P262">
        <v>3</v>
      </c>
      <c r="Q262">
        <v>0</v>
      </c>
      <c r="R262">
        <v>1</v>
      </c>
      <c r="S262">
        <v>0</v>
      </c>
      <c r="T262">
        <v>6</v>
      </c>
      <c r="U262">
        <v>5</v>
      </c>
      <c r="V262">
        <v>12</v>
      </c>
      <c r="W262">
        <v>20</v>
      </c>
      <c r="X262">
        <v>19</v>
      </c>
      <c r="Y262">
        <v>11</v>
      </c>
      <c r="Z262">
        <v>1</v>
      </c>
      <c r="AA262">
        <v>1</v>
      </c>
      <c r="AB262">
        <v>5</v>
      </c>
      <c r="AC262">
        <v>0</v>
      </c>
      <c r="AD262">
        <v>10</v>
      </c>
      <c r="AE262">
        <v>6</v>
      </c>
      <c r="AF262">
        <v>4</v>
      </c>
      <c r="AG262">
        <v>5</v>
      </c>
      <c r="AH262">
        <v>3</v>
      </c>
      <c r="AI262">
        <v>1</v>
      </c>
    </row>
    <row r="263" spans="1:35" hidden="1" x14ac:dyDescent="0.25">
      <c r="A263">
        <v>2023</v>
      </c>
      <c r="B263" s="1">
        <v>45172</v>
      </c>
      <c r="C263">
        <v>22</v>
      </c>
      <c r="D263">
        <v>39339</v>
      </c>
      <c r="E263">
        <v>60540</v>
      </c>
      <c r="F263" t="s">
        <v>83</v>
      </c>
      <c r="G263" t="s">
        <v>70</v>
      </c>
      <c r="H263" t="s">
        <v>319</v>
      </c>
      <c r="I263" t="s">
        <v>90</v>
      </c>
      <c r="J263">
        <v>3</v>
      </c>
      <c r="K263">
        <v>11</v>
      </c>
      <c r="L263">
        <v>3660</v>
      </c>
      <c r="M263">
        <v>758</v>
      </c>
      <c r="N263" t="s">
        <v>174</v>
      </c>
      <c r="O263" t="s">
        <v>86</v>
      </c>
      <c r="P263">
        <v>2</v>
      </c>
      <c r="Q263">
        <v>0</v>
      </c>
      <c r="R263">
        <v>1</v>
      </c>
      <c r="S263">
        <v>0</v>
      </c>
      <c r="T263">
        <v>2</v>
      </c>
      <c r="U263">
        <v>9</v>
      </c>
      <c r="V263">
        <v>18</v>
      </c>
      <c r="W263">
        <v>16</v>
      </c>
      <c r="X263">
        <v>16</v>
      </c>
      <c r="Y263">
        <v>17</v>
      </c>
      <c r="Z263">
        <v>3</v>
      </c>
      <c r="AA263">
        <v>4</v>
      </c>
      <c r="AB263">
        <v>3</v>
      </c>
      <c r="AC263">
        <v>0</v>
      </c>
      <c r="AD263">
        <v>11</v>
      </c>
      <c r="AE263">
        <v>17</v>
      </c>
      <c r="AF263">
        <v>3</v>
      </c>
      <c r="AG263">
        <v>4</v>
      </c>
      <c r="AH263">
        <v>2</v>
      </c>
      <c r="AI263">
        <v>1</v>
      </c>
    </row>
    <row r="264" spans="1:35" hidden="1" x14ac:dyDescent="0.25">
      <c r="A264">
        <v>2023</v>
      </c>
      <c r="B264" s="1">
        <v>45191</v>
      </c>
      <c r="C264">
        <v>24</v>
      </c>
      <c r="D264">
        <v>29057</v>
      </c>
      <c r="E264">
        <v>60540</v>
      </c>
      <c r="F264" t="s">
        <v>83</v>
      </c>
      <c r="G264" t="s">
        <v>95</v>
      </c>
      <c r="H264" t="s">
        <v>319</v>
      </c>
      <c r="I264" t="s">
        <v>97</v>
      </c>
      <c r="J264">
        <v>3</v>
      </c>
      <c r="K264">
        <v>2</v>
      </c>
      <c r="L264">
        <v>3590</v>
      </c>
      <c r="M264">
        <v>9800</v>
      </c>
      <c r="N264" t="s">
        <v>235</v>
      </c>
      <c r="O264">
        <v>28</v>
      </c>
      <c r="P264">
        <v>1</v>
      </c>
      <c r="Q264">
        <v>0</v>
      </c>
      <c r="R264">
        <v>1</v>
      </c>
      <c r="S264">
        <v>0</v>
      </c>
      <c r="T264">
        <v>2</v>
      </c>
      <c r="U264">
        <v>11</v>
      </c>
      <c r="V264">
        <v>15</v>
      </c>
      <c r="W264">
        <v>14</v>
      </c>
      <c r="X264">
        <v>14</v>
      </c>
      <c r="Y264">
        <v>15</v>
      </c>
      <c r="Z264">
        <v>4</v>
      </c>
      <c r="AA264">
        <v>1</v>
      </c>
      <c r="AB264">
        <v>1</v>
      </c>
      <c r="AC264">
        <v>3</v>
      </c>
      <c r="AD264">
        <v>7</v>
      </c>
      <c r="AE264">
        <v>18</v>
      </c>
      <c r="AF264">
        <v>3</v>
      </c>
      <c r="AG264">
        <v>7</v>
      </c>
      <c r="AH264">
        <v>1</v>
      </c>
      <c r="AI264">
        <v>1</v>
      </c>
    </row>
    <row r="265" spans="1:35" hidden="1" x14ac:dyDescent="0.25">
      <c r="A265">
        <v>2023</v>
      </c>
      <c r="B265" s="1">
        <v>45234</v>
      </c>
      <c r="C265">
        <v>32</v>
      </c>
      <c r="D265">
        <v>40154</v>
      </c>
      <c r="E265">
        <v>60540</v>
      </c>
      <c r="F265" t="s">
        <v>83</v>
      </c>
      <c r="G265" t="s">
        <v>38</v>
      </c>
      <c r="H265" t="s">
        <v>319</v>
      </c>
      <c r="I265" t="s">
        <v>40</v>
      </c>
      <c r="J265">
        <v>4</v>
      </c>
      <c r="K265">
        <v>16</v>
      </c>
      <c r="L265">
        <v>3560</v>
      </c>
      <c r="M265">
        <v>1635</v>
      </c>
      <c r="N265" t="s">
        <v>144</v>
      </c>
      <c r="O265" t="s">
        <v>129</v>
      </c>
      <c r="P265">
        <v>1</v>
      </c>
      <c r="Q265">
        <v>0</v>
      </c>
      <c r="R265">
        <v>0</v>
      </c>
      <c r="S265">
        <v>0</v>
      </c>
      <c r="T265">
        <v>5</v>
      </c>
      <c r="U265">
        <v>4</v>
      </c>
      <c r="V265">
        <v>9</v>
      </c>
      <c r="W265">
        <v>17</v>
      </c>
      <c r="X265">
        <v>15</v>
      </c>
      <c r="Y265">
        <v>9</v>
      </c>
      <c r="Z265">
        <v>5</v>
      </c>
      <c r="AA265">
        <v>2</v>
      </c>
      <c r="AB265">
        <v>1</v>
      </c>
      <c r="AC265">
        <v>0</v>
      </c>
      <c r="AD265">
        <v>7</v>
      </c>
      <c r="AE265">
        <v>19</v>
      </c>
      <c r="AF265">
        <v>3</v>
      </c>
      <c r="AG265">
        <v>9</v>
      </c>
      <c r="AH265">
        <v>1</v>
      </c>
      <c r="AI265">
        <v>1</v>
      </c>
    </row>
    <row r="266" spans="1:35" hidden="1" x14ac:dyDescent="0.25">
      <c r="A266">
        <v>2023</v>
      </c>
      <c r="B266" s="1">
        <v>45263</v>
      </c>
      <c r="C266">
        <v>37</v>
      </c>
      <c r="D266">
        <v>50481</v>
      </c>
      <c r="E266">
        <v>60540</v>
      </c>
      <c r="F266" t="s">
        <v>83</v>
      </c>
      <c r="G266" t="s">
        <v>82</v>
      </c>
      <c r="H266" t="s">
        <v>319</v>
      </c>
      <c r="I266" t="s">
        <v>84</v>
      </c>
      <c r="J266">
        <v>4</v>
      </c>
      <c r="K266">
        <v>16</v>
      </c>
      <c r="L266">
        <v>3060</v>
      </c>
      <c r="M266">
        <v>2835</v>
      </c>
      <c r="N266">
        <v>29</v>
      </c>
      <c r="O266">
        <v>27</v>
      </c>
      <c r="P266">
        <v>1</v>
      </c>
      <c r="Q266">
        <v>0</v>
      </c>
      <c r="R266">
        <v>0</v>
      </c>
      <c r="S266">
        <v>0</v>
      </c>
      <c r="T266">
        <v>5</v>
      </c>
      <c r="U266">
        <v>6</v>
      </c>
      <c r="V266">
        <v>18</v>
      </c>
      <c r="W266">
        <v>12</v>
      </c>
      <c r="X266">
        <v>12</v>
      </c>
      <c r="Y266">
        <v>18</v>
      </c>
      <c r="Z266">
        <v>1</v>
      </c>
      <c r="AA266">
        <v>4</v>
      </c>
      <c r="AB266">
        <v>1</v>
      </c>
      <c r="AC266">
        <v>2</v>
      </c>
      <c r="AD266">
        <v>13</v>
      </c>
      <c r="AE266">
        <v>8</v>
      </c>
      <c r="AF266">
        <v>4</v>
      </c>
      <c r="AG266">
        <v>4</v>
      </c>
      <c r="AH266">
        <v>1</v>
      </c>
      <c r="AI266">
        <v>1</v>
      </c>
    </row>
    <row r="267" spans="1:35" hidden="1" x14ac:dyDescent="0.25">
      <c r="A267">
        <v>2023</v>
      </c>
      <c r="B267" s="1">
        <v>45031</v>
      </c>
      <c r="C267">
        <v>1</v>
      </c>
      <c r="D267">
        <v>15329</v>
      </c>
      <c r="E267">
        <v>42372</v>
      </c>
      <c r="F267" t="s">
        <v>69</v>
      </c>
      <c r="G267" t="s">
        <v>313</v>
      </c>
      <c r="H267" t="s">
        <v>308</v>
      </c>
      <c r="I267" t="s">
        <v>337</v>
      </c>
      <c r="J267">
        <v>3</v>
      </c>
      <c r="K267">
        <v>18</v>
      </c>
      <c r="L267">
        <v>2680</v>
      </c>
      <c r="M267">
        <v>895</v>
      </c>
      <c r="N267" t="s">
        <v>116</v>
      </c>
      <c r="O267">
        <v>29</v>
      </c>
      <c r="P267">
        <v>2</v>
      </c>
      <c r="Q267">
        <v>0</v>
      </c>
      <c r="R267">
        <v>1</v>
      </c>
      <c r="S267">
        <v>0</v>
      </c>
      <c r="T267">
        <v>3</v>
      </c>
      <c r="U267">
        <v>8</v>
      </c>
      <c r="V267">
        <v>19</v>
      </c>
      <c r="W267">
        <v>18</v>
      </c>
      <c r="X267">
        <v>17</v>
      </c>
      <c r="Y267">
        <v>18</v>
      </c>
      <c r="Z267">
        <v>2</v>
      </c>
      <c r="AA267">
        <v>1</v>
      </c>
      <c r="AB267">
        <v>1</v>
      </c>
      <c r="AC267">
        <v>1</v>
      </c>
      <c r="AD267">
        <v>11</v>
      </c>
      <c r="AE267">
        <v>16</v>
      </c>
      <c r="AF267">
        <v>4</v>
      </c>
      <c r="AG267">
        <v>8</v>
      </c>
      <c r="AH267">
        <v>2</v>
      </c>
      <c r="AI267">
        <v>1</v>
      </c>
    </row>
    <row r="268" spans="1:35" hidden="1" x14ac:dyDescent="0.25">
      <c r="A268">
        <v>2023</v>
      </c>
      <c r="B268" s="1">
        <v>45080</v>
      </c>
      <c r="C268">
        <v>9</v>
      </c>
      <c r="D268">
        <v>18684</v>
      </c>
      <c r="E268">
        <v>42372</v>
      </c>
      <c r="F268" t="s">
        <v>69</v>
      </c>
      <c r="G268" t="s">
        <v>51</v>
      </c>
      <c r="H268" t="s">
        <v>308</v>
      </c>
      <c r="I268" t="s">
        <v>311</v>
      </c>
      <c r="J268">
        <v>7</v>
      </c>
      <c r="K268">
        <v>1</v>
      </c>
      <c r="L268">
        <v>5495</v>
      </c>
      <c r="M268">
        <v>2560</v>
      </c>
      <c r="N268" t="s">
        <v>202</v>
      </c>
      <c r="O268" t="s">
        <v>41</v>
      </c>
      <c r="P268">
        <v>1</v>
      </c>
      <c r="Q268">
        <v>0</v>
      </c>
      <c r="R268">
        <v>1</v>
      </c>
      <c r="S268">
        <v>0</v>
      </c>
      <c r="T268">
        <v>6</v>
      </c>
      <c r="U268">
        <v>7</v>
      </c>
      <c r="V268">
        <v>15</v>
      </c>
      <c r="W268">
        <v>12</v>
      </c>
      <c r="X268">
        <v>11</v>
      </c>
      <c r="Y268">
        <v>14</v>
      </c>
      <c r="Z268">
        <v>4</v>
      </c>
      <c r="AA268">
        <v>6</v>
      </c>
      <c r="AB268">
        <v>3</v>
      </c>
      <c r="AC268">
        <v>0</v>
      </c>
      <c r="AD268">
        <v>16</v>
      </c>
      <c r="AE268">
        <v>13</v>
      </c>
      <c r="AF268">
        <v>4</v>
      </c>
      <c r="AG268">
        <v>5</v>
      </c>
      <c r="AH268">
        <v>1</v>
      </c>
      <c r="AI268">
        <v>1</v>
      </c>
    </row>
    <row r="269" spans="1:35" hidden="1" x14ac:dyDescent="0.25">
      <c r="A269">
        <v>2023</v>
      </c>
      <c r="B269" s="1">
        <v>45101</v>
      </c>
      <c r="C269">
        <v>12</v>
      </c>
      <c r="D269">
        <v>30144</v>
      </c>
      <c r="E269">
        <v>42372</v>
      </c>
      <c r="F269" t="s">
        <v>69</v>
      </c>
      <c r="G269" t="s">
        <v>88</v>
      </c>
      <c r="H269" t="s">
        <v>325</v>
      </c>
      <c r="I269" t="s">
        <v>317</v>
      </c>
      <c r="J269">
        <v>9</v>
      </c>
      <c r="K269">
        <v>15</v>
      </c>
      <c r="L269">
        <v>5440</v>
      </c>
      <c r="M269">
        <v>4755</v>
      </c>
      <c r="N269" t="s">
        <v>151</v>
      </c>
      <c r="O269">
        <v>26</v>
      </c>
      <c r="P269">
        <v>1</v>
      </c>
      <c r="Q269">
        <v>0</v>
      </c>
      <c r="R269">
        <v>1</v>
      </c>
      <c r="S269">
        <v>0</v>
      </c>
      <c r="T269">
        <v>5</v>
      </c>
      <c r="U269">
        <v>5</v>
      </c>
      <c r="V269">
        <v>25</v>
      </c>
      <c r="W269">
        <v>11</v>
      </c>
      <c r="X269">
        <v>10</v>
      </c>
      <c r="Y269">
        <v>25</v>
      </c>
      <c r="Z269">
        <v>3</v>
      </c>
      <c r="AA269">
        <v>5</v>
      </c>
      <c r="AB269">
        <v>1</v>
      </c>
      <c r="AC269">
        <v>1</v>
      </c>
      <c r="AD269">
        <v>24</v>
      </c>
      <c r="AE269">
        <v>12</v>
      </c>
      <c r="AF269">
        <v>9</v>
      </c>
      <c r="AG269">
        <v>5</v>
      </c>
      <c r="AH269">
        <v>1</v>
      </c>
      <c r="AI269">
        <v>1</v>
      </c>
    </row>
    <row r="270" spans="1:35" hidden="1" x14ac:dyDescent="0.25">
      <c r="A270">
        <v>2023</v>
      </c>
      <c r="B270" s="1">
        <v>45154</v>
      </c>
      <c r="C270">
        <v>19</v>
      </c>
      <c r="D270">
        <v>18444</v>
      </c>
      <c r="E270">
        <v>42372</v>
      </c>
      <c r="F270" t="s">
        <v>69</v>
      </c>
      <c r="G270" t="s">
        <v>70</v>
      </c>
      <c r="H270" t="s">
        <v>325</v>
      </c>
      <c r="I270" t="s">
        <v>90</v>
      </c>
      <c r="J270">
        <v>6</v>
      </c>
      <c r="K270">
        <v>8</v>
      </c>
      <c r="L270">
        <v>6160</v>
      </c>
      <c r="M270">
        <v>853</v>
      </c>
      <c r="N270" t="s">
        <v>209</v>
      </c>
      <c r="O270">
        <v>30</v>
      </c>
      <c r="P270">
        <v>2</v>
      </c>
      <c r="Q270">
        <v>0</v>
      </c>
      <c r="R270">
        <v>1</v>
      </c>
      <c r="S270">
        <v>0</v>
      </c>
      <c r="T270">
        <v>5</v>
      </c>
      <c r="U270">
        <v>3</v>
      </c>
      <c r="V270">
        <v>22</v>
      </c>
      <c r="W270">
        <v>12</v>
      </c>
      <c r="X270">
        <v>12</v>
      </c>
      <c r="Y270">
        <v>21</v>
      </c>
      <c r="Z270">
        <v>1</v>
      </c>
      <c r="AA270">
        <v>4</v>
      </c>
      <c r="AB270">
        <v>1</v>
      </c>
      <c r="AC270">
        <v>1</v>
      </c>
      <c r="AD270">
        <v>12</v>
      </c>
      <c r="AE270">
        <v>11</v>
      </c>
      <c r="AF270">
        <v>4</v>
      </c>
      <c r="AG270">
        <v>8</v>
      </c>
      <c r="AH270">
        <v>2</v>
      </c>
      <c r="AI270">
        <v>1</v>
      </c>
    </row>
    <row r="271" spans="1:35" hidden="1" x14ac:dyDescent="0.25">
      <c r="A271">
        <v>2023</v>
      </c>
      <c r="B271" s="1">
        <v>45255</v>
      </c>
      <c r="C271">
        <v>35</v>
      </c>
      <c r="D271">
        <v>22056</v>
      </c>
      <c r="E271">
        <v>42372</v>
      </c>
      <c r="F271" t="s">
        <v>69</v>
      </c>
      <c r="G271" t="s">
        <v>82</v>
      </c>
      <c r="H271" t="s">
        <v>325</v>
      </c>
      <c r="I271" t="s">
        <v>84</v>
      </c>
      <c r="J271">
        <v>8</v>
      </c>
      <c r="K271">
        <v>16</v>
      </c>
      <c r="L271">
        <v>3220</v>
      </c>
      <c r="M271">
        <v>2395</v>
      </c>
      <c r="N271" t="s">
        <v>128</v>
      </c>
      <c r="O271">
        <v>28</v>
      </c>
      <c r="P271">
        <v>0</v>
      </c>
      <c r="Q271">
        <v>0</v>
      </c>
      <c r="R271">
        <v>0</v>
      </c>
      <c r="S271">
        <v>0</v>
      </c>
      <c r="T271">
        <v>5</v>
      </c>
      <c r="U271">
        <v>1</v>
      </c>
      <c r="V271">
        <v>15</v>
      </c>
      <c r="W271">
        <v>19</v>
      </c>
      <c r="X271">
        <v>17</v>
      </c>
      <c r="Y271">
        <v>15</v>
      </c>
      <c r="Z271">
        <v>2</v>
      </c>
      <c r="AA271">
        <v>4</v>
      </c>
      <c r="AB271">
        <v>2</v>
      </c>
      <c r="AC271">
        <v>2</v>
      </c>
      <c r="AD271">
        <v>18</v>
      </c>
      <c r="AE271">
        <v>8</v>
      </c>
      <c r="AF271">
        <v>12</v>
      </c>
      <c r="AG271">
        <v>3</v>
      </c>
      <c r="AH271">
        <v>0</v>
      </c>
      <c r="AI271">
        <v>0</v>
      </c>
    </row>
    <row r="272" spans="1:35" hidden="1" x14ac:dyDescent="0.25">
      <c r="A272">
        <v>2023</v>
      </c>
      <c r="B272" s="1">
        <v>45263</v>
      </c>
      <c r="C272">
        <v>37</v>
      </c>
      <c r="D272">
        <v>21056</v>
      </c>
      <c r="E272">
        <v>42372</v>
      </c>
      <c r="F272" t="s">
        <v>69</v>
      </c>
      <c r="G272" t="s">
        <v>326</v>
      </c>
      <c r="H272" t="s">
        <v>325</v>
      </c>
      <c r="I272" t="s">
        <v>338</v>
      </c>
      <c r="J272">
        <v>8</v>
      </c>
      <c r="K272">
        <v>15</v>
      </c>
      <c r="L272">
        <v>6010</v>
      </c>
      <c r="M272">
        <v>2590</v>
      </c>
      <c r="N272" t="s">
        <v>163</v>
      </c>
      <c r="O272" t="s">
        <v>123</v>
      </c>
      <c r="P272">
        <v>3</v>
      </c>
      <c r="Q272">
        <v>0</v>
      </c>
      <c r="R272">
        <v>1</v>
      </c>
      <c r="S272">
        <v>0</v>
      </c>
      <c r="T272">
        <v>6</v>
      </c>
      <c r="U272">
        <v>6</v>
      </c>
      <c r="V272">
        <v>18</v>
      </c>
      <c r="W272">
        <v>15</v>
      </c>
      <c r="X272">
        <v>15</v>
      </c>
      <c r="Y272">
        <v>17</v>
      </c>
      <c r="Z272">
        <v>3</v>
      </c>
      <c r="AA272">
        <v>3</v>
      </c>
      <c r="AB272">
        <v>1</v>
      </c>
      <c r="AC272">
        <v>0</v>
      </c>
      <c r="AD272">
        <v>12</v>
      </c>
      <c r="AE272">
        <v>13</v>
      </c>
      <c r="AF272">
        <v>4</v>
      </c>
      <c r="AG272">
        <v>7</v>
      </c>
      <c r="AH272">
        <v>3</v>
      </c>
      <c r="AI272">
        <v>1</v>
      </c>
    </row>
    <row r="273" spans="1:35" hidden="1" x14ac:dyDescent="0.25">
      <c r="A273">
        <v>2023</v>
      </c>
      <c r="B273" s="1">
        <v>45104</v>
      </c>
      <c r="C273">
        <v>12</v>
      </c>
      <c r="D273">
        <v>0</v>
      </c>
      <c r="E273">
        <v>5000</v>
      </c>
      <c r="F273" t="s">
        <v>82</v>
      </c>
      <c r="G273" t="s">
        <v>70</v>
      </c>
      <c r="H273" t="s">
        <v>331</v>
      </c>
      <c r="I273" t="s">
        <v>90</v>
      </c>
      <c r="J273">
        <v>18</v>
      </c>
      <c r="K273">
        <v>16</v>
      </c>
      <c r="L273">
        <v>3090</v>
      </c>
      <c r="M273">
        <v>790</v>
      </c>
      <c r="N273" t="s">
        <v>145</v>
      </c>
      <c r="O273" t="s">
        <v>86</v>
      </c>
      <c r="P273">
        <v>1</v>
      </c>
      <c r="Q273">
        <v>0</v>
      </c>
      <c r="R273">
        <v>0</v>
      </c>
      <c r="S273">
        <v>0</v>
      </c>
      <c r="T273">
        <v>4</v>
      </c>
      <c r="U273">
        <v>6</v>
      </c>
      <c r="V273">
        <v>18</v>
      </c>
      <c r="W273">
        <v>13</v>
      </c>
      <c r="X273">
        <v>12</v>
      </c>
      <c r="Y273">
        <v>17</v>
      </c>
      <c r="Z273">
        <v>3</v>
      </c>
      <c r="AA273">
        <v>1</v>
      </c>
      <c r="AB273">
        <v>3</v>
      </c>
      <c r="AC273">
        <v>5</v>
      </c>
      <c r="AD273">
        <v>9</v>
      </c>
      <c r="AE273">
        <v>14</v>
      </c>
      <c r="AF273">
        <v>4</v>
      </c>
      <c r="AG273">
        <v>6</v>
      </c>
      <c r="AH273">
        <v>1</v>
      </c>
      <c r="AI273">
        <v>1</v>
      </c>
    </row>
    <row r="274" spans="1:35" hidden="1" x14ac:dyDescent="0.25">
      <c r="A274">
        <v>2023</v>
      </c>
      <c r="B274" s="1">
        <v>45060</v>
      </c>
      <c r="C274">
        <v>6</v>
      </c>
      <c r="D274">
        <v>36080</v>
      </c>
      <c r="E274">
        <v>57483</v>
      </c>
      <c r="F274" t="s">
        <v>89</v>
      </c>
      <c r="G274" t="s">
        <v>37</v>
      </c>
      <c r="H274" t="s">
        <v>39</v>
      </c>
      <c r="I274" t="s">
        <v>240</v>
      </c>
      <c r="J274">
        <v>6</v>
      </c>
      <c r="K274">
        <v>12</v>
      </c>
      <c r="L274">
        <v>4460</v>
      </c>
      <c r="M274">
        <v>2935</v>
      </c>
      <c r="N274">
        <v>29</v>
      </c>
      <c r="O274" t="s">
        <v>168</v>
      </c>
      <c r="P274">
        <v>2</v>
      </c>
      <c r="Q274">
        <v>0</v>
      </c>
      <c r="R274">
        <v>1</v>
      </c>
      <c r="S274">
        <v>0</v>
      </c>
      <c r="T274">
        <v>3</v>
      </c>
      <c r="U274">
        <v>3</v>
      </c>
      <c r="V274">
        <v>14</v>
      </c>
      <c r="W274">
        <v>8</v>
      </c>
      <c r="X274">
        <v>7</v>
      </c>
      <c r="Y274">
        <v>12</v>
      </c>
      <c r="Z274">
        <v>4</v>
      </c>
      <c r="AA274">
        <v>2</v>
      </c>
      <c r="AB274">
        <v>0</v>
      </c>
      <c r="AC274">
        <v>2</v>
      </c>
      <c r="AD274">
        <v>14</v>
      </c>
      <c r="AE274">
        <v>6</v>
      </c>
      <c r="AF274">
        <v>8</v>
      </c>
      <c r="AG274">
        <v>2</v>
      </c>
      <c r="AH274">
        <v>2</v>
      </c>
      <c r="AI274">
        <v>1</v>
      </c>
    </row>
    <row r="275" spans="1:35" hidden="1" x14ac:dyDescent="0.25">
      <c r="A275">
        <v>2023</v>
      </c>
      <c r="B275" s="1">
        <v>45151</v>
      </c>
      <c r="C275">
        <v>19</v>
      </c>
      <c r="D275">
        <v>29847</v>
      </c>
      <c r="E275">
        <v>57483</v>
      </c>
      <c r="F275" t="s">
        <v>89</v>
      </c>
      <c r="G275" t="s">
        <v>38</v>
      </c>
      <c r="H275" t="s">
        <v>336</v>
      </c>
      <c r="I275" t="s">
        <v>316</v>
      </c>
      <c r="J275">
        <v>10</v>
      </c>
      <c r="K275">
        <v>16</v>
      </c>
      <c r="L275">
        <v>4200</v>
      </c>
      <c r="M275">
        <v>2485</v>
      </c>
      <c r="N275" t="s">
        <v>200</v>
      </c>
      <c r="O275" t="s">
        <v>86</v>
      </c>
      <c r="P275">
        <v>1</v>
      </c>
      <c r="Q275">
        <v>0</v>
      </c>
      <c r="R275">
        <v>0</v>
      </c>
      <c r="S275">
        <v>0</v>
      </c>
      <c r="T275">
        <v>2</v>
      </c>
      <c r="U275">
        <v>9</v>
      </c>
      <c r="V275">
        <v>15</v>
      </c>
      <c r="W275">
        <v>12</v>
      </c>
      <c r="X275">
        <v>12</v>
      </c>
      <c r="Y275">
        <v>14</v>
      </c>
      <c r="Z275">
        <v>5</v>
      </c>
      <c r="AA275">
        <v>3</v>
      </c>
      <c r="AB275">
        <v>4</v>
      </c>
      <c r="AC275">
        <v>1</v>
      </c>
      <c r="AD275">
        <v>11</v>
      </c>
      <c r="AE275">
        <v>14</v>
      </c>
      <c r="AF275">
        <v>7</v>
      </c>
      <c r="AG275">
        <v>4</v>
      </c>
      <c r="AH275">
        <v>1</v>
      </c>
      <c r="AI275">
        <v>1</v>
      </c>
    </row>
    <row r="276" spans="1:35" hidden="1" x14ac:dyDescent="0.25">
      <c r="A276">
        <v>2023</v>
      </c>
      <c r="B276" s="1">
        <v>45039</v>
      </c>
      <c r="C276">
        <v>2</v>
      </c>
      <c r="D276">
        <v>11233</v>
      </c>
      <c r="E276">
        <v>20120</v>
      </c>
      <c r="F276" t="s">
        <v>326</v>
      </c>
      <c r="G276" t="s">
        <v>89</v>
      </c>
      <c r="H276" t="s">
        <v>328</v>
      </c>
      <c r="I276" t="s">
        <v>39</v>
      </c>
      <c r="J276">
        <v>17</v>
      </c>
      <c r="K276">
        <v>16</v>
      </c>
      <c r="L276">
        <v>5110</v>
      </c>
      <c r="M276">
        <v>4430</v>
      </c>
      <c r="N276">
        <v>25</v>
      </c>
      <c r="O276" t="s">
        <v>137</v>
      </c>
      <c r="P276">
        <v>0</v>
      </c>
      <c r="Q276">
        <v>0</v>
      </c>
      <c r="R276">
        <v>0</v>
      </c>
      <c r="S276">
        <v>0</v>
      </c>
      <c r="T276">
        <v>9</v>
      </c>
      <c r="U276">
        <v>6</v>
      </c>
      <c r="V276">
        <v>11</v>
      </c>
      <c r="W276">
        <v>21</v>
      </c>
      <c r="X276">
        <v>20</v>
      </c>
      <c r="Y276">
        <v>11</v>
      </c>
      <c r="Z276">
        <v>5</v>
      </c>
      <c r="AA276">
        <v>2</v>
      </c>
      <c r="AB276">
        <v>0</v>
      </c>
      <c r="AC276">
        <v>1</v>
      </c>
      <c r="AD276">
        <v>12</v>
      </c>
      <c r="AE276">
        <v>15</v>
      </c>
      <c r="AF276">
        <v>5</v>
      </c>
      <c r="AG276">
        <v>6</v>
      </c>
      <c r="AH276">
        <v>0</v>
      </c>
      <c r="AI276">
        <v>0</v>
      </c>
    </row>
    <row r="277" spans="1:35" hidden="1" x14ac:dyDescent="0.25">
      <c r="A277">
        <v>2023</v>
      </c>
      <c r="B277" s="1">
        <v>45057</v>
      </c>
      <c r="C277">
        <v>5</v>
      </c>
      <c r="D277">
        <v>7262</v>
      </c>
      <c r="E277">
        <v>20120</v>
      </c>
      <c r="F277" t="s">
        <v>326</v>
      </c>
      <c r="G277" t="s">
        <v>38</v>
      </c>
      <c r="H277" t="s">
        <v>328</v>
      </c>
      <c r="I277" t="s">
        <v>316</v>
      </c>
      <c r="J277">
        <v>9</v>
      </c>
      <c r="K277">
        <v>13</v>
      </c>
      <c r="L277">
        <v>2710</v>
      </c>
      <c r="M277">
        <v>2510</v>
      </c>
      <c r="N277" t="s">
        <v>104</v>
      </c>
      <c r="O277" t="s">
        <v>104</v>
      </c>
      <c r="P277">
        <v>3</v>
      </c>
      <c r="Q277">
        <v>0</v>
      </c>
      <c r="R277">
        <v>2</v>
      </c>
      <c r="S277">
        <v>0</v>
      </c>
      <c r="T277">
        <v>1</v>
      </c>
      <c r="U277">
        <v>4</v>
      </c>
      <c r="V277">
        <v>18</v>
      </c>
      <c r="W277">
        <v>13</v>
      </c>
      <c r="X277">
        <v>12</v>
      </c>
      <c r="Y277">
        <v>17</v>
      </c>
      <c r="Z277">
        <v>3</v>
      </c>
      <c r="AA277">
        <v>6</v>
      </c>
      <c r="AB277">
        <v>5</v>
      </c>
      <c r="AC277">
        <v>1</v>
      </c>
      <c r="AD277">
        <v>14</v>
      </c>
      <c r="AE277">
        <v>17</v>
      </c>
      <c r="AF277">
        <v>3</v>
      </c>
      <c r="AG277">
        <v>9</v>
      </c>
      <c r="AH277">
        <v>3</v>
      </c>
      <c r="AI277">
        <v>1</v>
      </c>
    </row>
    <row r="278" spans="1:35" hidden="1" x14ac:dyDescent="0.25">
      <c r="A278">
        <v>2023</v>
      </c>
      <c r="B278" s="1">
        <v>45067</v>
      </c>
      <c r="C278">
        <v>7</v>
      </c>
      <c r="D278">
        <v>12641</v>
      </c>
      <c r="E278">
        <v>20120</v>
      </c>
      <c r="F278" t="s">
        <v>326</v>
      </c>
      <c r="G278" t="s">
        <v>95</v>
      </c>
      <c r="H278" t="s">
        <v>328</v>
      </c>
      <c r="I278" t="s">
        <v>97</v>
      </c>
      <c r="J278">
        <v>9</v>
      </c>
      <c r="K278">
        <v>2</v>
      </c>
      <c r="L278">
        <v>2840</v>
      </c>
      <c r="M278">
        <v>8350</v>
      </c>
      <c r="N278" t="s">
        <v>221</v>
      </c>
      <c r="O278" t="s">
        <v>100</v>
      </c>
      <c r="P278">
        <v>0</v>
      </c>
      <c r="Q278">
        <v>0</v>
      </c>
      <c r="R278">
        <v>0</v>
      </c>
      <c r="S278">
        <v>0</v>
      </c>
      <c r="T278">
        <v>3</v>
      </c>
      <c r="U278">
        <v>4</v>
      </c>
      <c r="V278">
        <v>15</v>
      </c>
      <c r="W278">
        <v>11</v>
      </c>
      <c r="X278">
        <v>9</v>
      </c>
      <c r="Y278">
        <v>14</v>
      </c>
      <c r="Z278">
        <v>1</v>
      </c>
      <c r="AA278">
        <v>4</v>
      </c>
      <c r="AB278">
        <v>0</v>
      </c>
      <c r="AC278">
        <v>3</v>
      </c>
      <c r="AD278">
        <v>12</v>
      </c>
      <c r="AE278">
        <v>12</v>
      </c>
      <c r="AF278">
        <v>5</v>
      </c>
      <c r="AG278">
        <v>5</v>
      </c>
      <c r="AH278">
        <v>0</v>
      </c>
      <c r="AI278">
        <v>0</v>
      </c>
    </row>
    <row r="279" spans="1:35" hidden="1" x14ac:dyDescent="0.25">
      <c r="A279">
        <v>2023</v>
      </c>
      <c r="B279" s="1">
        <v>45237</v>
      </c>
      <c r="C279">
        <v>32</v>
      </c>
      <c r="D279">
        <v>12923</v>
      </c>
      <c r="E279">
        <v>20120</v>
      </c>
      <c r="F279" t="s">
        <v>326</v>
      </c>
      <c r="G279" t="s">
        <v>70</v>
      </c>
      <c r="H279" t="s">
        <v>338</v>
      </c>
      <c r="I279" t="s">
        <v>90</v>
      </c>
      <c r="J279">
        <v>15</v>
      </c>
      <c r="K279">
        <v>12</v>
      </c>
      <c r="L279">
        <v>4080</v>
      </c>
      <c r="M279">
        <v>823</v>
      </c>
      <c r="N279" t="s">
        <v>209</v>
      </c>
      <c r="O279" t="s">
        <v>105</v>
      </c>
      <c r="P279">
        <v>0</v>
      </c>
      <c r="Q279">
        <v>0</v>
      </c>
      <c r="R279">
        <v>0</v>
      </c>
      <c r="S279">
        <v>0</v>
      </c>
      <c r="T279">
        <v>4</v>
      </c>
      <c r="U279">
        <v>4</v>
      </c>
      <c r="V279">
        <v>13</v>
      </c>
      <c r="W279">
        <v>7</v>
      </c>
      <c r="X279">
        <v>6</v>
      </c>
      <c r="Y279">
        <v>12</v>
      </c>
      <c r="Z279">
        <v>1</v>
      </c>
      <c r="AA279">
        <v>2</v>
      </c>
      <c r="AB279">
        <v>0</v>
      </c>
      <c r="AC279">
        <v>1</v>
      </c>
      <c r="AD279">
        <v>4</v>
      </c>
      <c r="AE279">
        <v>7</v>
      </c>
      <c r="AF279">
        <v>1</v>
      </c>
      <c r="AG279">
        <v>5</v>
      </c>
      <c r="AH279">
        <v>0</v>
      </c>
      <c r="AI279">
        <v>0</v>
      </c>
    </row>
    <row r="280" spans="1:35" hidden="1" x14ac:dyDescent="0.25">
      <c r="A280">
        <v>2023</v>
      </c>
      <c r="B280" s="1">
        <v>45242</v>
      </c>
      <c r="C280">
        <v>34</v>
      </c>
      <c r="D280">
        <v>13442</v>
      </c>
      <c r="E280">
        <v>20120</v>
      </c>
      <c r="F280" t="s">
        <v>326</v>
      </c>
      <c r="G280" t="s">
        <v>62</v>
      </c>
      <c r="H280" t="s">
        <v>338</v>
      </c>
      <c r="I280" t="s">
        <v>315</v>
      </c>
      <c r="J280">
        <v>14</v>
      </c>
      <c r="K280">
        <v>10</v>
      </c>
      <c r="L280">
        <v>4090</v>
      </c>
      <c r="M280">
        <v>2510</v>
      </c>
      <c r="N280" t="s">
        <v>239</v>
      </c>
      <c r="O280" t="s">
        <v>129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4</v>
      </c>
      <c r="V280">
        <v>12</v>
      </c>
      <c r="W280">
        <v>14</v>
      </c>
      <c r="X280">
        <v>13</v>
      </c>
      <c r="Y280">
        <v>12</v>
      </c>
      <c r="Z280">
        <v>3</v>
      </c>
      <c r="AA280">
        <v>3</v>
      </c>
      <c r="AB280">
        <v>1</v>
      </c>
      <c r="AC280">
        <v>1</v>
      </c>
      <c r="AD280">
        <v>11</v>
      </c>
      <c r="AE280">
        <v>12</v>
      </c>
      <c r="AF280">
        <v>5</v>
      </c>
      <c r="AG280">
        <v>5</v>
      </c>
      <c r="AH280">
        <v>0</v>
      </c>
      <c r="AI280">
        <v>0</v>
      </c>
    </row>
    <row r="281" spans="1:35" hidden="1" x14ac:dyDescent="0.25">
      <c r="A281">
        <v>2023</v>
      </c>
      <c r="B281" s="1">
        <v>45066</v>
      </c>
      <c r="C281">
        <v>7</v>
      </c>
      <c r="D281">
        <v>3769</v>
      </c>
      <c r="E281">
        <v>13212</v>
      </c>
      <c r="F281" t="s">
        <v>56</v>
      </c>
      <c r="G281" t="s">
        <v>69</v>
      </c>
      <c r="H281" t="s">
        <v>58</v>
      </c>
      <c r="I281" t="s">
        <v>308</v>
      </c>
      <c r="J281">
        <v>12</v>
      </c>
      <c r="K281">
        <v>7</v>
      </c>
      <c r="L281">
        <v>2830</v>
      </c>
      <c r="M281">
        <v>3310</v>
      </c>
      <c r="N281" t="s">
        <v>220</v>
      </c>
      <c r="O281" t="s">
        <v>168</v>
      </c>
      <c r="P281">
        <v>2</v>
      </c>
      <c r="Q281">
        <v>0</v>
      </c>
      <c r="R281">
        <v>1</v>
      </c>
      <c r="S281">
        <v>0</v>
      </c>
      <c r="T281">
        <v>6</v>
      </c>
      <c r="U281">
        <v>5</v>
      </c>
      <c r="V281">
        <v>20</v>
      </c>
      <c r="W281">
        <v>12</v>
      </c>
      <c r="X281">
        <v>12</v>
      </c>
      <c r="Y281">
        <v>20</v>
      </c>
      <c r="Z281">
        <v>4</v>
      </c>
      <c r="AA281">
        <v>2</v>
      </c>
      <c r="AB281">
        <v>2</v>
      </c>
      <c r="AC281">
        <v>3</v>
      </c>
      <c r="AD281">
        <v>13</v>
      </c>
      <c r="AE281">
        <v>14</v>
      </c>
      <c r="AF281">
        <v>7</v>
      </c>
      <c r="AG281">
        <v>8</v>
      </c>
      <c r="AH281">
        <v>2</v>
      </c>
      <c r="AI281">
        <v>1</v>
      </c>
    </row>
    <row r="282" spans="1:35" hidden="1" x14ac:dyDescent="0.25">
      <c r="A282">
        <v>2023</v>
      </c>
      <c r="B282" s="1">
        <v>45075</v>
      </c>
      <c r="C282">
        <v>8</v>
      </c>
      <c r="D282">
        <v>5988</v>
      </c>
      <c r="E282">
        <v>13212</v>
      </c>
      <c r="F282" t="s">
        <v>56</v>
      </c>
      <c r="G282" t="s">
        <v>326</v>
      </c>
      <c r="H282" t="s">
        <v>58</v>
      </c>
      <c r="I282" t="s">
        <v>328</v>
      </c>
      <c r="J282">
        <v>10</v>
      </c>
      <c r="K282">
        <v>12</v>
      </c>
      <c r="L282">
        <v>3080</v>
      </c>
      <c r="M282">
        <v>3240</v>
      </c>
      <c r="N282" t="s">
        <v>339</v>
      </c>
      <c r="O282" t="s">
        <v>217</v>
      </c>
      <c r="P282">
        <v>2</v>
      </c>
      <c r="Q282">
        <v>0</v>
      </c>
      <c r="R282">
        <v>1</v>
      </c>
      <c r="S282">
        <v>0</v>
      </c>
      <c r="T282">
        <v>5</v>
      </c>
      <c r="U282">
        <v>4</v>
      </c>
      <c r="V282">
        <v>13</v>
      </c>
      <c r="W282">
        <v>10</v>
      </c>
      <c r="X282">
        <v>10</v>
      </c>
      <c r="Y282">
        <v>11</v>
      </c>
      <c r="Z282">
        <v>1</v>
      </c>
      <c r="AA282">
        <v>7</v>
      </c>
      <c r="AB282">
        <v>3</v>
      </c>
      <c r="AC282">
        <v>4</v>
      </c>
      <c r="AD282">
        <v>19</v>
      </c>
      <c r="AE282">
        <v>9</v>
      </c>
      <c r="AF282">
        <v>6</v>
      </c>
      <c r="AG282">
        <v>5</v>
      </c>
      <c r="AH282">
        <v>2</v>
      </c>
      <c r="AI282">
        <v>1</v>
      </c>
    </row>
    <row r="283" spans="1:35" hidden="1" x14ac:dyDescent="0.25">
      <c r="A283">
        <v>2023</v>
      </c>
      <c r="B283" s="1">
        <v>45100</v>
      </c>
      <c r="C283">
        <v>11</v>
      </c>
      <c r="D283">
        <v>10103</v>
      </c>
      <c r="E283">
        <v>13212</v>
      </c>
      <c r="F283" t="s">
        <v>56</v>
      </c>
      <c r="G283" t="s">
        <v>77</v>
      </c>
      <c r="H283" t="s">
        <v>58</v>
      </c>
      <c r="I283" t="s">
        <v>329</v>
      </c>
      <c r="J283">
        <v>9</v>
      </c>
      <c r="K283">
        <v>4</v>
      </c>
      <c r="L283">
        <v>2470</v>
      </c>
      <c r="M283">
        <v>8620</v>
      </c>
      <c r="N283" t="s">
        <v>171</v>
      </c>
      <c r="O283" t="s">
        <v>114</v>
      </c>
      <c r="P283">
        <v>4</v>
      </c>
      <c r="Q283">
        <v>0</v>
      </c>
      <c r="R283">
        <v>1</v>
      </c>
      <c r="S283">
        <v>0</v>
      </c>
      <c r="T283">
        <v>17</v>
      </c>
      <c r="U283">
        <v>2</v>
      </c>
      <c r="V283">
        <v>2</v>
      </c>
      <c r="W283">
        <v>5</v>
      </c>
      <c r="X283">
        <v>5</v>
      </c>
      <c r="Y283">
        <v>2</v>
      </c>
      <c r="Z283">
        <v>0</v>
      </c>
      <c r="AA283">
        <v>9</v>
      </c>
      <c r="AB283">
        <v>2</v>
      </c>
      <c r="AC283">
        <v>2</v>
      </c>
      <c r="AD283">
        <v>36</v>
      </c>
      <c r="AE283">
        <v>7</v>
      </c>
      <c r="AF283">
        <v>11</v>
      </c>
      <c r="AG283">
        <v>5</v>
      </c>
      <c r="AH283">
        <v>4</v>
      </c>
      <c r="AI283">
        <v>1</v>
      </c>
    </row>
    <row r="284" spans="1:35" hidden="1" x14ac:dyDescent="0.25">
      <c r="A284">
        <v>2023</v>
      </c>
      <c r="B284" s="1">
        <v>45102</v>
      </c>
      <c r="C284">
        <v>12</v>
      </c>
      <c r="D284">
        <v>3798</v>
      </c>
      <c r="E284">
        <v>13212</v>
      </c>
      <c r="F284" t="s">
        <v>56</v>
      </c>
      <c r="G284" t="s">
        <v>313</v>
      </c>
      <c r="H284" t="s">
        <v>58</v>
      </c>
      <c r="I284" t="s">
        <v>314</v>
      </c>
      <c r="J284">
        <v>7</v>
      </c>
      <c r="K284">
        <v>17</v>
      </c>
      <c r="L284">
        <v>2770</v>
      </c>
      <c r="M284">
        <v>1065</v>
      </c>
      <c r="N284">
        <v>25</v>
      </c>
      <c r="O284" t="s">
        <v>105</v>
      </c>
      <c r="P284">
        <v>2</v>
      </c>
      <c r="Q284">
        <v>0</v>
      </c>
      <c r="R284">
        <v>2</v>
      </c>
      <c r="S284">
        <v>0</v>
      </c>
      <c r="T284">
        <v>10</v>
      </c>
      <c r="U284">
        <v>4</v>
      </c>
      <c r="V284">
        <v>17</v>
      </c>
      <c r="W284">
        <v>23</v>
      </c>
      <c r="X284">
        <v>21</v>
      </c>
      <c r="Y284">
        <v>17</v>
      </c>
      <c r="Z284">
        <v>0</v>
      </c>
      <c r="AA284">
        <v>4</v>
      </c>
      <c r="AB284">
        <v>0</v>
      </c>
      <c r="AC284">
        <v>6</v>
      </c>
      <c r="AD284">
        <v>20</v>
      </c>
      <c r="AE284">
        <v>4</v>
      </c>
      <c r="AF284">
        <v>8</v>
      </c>
      <c r="AG284">
        <v>1</v>
      </c>
      <c r="AH284">
        <v>2</v>
      </c>
      <c r="AI284">
        <v>1</v>
      </c>
    </row>
    <row r="285" spans="1:35" hidden="1" x14ac:dyDescent="0.25">
      <c r="A285">
        <v>2023</v>
      </c>
      <c r="B285" s="1">
        <v>45116</v>
      </c>
      <c r="C285">
        <v>14</v>
      </c>
      <c r="D285">
        <v>9411</v>
      </c>
      <c r="E285">
        <v>13212</v>
      </c>
      <c r="F285" t="s">
        <v>56</v>
      </c>
      <c r="G285" t="s">
        <v>62</v>
      </c>
      <c r="H285" t="s">
        <v>58</v>
      </c>
      <c r="I285" t="s">
        <v>315</v>
      </c>
      <c r="J285">
        <v>6</v>
      </c>
      <c r="K285">
        <v>8</v>
      </c>
      <c r="L285">
        <v>2770</v>
      </c>
      <c r="M285">
        <v>1880</v>
      </c>
      <c r="N285">
        <v>25</v>
      </c>
      <c r="O285" t="s">
        <v>171</v>
      </c>
      <c r="P285">
        <v>0</v>
      </c>
      <c r="Q285">
        <v>0</v>
      </c>
      <c r="R285">
        <v>0</v>
      </c>
      <c r="S285">
        <v>0</v>
      </c>
      <c r="T285">
        <v>6</v>
      </c>
      <c r="U285">
        <v>4</v>
      </c>
      <c r="V285">
        <v>16</v>
      </c>
      <c r="W285">
        <v>9</v>
      </c>
      <c r="X285">
        <v>9</v>
      </c>
      <c r="Y285">
        <v>16</v>
      </c>
      <c r="Z285">
        <v>1</v>
      </c>
      <c r="AA285">
        <v>4</v>
      </c>
      <c r="AB285">
        <v>0</v>
      </c>
      <c r="AC285">
        <v>0</v>
      </c>
      <c r="AD285">
        <v>26</v>
      </c>
      <c r="AE285">
        <v>6</v>
      </c>
      <c r="AF285">
        <v>14</v>
      </c>
      <c r="AG285">
        <v>2</v>
      </c>
      <c r="AH285">
        <v>0</v>
      </c>
      <c r="AI285">
        <v>0</v>
      </c>
    </row>
    <row r="286" spans="1:35" hidden="1" x14ac:dyDescent="0.25">
      <c r="A286">
        <v>2023</v>
      </c>
      <c r="B286" s="1">
        <v>45130</v>
      </c>
      <c r="C286">
        <v>16</v>
      </c>
      <c r="D286">
        <v>6446</v>
      </c>
      <c r="E286">
        <v>13212</v>
      </c>
      <c r="F286" t="s">
        <v>56</v>
      </c>
      <c r="G286" t="s">
        <v>37</v>
      </c>
      <c r="H286" t="s">
        <v>58</v>
      </c>
      <c r="I286" t="s">
        <v>39</v>
      </c>
      <c r="J286">
        <v>8</v>
      </c>
      <c r="K286">
        <v>10</v>
      </c>
      <c r="L286">
        <v>3080</v>
      </c>
      <c r="M286">
        <v>4075</v>
      </c>
      <c r="N286" t="s">
        <v>339</v>
      </c>
      <c r="O286" t="s">
        <v>144</v>
      </c>
      <c r="P286">
        <v>0</v>
      </c>
      <c r="Q286">
        <v>0</v>
      </c>
      <c r="R286">
        <v>0</v>
      </c>
      <c r="S286">
        <v>0</v>
      </c>
      <c r="T286">
        <v>13</v>
      </c>
      <c r="U286">
        <v>4</v>
      </c>
      <c r="V286">
        <v>15</v>
      </c>
      <c r="W286">
        <v>14</v>
      </c>
      <c r="X286">
        <v>13</v>
      </c>
      <c r="Y286">
        <v>14</v>
      </c>
      <c r="Z286">
        <v>5</v>
      </c>
      <c r="AA286">
        <v>4</v>
      </c>
      <c r="AB286">
        <v>0</v>
      </c>
      <c r="AC286">
        <v>3</v>
      </c>
      <c r="AD286">
        <v>20</v>
      </c>
      <c r="AE286">
        <v>11</v>
      </c>
      <c r="AF286">
        <v>10</v>
      </c>
      <c r="AG286">
        <v>2</v>
      </c>
      <c r="AH286">
        <v>0</v>
      </c>
      <c r="AI286">
        <v>0</v>
      </c>
    </row>
    <row r="287" spans="1:35" hidden="1" x14ac:dyDescent="0.25">
      <c r="A287">
        <v>2023</v>
      </c>
      <c r="B287" s="1">
        <v>45165</v>
      </c>
      <c r="C287">
        <v>21</v>
      </c>
      <c r="D287">
        <v>3683</v>
      </c>
      <c r="E287">
        <v>13212</v>
      </c>
      <c r="F287" t="s">
        <v>56</v>
      </c>
      <c r="G287" t="s">
        <v>70</v>
      </c>
      <c r="H287" t="s">
        <v>58</v>
      </c>
      <c r="I287" t="s">
        <v>90</v>
      </c>
      <c r="J287">
        <v>6</v>
      </c>
      <c r="K287">
        <v>10</v>
      </c>
      <c r="L287">
        <v>2730</v>
      </c>
      <c r="M287">
        <v>880</v>
      </c>
      <c r="N287" t="s">
        <v>230</v>
      </c>
      <c r="O287" t="s">
        <v>134</v>
      </c>
      <c r="P287">
        <v>2</v>
      </c>
      <c r="Q287">
        <v>0</v>
      </c>
      <c r="R287">
        <v>0</v>
      </c>
      <c r="S287">
        <v>0</v>
      </c>
      <c r="T287">
        <v>11</v>
      </c>
      <c r="U287">
        <v>4</v>
      </c>
      <c r="V287">
        <v>21</v>
      </c>
      <c r="W287">
        <v>14</v>
      </c>
      <c r="X287">
        <v>12</v>
      </c>
      <c r="Y287">
        <v>21</v>
      </c>
      <c r="Z287">
        <v>3</v>
      </c>
      <c r="AA287">
        <v>2</v>
      </c>
      <c r="AB287">
        <v>1</v>
      </c>
      <c r="AC287">
        <v>0</v>
      </c>
      <c r="AD287">
        <v>11</v>
      </c>
      <c r="AE287">
        <v>6</v>
      </c>
      <c r="AF287">
        <v>2</v>
      </c>
      <c r="AG287">
        <v>2</v>
      </c>
      <c r="AH287">
        <v>2</v>
      </c>
      <c r="AI287">
        <v>1</v>
      </c>
    </row>
    <row r="288" spans="1:35" hidden="1" x14ac:dyDescent="0.25">
      <c r="A288">
        <v>2023</v>
      </c>
      <c r="B288" s="1">
        <v>45184</v>
      </c>
      <c r="C288">
        <v>23</v>
      </c>
      <c r="D288">
        <v>5088</v>
      </c>
      <c r="E288">
        <v>13212</v>
      </c>
      <c r="F288" t="s">
        <v>56</v>
      </c>
      <c r="G288" t="s">
        <v>83</v>
      </c>
      <c r="H288" t="s">
        <v>58</v>
      </c>
      <c r="I288" t="s">
        <v>319</v>
      </c>
      <c r="J288">
        <v>5</v>
      </c>
      <c r="K288">
        <v>3</v>
      </c>
      <c r="L288">
        <v>3363</v>
      </c>
      <c r="M288">
        <v>3910</v>
      </c>
      <c r="N288" t="s">
        <v>151</v>
      </c>
      <c r="O288" t="s">
        <v>74</v>
      </c>
      <c r="P288">
        <v>2</v>
      </c>
      <c r="Q288">
        <v>0</v>
      </c>
      <c r="R288">
        <v>2</v>
      </c>
      <c r="S288">
        <v>0</v>
      </c>
      <c r="T288">
        <v>5</v>
      </c>
      <c r="U288">
        <v>1</v>
      </c>
      <c r="V288">
        <v>21</v>
      </c>
      <c r="W288">
        <v>16</v>
      </c>
      <c r="X288">
        <v>16</v>
      </c>
      <c r="Y288">
        <v>21</v>
      </c>
      <c r="Z288">
        <v>4</v>
      </c>
      <c r="AA288">
        <v>3</v>
      </c>
      <c r="AB288">
        <v>3</v>
      </c>
      <c r="AC288">
        <v>1</v>
      </c>
      <c r="AD288">
        <v>16</v>
      </c>
      <c r="AE288">
        <v>11</v>
      </c>
      <c r="AF288">
        <v>10</v>
      </c>
      <c r="AG288">
        <v>5</v>
      </c>
      <c r="AH288">
        <v>2</v>
      </c>
      <c r="AI288">
        <v>1</v>
      </c>
    </row>
    <row r="289" spans="1:35" hidden="1" x14ac:dyDescent="0.25">
      <c r="A289">
        <v>2023</v>
      </c>
      <c r="B289" s="1">
        <v>45238</v>
      </c>
      <c r="C289">
        <v>33</v>
      </c>
      <c r="D289">
        <v>18669</v>
      </c>
      <c r="E289">
        <v>50848</v>
      </c>
      <c r="F289" t="s">
        <v>37</v>
      </c>
      <c r="G289" t="s">
        <v>55</v>
      </c>
      <c r="H289" t="s">
        <v>39</v>
      </c>
      <c r="I289" t="s">
        <v>57</v>
      </c>
      <c r="J289">
        <v>12</v>
      </c>
      <c r="K289">
        <v>8</v>
      </c>
      <c r="L289">
        <v>4955</v>
      </c>
      <c r="M289">
        <v>5720</v>
      </c>
      <c r="N289" t="s">
        <v>174</v>
      </c>
      <c r="O289">
        <v>27</v>
      </c>
      <c r="P289">
        <v>0</v>
      </c>
      <c r="Q289">
        <v>0</v>
      </c>
      <c r="R289">
        <v>0</v>
      </c>
      <c r="S289">
        <v>0</v>
      </c>
      <c r="T289">
        <v>5</v>
      </c>
      <c r="U289">
        <v>3</v>
      </c>
      <c r="V289">
        <v>13</v>
      </c>
      <c r="W289">
        <v>16</v>
      </c>
      <c r="X289">
        <v>14</v>
      </c>
      <c r="Y289">
        <v>13</v>
      </c>
      <c r="Z289">
        <v>4</v>
      </c>
      <c r="AA289">
        <v>4</v>
      </c>
      <c r="AB289">
        <v>4</v>
      </c>
      <c r="AC289">
        <v>0</v>
      </c>
      <c r="AD289">
        <v>20</v>
      </c>
      <c r="AE289">
        <v>8</v>
      </c>
      <c r="AF289">
        <v>12</v>
      </c>
      <c r="AG289">
        <v>4</v>
      </c>
      <c r="AH289">
        <v>0</v>
      </c>
      <c r="AI289">
        <v>0</v>
      </c>
    </row>
    <row r="290" spans="1:35" hidden="1" x14ac:dyDescent="0.25">
      <c r="A290">
        <v>2023</v>
      </c>
      <c r="B290" s="1">
        <v>45256</v>
      </c>
      <c r="C290">
        <v>35</v>
      </c>
      <c r="D290">
        <v>22170</v>
      </c>
      <c r="E290">
        <v>50848</v>
      </c>
      <c r="F290" t="s">
        <v>37</v>
      </c>
      <c r="G290" t="s">
        <v>56</v>
      </c>
      <c r="H290" t="s">
        <v>39</v>
      </c>
      <c r="I290" t="s">
        <v>58</v>
      </c>
      <c r="J290">
        <v>11</v>
      </c>
      <c r="K290">
        <v>6</v>
      </c>
      <c r="L290">
        <v>4385</v>
      </c>
      <c r="M290">
        <v>3360</v>
      </c>
      <c r="N290" t="s">
        <v>137</v>
      </c>
      <c r="O290" t="s">
        <v>176</v>
      </c>
      <c r="P290">
        <v>1</v>
      </c>
      <c r="Q290">
        <v>0</v>
      </c>
      <c r="R290">
        <v>1</v>
      </c>
      <c r="S290">
        <v>0</v>
      </c>
      <c r="T290">
        <v>4</v>
      </c>
      <c r="U290">
        <v>7</v>
      </c>
      <c r="V290">
        <v>18</v>
      </c>
      <c r="W290">
        <v>13</v>
      </c>
      <c r="X290">
        <v>13</v>
      </c>
      <c r="Y290">
        <v>16</v>
      </c>
      <c r="Z290">
        <v>5</v>
      </c>
      <c r="AA290">
        <v>1</v>
      </c>
      <c r="AB290">
        <v>0</v>
      </c>
      <c r="AC290">
        <v>4</v>
      </c>
      <c r="AD290">
        <v>8</v>
      </c>
      <c r="AE290">
        <v>13</v>
      </c>
      <c r="AF290">
        <v>5</v>
      </c>
      <c r="AG290">
        <v>4</v>
      </c>
      <c r="AH290">
        <v>1</v>
      </c>
      <c r="AI290">
        <v>1</v>
      </c>
    </row>
    <row r="291" spans="1:35" hidden="1" x14ac:dyDescent="0.25">
      <c r="A291">
        <v>2023</v>
      </c>
      <c r="B291" s="1">
        <v>45221</v>
      </c>
      <c r="C291">
        <v>28</v>
      </c>
      <c r="D291">
        <v>6813</v>
      </c>
      <c r="E291">
        <v>15010</v>
      </c>
      <c r="F291" t="s">
        <v>56</v>
      </c>
      <c r="G291" t="s">
        <v>55</v>
      </c>
      <c r="H291" t="s">
        <v>58</v>
      </c>
      <c r="I291" t="s">
        <v>57</v>
      </c>
      <c r="J291">
        <v>2</v>
      </c>
      <c r="K291">
        <v>9</v>
      </c>
      <c r="L291">
        <v>3090</v>
      </c>
      <c r="M291">
        <v>4400</v>
      </c>
      <c r="N291" t="s">
        <v>80</v>
      </c>
      <c r="O291" t="s">
        <v>111</v>
      </c>
      <c r="P291">
        <v>1</v>
      </c>
      <c r="Q291">
        <v>0</v>
      </c>
      <c r="R291">
        <v>1</v>
      </c>
      <c r="S291">
        <v>0</v>
      </c>
      <c r="T291">
        <v>7</v>
      </c>
      <c r="U291">
        <v>3</v>
      </c>
      <c r="V291">
        <v>17</v>
      </c>
      <c r="W291">
        <v>13</v>
      </c>
      <c r="X291">
        <v>12</v>
      </c>
      <c r="Y291">
        <v>17</v>
      </c>
      <c r="Z291">
        <v>5</v>
      </c>
      <c r="AA291">
        <v>1</v>
      </c>
      <c r="AB291">
        <v>0</v>
      </c>
      <c r="AC291">
        <v>3</v>
      </c>
      <c r="AD291">
        <v>21</v>
      </c>
      <c r="AE291">
        <v>12</v>
      </c>
      <c r="AF291">
        <v>12</v>
      </c>
      <c r="AG291">
        <v>4</v>
      </c>
      <c r="AH291">
        <v>1</v>
      </c>
      <c r="AI291">
        <v>1</v>
      </c>
    </row>
    <row r="292" spans="1:35" hidden="1" x14ac:dyDescent="0.25">
      <c r="A292">
        <v>2023</v>
      </c>
      <c r="B292" s="1">
        <v>45235</v>
      </c>
      <c r="C292">
        <v>32</v>
      </c>
      <c r="D292">
        <v>10797</v>
      </c>
      <c r="E292">
        <v>15010</v>
      </c>
      <c r="F292" t="s">
        <v>56</v>
      </c>
      <c r="G292" t="s">
        <v>88</v>
      </c>
      <c r="H292" t="s">
        <v>58</v>
      </c>
      <c r="I292" t="s">
        <v>240</v>
      </c>
      <c r="J292">
        <v>3</v>
      </c>
      <c r="K292">
        <v>14</v>
      </c>
      <c r="L292">
        <v>3160</v>
      </c>
      <c r="M292">
        <v>4400</v>
      </c>
      <c r="N292" t="s">
        <v>228</v>
      </c>
      <c r="O292" t="s">
        <v>142</v>
      </c>
      <c r="P292">
        <v>1</v>
      </c>
      <c r="Q292">
        <v>0</v>
      </c>
      <c r="R292">
        <v>1</v>
      </c>
      <c r="S292">
        <v>0</v>
      </c>
      <c r="T292">
        <v>10</v>
      </c>
      <c r="U292">
        <v>6</v>
      </c>
      <c r="V292">
        <v>14</v>
      </c>
      <c r="W292">
        <v>12</v>
      </c>
      <c r="X292">
        <v>11</v>
      </c>
      <c r="Y292">
        <v>14</v>
      </c>
      <c r="Z292">
        <v>2</v>
      </c>
      <c r="AA292">
        <v>5</v>
      </c>
      <c r="AB292">
        <v>0</v>
      </c>
      <c r="AC292">
        <v>0</v>
      </c>
      <c r="AD292">
        <v>19</v>
      </c>
      <c r="AE292">
        <v>9</v>
      </c>
      <c r="AF292">
        <v>9</v>
      </c>
      <c r="AG292">
        <v>6</v>
      </c>
      <c r="AH292">
        <v>1</v>
      </c>
      <c r="AI292">
        <v>1</v>
      </c>
    </row>
    <row r="293" spans="1:35" hidden="1" x14ac:dyDescent="0.25">
      <c r="A293">
        <v>2023</v>
      </c>
      <c r="B293" s="1">
        <v>45263</v>
      </c>
      <c r="C293">
        <v>37</v>
      </c>
      <c r="D293">
        <v>3442</v>
      </c>
      <c r="E293">
        <v>15010</v>
      </c>
      <c r="F293" t="s">
        <v>56</v>
      </c>
      <c r="G293" t="s">
        <v>321</v>
      </c>
      <c r="H293" t="s">
        <v>58</v>
      </c>
      <c r="I293" t="s">
        <v>340</v>
      </c>
      <c r="J293">
        <v>6</v>
      </c>
      <c r="K293">
        <v>19</v>
      </c>
      <c r="L293">
        <v>3780</v>
      </c>
      <c r="M293">
        <v>1400</v>
      </c>
      <c r="N293" t="s">
        <v>220</v>
      </c>
      <c r="O293" t="s">
        <v>189</v>
      </c>
      <c r="P293">
        <v>1</v>
      </c>
      <c r="Q293">
        <v>0</v>
      </c>
      <c r="R293">
        <v>0</v>
      </c>
      <c r="S293">
        <v>0</v>
      </c>
      <c r="T293">
        <v>12</v>
      </c>
      <c r="U293">
        <v>6</v>
      </c>
      <c r="V293">
        <v>16</v>
      </c>
      <c r="W293">
        <v>10</v>
      </c>
      <c r="X293">
        <v>10</v>
      </c>
      <c r="Y293">
        <v>16</v>
      </c>
      <c r="Z293">
        <v>0</v>
      </c>
      <c r="AA293">
        <v>8</v>
      </c>
      <c r="AB293">
        <v>1</v>
      </c>
      <c r="AC293">
        <v>1</v>
      </c>
      <c r="AD293">
        <v>27</v>
      </c>
      <c r="AE293">
        <v>6</v>
      </c>
      <c r="AF293">
        <v>12</v>
      </c>
      <c r="AG293">
        <v>2</v>
      </c>
      <c r="AH293">
        <v>1</v>
      </c>
      <c r="AI293">
        <v>1</v>
      </c>
    </row>
    <row r="294" spans="1:35" hidden="1" x14ac:dyDescent="0.25">
      <c r="A294">
        <v>2023</v>
      </c>
      <c r="B294" s="1">
        <v>45058</v>
      </c>
      <c r="C294">
        <v>5</v>
      </c>
      <c r="D294">
        <v>37775</v>
      </c>
      <c r="E294">
        <v>60326</v>
      </c>
      <c r="F294" t="s">
        <v>63</v>
      </c>
      <c r="G294" t="s">
        <v>62</v>
      </c>
      <c r="H294" t="s">
        <v>65</v>
      </c>
      <c r="I294" t="s">
        <v>315</v>
      </c>
      <c r="J294">
        <v>6</v>
      </c>
      <c r="K294">
        <v>7</v>
      </c>
      <c r="L294">
        <v>1330</v>
      </c>
      <c r="M294">
        <v>3230</v>
      </c>
      <c r="N294">
        <v>30</v>
      </c>
      <c r="O294" t="s">
        <v>149</v>
      </c>
      <c r="P294">
        <v>0</v>
      </c>
      <c r="Q294">
        <v>0</v>
      </c>
      <c r="R294">
        <v>0</v>
      </c>
      <c r="S294">
        <v>0</v>
      </c>
      <c r="T294">
        <v>4</v>
      </c>
      <c r="U294">
        <v>10</v>
      </c>
      <c r="V294">
        <v>9</v>
      </c>
      <c r="W294">
        <v>17</v>
      </c>
      <c r="X294">
        <v>16</v>
      </c>
      <c r="Y294">
        <v>9</v>
      </c>
      <c r="Z294">
        <v>1</v>
      </c>
      <c r="AA294">
        <v>4</v>
      </c>
      <c r="AB294">
        <v>3</v>
      </c>
      <c r="AC294">
        <v>2</v>
      </c>
      <c r="AD294">
        <v>16</v>
      </c>
      <c r="AE294">
        <v>13</v>
      </c>
      <c r="AF294">
        <v>10</v>
      </c>
      <c r="AG294">
        <v>5</v>
      </c>
      <c r="AH294">
        <v>0</v>
      </c>
      <c r="AI294">
        <v>0</v>
      </c>
    </row>
    <row r="295" spans="1:35" hidden="1" x14ac:dyDescent="0.25">
      <c r="A295">
        <v>2023</v>
      </c>
      <c r="B295" s="1">
        <v>45073</v>
      </c>
      <c r="C295">
        <v>8</v>
      </c>
      <c r="D295">
        <v>37625</v>
      </c>
      <c r="E295">
        <v>60326</v>
      </c>
      <c r="F295" t="s">
        <v>63</v>
      </c>
      <c r="G295" t="s">
        <v>82</v>
      </c>
      <c r="H295" t="s">
        <v>65</v>
      </c>
      <c r="I295" t="s">
        <v>341</v>
      </c>
      <c r="J295">
        <v>9</v>
      </c>
      <c r="K295">
        <v>18</v>
      </c>
      <c r="L295">
        <v>1370</v>
      </c>
      <c r="M295">
        <v>2770</v>
      </c>
      <c r="N295" t="s">
        <v>111</v>
      </c>
      <c r="O295" t="s">
        <v>228</v>
      </c>
      <c r="P295">
        <v>2</v>
      </c>
      <c r="Q295">
        <v>0</v>
      </c>
      <c r="R295">
        <v>0</v>
      </c>
      <c r="S295">
        <v>0</v>
      </c>
      <c r="T295">
        <v>9</v>
      </c>
      <c r="U295">
        <v>5</v>
      </c>
      <c r="V295">
        <v>11</v>
      </c>
      <c r="W295">
        <v>15</v>
      </c>
      <c r="X295">
        <v>15</v>
      </c>
      <c r="Y295">
        <v>10</v>
      </c>
      <c r="Z295">
        <v>1</v>
      </c>
      <c r="AA295">
        <v>5</v>
      </c>
      <c r="AB295">
        <v>3</v>
      </c>
      <c r="AC295">
        <v>3</v>
      </c>
      <c r="AD295">
        <v>15</v>
      </c>
      <c r="AE295">
        <v>11</v>
      </c>
      <c r="AF295">
        <v>5</v>
      </c>
      <c r="AG295">
        <v>2</v>
      </c>
      <c r="AH295">
        <v>2</v>
      </c>
      <c r="AI295">
        <v>1</v>
      </c>
    </row>
    <row r="296" spans="1:35" hidden="1" x14ac:dyDescent="0.25">
      <c r="A296">
        <v>2023</v>
      </c>
      <c r="B296" s="1">
        <v>45080</v>
      </c>
      <c r="C296">
        <v>9</v>
      </c>
      <c r="D296">
        <v>38338</v>
      </c>
      <c r="E296">
        <v>60326</v>
      </c>
      <c r="F296" t="s">
        <v>63</v>
      </c>
      <c r="G296" t="s">
        <v>38</v>
      </c>
      <c r="H296" t="s">
        <v>65</v>
      </c>
      <c r="I296" t="s">
        <v>316</v>
      </c>
      <c r="J296">
        <v>9</v>
      </c>
      <c r="K296">
        <v>15</v>
      </c>
      <c r="L296">
        <v>1450</v>
      </c>
      <c r="M296">
        <v>2215</v>
      </c>
      <c r="N296" t="s">
        <v>174</v>
      </c>
      <c r="O296" t="s">
        <v>107</v>
      </c>
      <c r="P296">
        <v>0</v>
      </c>
      <c r="Q296">
        <v>0</v>
      </c>
      <c r="R296">
        <v>0</v>
      </c>
      <c r="S296">
        <v>0</v>
      </c>
      <c r="T296">
        <v>8</v>
      </c>
      <c r="U296">
        <v>4</v>
      </c>
      <c r="V296">
        <v>17</v>
      </c>
      <c r="W296">
        <v>9</v>
      </c>
      <c r="X296">
        <v>9</v>
      </c>
      <c r="Y296">
        <v>17</v>
      </c>
      <c r="Z296">
        <v>2</v>
      </c>
      <c r="AA296">
        <v>2</v>
      </c>
      <c r="AB296">
        <v>3</v>
      </c>
      <c r="AC296">
        <v>3</v>
      </c>
      <c r="AD296">
        <v>11</v>
      </c>
      <c r="AE296">
        <v>7</v>
      </c>
      <c r="AF296">
        <v>6</v>
      </c>
      <c r="AG296">
        <v>3</v>
      </c>
      <c r="AH296">
        <v>0</v>
      </c>
      <c r="AI296">
        <v>0</v>
      </c>
    </row>
    <row r="297" spans="1:35" hidden="1" x14ac:dyDescent="0.25">
      <c r="A297">
        <v>2023</v>
      </c>
      <c r="B297" s="1">
        <v>45116</v>
      </c>
      <c r="C297">
        <v>14</v>
      </c>
      <c r="D297">
        <v>36399</v>
      </c>
      <c r="E297">
        <v>60326</v>
      </c>
      <c r="F297" t="s">
        <v>63</v>
      </c>
      <c r="G297" t="s">
        <v>69</v>
      </c>
      <c r="H297" t="s">
        <v>65</v>
      </c>
      <c r="I297" t="s">
        <v>325</v>
      </c>
      <c r="J297">
        <v>7</v>
      </c>
      <c r="K297">
        <v>11</v>
      </c>
      <c r="L297">
        <v>1490</v>
      </c>
      <c r="M297">
        <v>2870</v>
      </c>
      <c r="N297" t="s">
        <v>48</v>
      </c>
      <c r="O297" t="s">
        <v>230</v>
      </c>
      <c r="P297">
        <v>1</v>
      </c>
      <c r="Q297">
        <v>0</v>
      </c>
      <c r="R297">
        <v>0</v>
      </c>
      <c r="S297">
        <v>0</v>
      </c>
      <c r="T297">
        <v>7</v>
      </c>
      <c r="U297">
        <v>2</v>
      </c>
      <c r="V297">
        <v>9</v>
      </c>
      <c r="W297">
        <v>18</v>
      </c>
      <c r="X297">
        <v>18</v>
      </c>
      <c r="Y297">
        <v>9</v>
      </c>
      <c r="Z297">
        <v>3</v>
      </c>
      <c r="AA297">
        <v>5</v>
      </c>
      <c r="AB297">
        <v>7</v>
      </c>
      <c r="AC297">
        <v>0</v>
      </c>
      <c r="AD297">
        <v>20</v>
      </c>
      <c r="AE297">
        <v>10</v>
      </c>
      <c r="AF297">
        <v>9</v>
      </c>
      <c r="AG297">
        <v>6</v>
      </c>
      <c r="AH297">
        <v>1</v>
      </c>
      <c r="AI297">
        <v>1</v>
      </c>
    </row>
    <row r="298" spans="1:35" hidden="1" x14ac:dyDescent="0.25">
      <c r="A298">
        <v>2023</v>
      </c>
      <c r="B298" s="1">
        <v>45151</v>
      </c>
      <c r="C298">
        <v>19</v>
      </c>
      <c r="D298">
        <v>32301</v>
      </c>
      <c r="E298">
        <v>60326</v>
      </c>
      <c r="F298" t="s">
        <v>63</v>
      </c>
      <c r="G298" t="s">
        <v>326</v>
      </c>
      <c r="H298" t="s">
        <v>65</v>
      </c>
      <c r="I298" t="s">
        <v>342</v>
      </c>
      <c r="J298">
        <v>11</v>
      </c>
      <c r="K298">
        <v>17</v>
      </c>
      <c r="L298">
        <v>1295</v>
      </c>
      <c r="M298">
        <v>1480</v>
      </c>
      <c r="N298" t="s">
        <v>48</v>
      </c>
      <c r="O298" t="s">
        <v>137</v>
      </c>
      <c r="P298">
        <v>4</v>
      </c>
      <c r="Q298">
        <v>0</v>
      </c>
      <c r="R298">
        <v>0</v>
      </c>
      <c r="S298">
        <v>0</v>
      </c>
      <c r="T298">
        <v>10</v>
      </c>
      <c r="U298">
        <v>6</v>
      </c>
      <c r="V298">
        <v>19</v>
      </c>
      <c r="W298">
        <v>20</v>
      </c>
      <c r="X298">
        <v>19</v>
      </c>
      <c r="Y298">
        <v>19</v>
      </c>
      <c r="Z298">
        <v>3</v>
      </c>
      <c r="AA298">
        <v>7</v>
      </c>
      <c r="AB298">
        <v>1</v>
      </c>
      <c r="AC298">
        <v>3</v>
      </c>
      <c r="AD298">
        <v>25</v>
      </c>
      <c r="AE298">
        <v>9</v>
      </c>
      <c r="AF298">
        <v>9</v>
      </c>
      <c r="AG298">
        <v>2</v>
      </c>
      <c r="AH298">
        <v>4</v>
      </c>
      <c r="AI298">
        <v>1</v>
      </c>
    </row>
    <row r="299" spans="1:35" hidden="1" x14ac:dyDescent="0.25">
      <c r="A299">
        <v>2023</v>
      </c>
      <c r="B299" s="1">
        <v>45263</v>
      </c>
      <c r="C299">
        <v>37</v>
      </c>
      <c r="D299">
        <v>50317</v>
      </c>
      <c r="E299">
        <v>60326</v>
      </c>
      <c r="F299" t="s">
        <v>63</v>
      </c>
      <c r="G299" t="s">
        <v>313</v>
      </c>
      <c r="H299" t="s">
        <v>65</v>
      </c>
      <c r="I299" t="s">
        <v>343</v>
      </c>
      <c r="J299">
        <v>10</v>
      </c>
      <c r="K299">
        <v>18</v>
      </c>
      <c r="L299">
        <v>1200</v>
      </c>
      <c r="M299">
        <v>1075</v>
      </c>
      <c r="N299" t="s">
        <v>109</v>
      </c>
      <c r="O299" t="s">
        <v>209</v>
      </c>
      <c r="P299">
        <v>1</v>
      </c>
      <c r="Q299">
        <v>0</v>
      </c>
      <c r="R299">
        <v>1</v>
      </c>
      <c r="S299">
        <v>0</v>
      </c>
      <c r="T299">
        <v>4</v>
      </c>
      <c r="U299">
        <v>2</v>
      </c>
      <c r="V299">
        <v>19</v>
      </c>
      <c r="W299">
        <v>14</v>
      </c>
      <c r="X299">
        <v>14</v>
      </c>
      <c r="Y299">
        <v>17</v>
      </c>
      <c r="Z299">
        <v>1</v>
      </c>
      <c r="AA299">
        <v>0</v>
      </c>
      <c r="AB299">
        <v>2</v>
      </c>
      <c r="AC299">
        <v>0</v>
      </c>
      <c r="AD299">
        <v>6</v>
      </c>
      <c r="AE299">
        <v>5</v>
      </c>
      <c r="AF299">
        <v>4</v>
      </c>
      <c r="AG299">
        <v>1</v>
      </c>
      <c r="AH299">
        <v>1</v>
      </c>
      <c r="AI299">
        <v>1</v>
      </c>
    </row>
    <row r="300" spans="1:35" hidden="1" x14ac:dyDescent="0.25">
      <c r="A300">
        <v>2023</v>
      </c>
      <c r="B300" s="1">
        <v>45080</v>
      </c>
      <c r="C300">
        <v>9</v>
      </c>
      <c r="D300">
        <v>6701</v>
      </c>
      <c r="E300">
        <v>25000</v>
      </c>
      <c r="F300" t="s">
        <v>310</v>
      </c>
      <c r="G300" t="s">
        <v>88</v>
      </c>
      <c r="H300" t="s">
        <v>312</v>
      </c>
      <c r="I300" t="s">
        <v>317</v>
      </c>
      <c r="J300">
        <v>18</v>
      </c>
      <c r="K300">
        <v>16</v>
      </c>
      <c r="L300">
        <v>560</v>
      </c>
      <c r="M300">
        <v>5590</v>
      </c>
      <c r="N300" t="s">
        <v>193</v>
      </c>
      <c r="O300">
        <v>27</v>
      </c>
      <c r="P300">
        <v>2</v>
      </c>
      <c r="Q300">
        <v>0</v>
      </c>
      <c r="R300">
        <v>0</v>
      </c>
      <c r="S300">
        <v>0</v>
      </c>
      <c r="T300">
        <v>2</v>
      </c>
      <c r="U300">
        <v>3</v>
      </c>
      <c r="V300">
        <v>16</v>
      </c>
      <c r="W300">
        <v>14</v>
      </c>
      <c r="X300">
        <v>13</v>
      </c>
      <c r="Y300">
        <v>16</v>
      </c>
      <c r="Z300">
        <v>2</v>
      </c>
      <c r="AA300">
        <v>4</v>
      </c>
      <c r="AB300">
        <v>1</v>
      </c>
      <c r="AC300">
        <v>0</v>
      </c>
      <c r="AD300">
        <v>16</v>
      </c>
      <c r="AE300">
        <v>6</v>
      </c>
      <c r="AF300">
        <v>6</v>
      </c>
      <c r="AG300">
        <v>2</v>
      </c>
      <c r="AH300">
        <v>2</v>
      </c>
      <c r="AI300">
        <v>1</v>
      </c>
    </row>
    <row r="301" spans="1:35" hidden="1" x14ac:dyDescent="0.25">
      <c r="A301">
        <v>2023</v>
      </c>
      <c r="B301" s="1">
        <v>45172</v>
      </c>
      <c r="C301">
        <v>22</v>
      </c>
      <c r="D301">
        <v>3654</v>
      </c>
      <c r="E301">
        <v>25000</v>
      </c>
      <c r="F301" t="s">
        <v>310</v>
      </c>
      <c r="G301" t="s">
        <v>326</v>
      </c>
      <c r="H301" t="s">
        <v>344</v>
      </c>
      <c r="I301" t="s">
        <v>342</v>
      </c>
      <c r="J301">
        <v>19</v>
      </c>
      <c r="K301">
        <v>17</v>
      </c>
      <c r="L301">
        <v>620</v>
      </c>
      <c r="M301">
        <v>3670</v>
      </c>
      <c r="N301" t="s">
        <v>129</v>
      </c>
      <c r="O301" t="s">
        <v>128</v>
      </c>
      <c r="P301">
        <v>2</v>
      </c>
      <c r="Q301">
        <v>0</v>
      </c>
      <c r="R301">
        <v>1</v>
      </c>
      <c r="S301">
        <v>0</v>
      </c>
      <c r="T301">
        <v>3</v>
      </c>
      <c r="U301">
        <v>5</v>
      </c>
      <c r="V301">
        <v>14</v>
      </c>
      <c r="W301">
        <v>16</v>
      </c>
      <c r="X301">
        <v>16</v>
      </c>
      <c r="Y301">
        <v>14</v>
      </c>
      <c r="Z301">
        <v>2</v>
      </c>
      <c r="AA301">
        <v>5</v>
      </c>
      <c r="AB301">
        <v>4</v>
      </c>
      <c r="AC301">
        <v>2</v>
      </c>
      <c r="AD301">
        <v>12</v>
      </c>
      <c r="AE301">
        <v>10</v>
      </c>
      <c r="AF301">
        <v>4</v>
      </c>
      <c r="AG301">
        <v>6</v>
      </c>
      <c r="AH301">
        <v>2</v>
      </c>
      <c r="AI301">
        <v>1</v>
      </c>
    </row>
    <row r="302" spans="1:35" hidden="1" x14ac:dyDescent="0.25">
      <c r="A302">
        <v>2023</v>
      </c>
      <c r="B302" s="1">
        <v>45165</v>
      </c>
      <c r="C302">
        <v>21</v>
      </c>
      <c r="D302">
        <v>29782</v>
      </c>
      <c r="E302">
        <v>46000</v>
      </c>
      <c r="F302" t="s">
        <v>89</v>
      </c>
      <c r="G302" t="s">
        <v>326</v>
      </c>
      <c r="H302" t="s">
        <v>336</v>
      </c>
      <c r="I302" t="s">
        <v>342</v>
      </c>
      <c r="J302">
        <v>9</v>
      </c>
      <c r="K302">
        <v>17</v>
      </c>
      <c r="L302">
        <v>4500</v>
      </c>
      <c r="M302">
        <v>3800</v>
      </c>
      <c r="N302">
        <v>30</v>
      </c>
      <c r="O302" t="s">
        <v>128</v>
      </c>
      <c r="P302">
        <v>2</v>
      </c>
      <c r="Q302">
        <v>0</v>
      </c>
      <c r="R302">
        <v>1</v>
      </c>
      <c r="S302">
        <v>0</v>
      </c>
      <c r="T302">
        <v>5</v>
      </c>
      <c r="U302">
        <v>2</v>
      </c>
      <c r="V302">
        <v>22</v>
      </c>
      <c r="W302">
        <v>12</v>
      </c>
      <c r="X302">
        <v>12</v>
      </c>
      <c r="Y302">
        <v>21</v>
      </c>
      <c r="Z302">
        <v>0</v>
      </c>
      <c r="AA302">
        <v>4</v>
      </c>
      <c r="AB302">
        <v>2</v>
      </c>
      <c r="AC302">
        <v>1</v>
      </c>
      <c r="AD302">
        <v>15</v>
      </c>
      <c r="AE302">
        <v>13</v>
      </c>
      <c r="AF302">
        <v>7</v>
      </c>
      <c r="AG302">
        <v>9</v>
      </c>
      <c r="AH302">
        <v>2</v>
      </c>
      <c r="AI302">
        <v>1</v>
      </c>
    </row>
    <row r="303" spans="1:35" hidden="1" x14ac:dyDescent="0.25">
      <c r="A303">
        <v>2023</v>
      </c>
      <c r="B303" s="1">
        <v>45186</v>
      </c>
      <c r="C303">
        <v>23</v>
      </c>
      <c r="D303">
        <v>31729</v>
      </c>
      <c r="E303">
        <v>46000</v>
      </c>
      <c r="F303" t="s">
        <v>89</v>
      </c>
      <c r="G303" t="s">
        <v>51</v>
      </c>
      <c r="H303" t="s">
        <v>336</v>
      </c>
      <c r="I303" t="s">
        <v>324</v>
      </c>
      <c r="J303">
        <v>9</v>
      </c>
      <c r="K303">
        <v>1</v>
      </c>
      <c r="L303">
        <v>4360</v>
      </c>
      <c r="M303">
        <v>2580</v>
      </c>
      <c r="N303" t="s">
        <v>74</v>
      </c>
      <c r="O303" t="s">
        <v>142</v>
      </c>
      <c r="P303">
        <v>1</v>
      </c>
      <c r="Q303">
        <v>0</v>
      </c>
      <c r="R303">
        <v>0</v>
      </c>
      <c r="S303">
        <v>0</v>
      </c>
      <c r="T303">
        <v>5</v>
      </c>
      <c r="U303">
        <v>3</v>
      </c>
      <c r="V303">
        <v>15</v>
      </c>
      <c r="W303">
        <v>12</v>
      </c>
      <c r="X303">
        <v>11</v>
      </c>
      <c r="Y303">
        <v>13</v>
      </c>
      <c r="Z303">
        <v>0</v>
      </c>
      <c r="AA303">
        <v>5</v>
      </c>
      <c r="AB303">
        <v>4</v>
      </c>
      <c r="AC303">
        <v>1</v>
      </c>
      <c r="AD303">
        <v>13</v>
      </c>
      <c r="AE303">
        <v>7</v>
      </c>
      <c r="AF303">
        <v>4</v>
      </c>
      <c r="AG303">
        <v>3</v>
      </c>
      <c r="AH303">
        <v>1</v>
      </c>
      <c r="AI303">
        <v>1</v>
      </c>
    </row>
    <row r="304" spans="1:35" hidden="1" x14ac:dyDescent="0.25">
      <c r="A304">
        <v>2023</v>
      </c>
      <c r="B304" s="1">
        <v>45193</v>
      </c>
      <c r="C304">
        <v>24</v>
      </c>
      <c r="D304">
        <v>36104</v>
      </c>
      <c r="E304">
        <v>46000</v>
      </c>
      <c r="F304" t="s">
        <v>89</v>
      </c>
      <c r="G304" t="s">
        <v>70</v>
      </c>
      <c r="H304" t="s">
        <v>336</v>
      </c>
      <c r="I304" t="s">
        <v>90</v>
      </c>
      <c r="J304">
        <v>9</v>
      </c>
      <c r="K304">
        <v>12</v>
      </c>
      <c r="L304">
        <v>4510</v>
      </c>
      <c r="M304">
        <v>835</v>
      </c>
      <c r="N304" t="s">
        <v>111</v>
      </c>
      <c r="O304" t="s">
        <v>296</v>
      </c>
      <c r="P304">
        <v>1</v>
      </c>
      <c r="Q304">
        <v>0</v>
      </c>
      <c r="R304">
        <v>1</v>
      </c>
      <c r="S304">
        <v>0</v>
      </c>
      <c r="T304">
        <v>6</v>
      </c>
      <c r="U304">
        <v>3</v>
      </c>
      <c r="V304">
        <v>15</v>
      </c>
      <c r="W304">
        <v>14</v>
      </c>
      <c r="X304">
        <v>14</v>
      </c>
      <c r="Y304">
        <v>15</v>
      </c>
      <c r="Z304">
        <v>3</v>
      </c>
      <c r="AA304">
        <v>2</v>
      </c>
      <c r="AB304">
        <v>3</v>
      </c>
      <c r="AC304">
        <v>1</v>
      </c>
      <c r="AD304">
        <v>7</v>
      </c>
      <c r="AE304">
        <v>9</v>
      </c>
      <c r="AF304">
        <v>4</v>
      </c>
      <c r="AG304">
        <v>4</v>
      </c>
      <c r="AH304">
        <v>1</v>
      </c>
      <c r="AI304">
        <v>1</v>
      </c>
    </row>
    <row r="305" spans="1:35" hidden="1" x14ac:dyDescent="0.25">
      <c r="A305">
        <v>2023</v>
      </c>
      <c r="B305" s="1">
        <v>45228</v>
      </c>
      <c r="C305">
        <v>30</v>
      </c>
      <c r="D305">
        <v>23003</v>
      </c>
      <c r="E305">
        <v>46000</v>
      </c>
      <c r="F305" t="s">
        <v>89</v>
      </c>
      <c r="G305" t="s">
        <v>55</v>
      </c>
      <c r="H305" t="s">
        <v>336</v>
      </c>
      <c r="I305" t="s">
        <v>57</v>
      </c>
      <c r="J305">
        <v>6</v>
      </c>
      <c r="K305">
        <v>8</v>
      </c>
      <c r="L305">
        <v>5090</v>
      </c>
      <c r="M305">
        <v>4360</v>
      </c>
      <c r="N305" t="s">
        <v>137</v>
      </c>
      <c r="O305" t="s">
        <v>123</v>
      </c>
      <c r="P305">
        <v>2</v>
      </c>
      <c r="Q305">
        <v>0</v>
      </c>
      <c r="R305">
        <v>0</v>
      </c>
      <c r="S305">
        <v>0</v>
      </c>
      <c r="T305">
        <v>9</v>
      </c>
      <c r="U305">
        <v>4</v>
      </c>
      <c r="V305">
        <v>15</v>
      </c>
      <c r="W305">
        <v>11</v>
      </c>
      <c r="X305">
        <v>11</v>
      </c>
      <c r="Y305">
        <v>15</v>
      </c>
      <c r="Z305">
        <v>3</v>
      </c>
      <c r="AA305">
        <v>1</v>
      </c>
      <c r="AB305">
        <v>2</v>
      </c>
      <c r="AC305">
        <v>2</v>
      </c>
      <c r="AD305">
        <v>18</v>
      </c>
      <c r="AE305">
        <v>11</v>
      </c>
      <c r="AF305">
        <v>6</v>
      </c>
      <c r="AG305">
        <v>4</v>
      </c>
      <c r="AH305">
        <v>2</v>
      </c>
      <c r="AI305">
        <v>1</v>
      </c>
    </row>
    <row r="306" spans="1:35" hidden="1" x14ac:dyDescent="0.25">
      <c r="A306">
        <v>2023</v>
      </c>
      <c r="B306" s="1">
        <v>45256</v>
      </c>
      <c r="C306">
        <v>35</v>
      </c>
      <c r="D306">
        <v>39337</v>
      </c>
      <c r="E306">
        <v>46000</v>
      </c>
      <c r="F306" t="s">
        <v>89</v>
      </c>
      <c r="G306" t="s">
        <v>83</v>
      </c>
      <c r="H306" t="s">
        <v>336</v>
      </c>
      <c r="I306" t="s">
        <v>319</v>
      </c>
      <c r="J306">
        <v>4</v>
      </c>
      <c r="K306">
        <v>5</v>
      </c>
      <c r="L306">
        <v>5070</v>
      </c>
      <c r="M306">
        <v>2410</v>
      </c>
      <c r="N306" t="s">
        <v>111</v>
      </c>
      <c r="O306" t="s">
        <v>123</v>
      </c>
      <c r="P306">
        <v>3</v>
      </c>
      <c r="Q306">
        <v>0</v>
      </c>
      <c r="R306">
        <v>1</v>
      </c>
      <c r="S306">
        <v>0</v>
      </c>
      <c r="T306">
        <v>7</v>
      </c>
      <c r="U306">
        <v>7</v>
      </c>
      <c r="V306">
        <v>10</v>
      </c>
      <c r="W306">
        <v>12</v>
      </c>
      <c r="X306">
        <v>10</v>
      </c>
      <c r="Y306">
        <v>8</v>
      </c>
      <c r="Z306">
        <v>5</v>
      </c>
      <c r="AA306">
        <v>3</v>
      </c>
      <c r="AB306">
        <v>1</v>
      </c>
      <c r="AC306">
        <v>0</v>
      </c>
      <c r="AD306">
        <v>17</v>
      </c>
      <c r="AE306">
        <v>21</v>
      </c>
      <c r="AF306">
        <v>6</v>
      </c>
      <c r="AG306">
        <v>9</v>
      </c>
      <c r="AH306">
        <v>3</v>
      </c>
      <c r="AI306">
        <v>1</v>
      </c>
    </row>
    <row r="307" spans="1:35" hidden="1" x14ac:dyDescent="0.25">
      <c r="A307">
        <v>2023</v>
      </c>
      <c r="B307" s="1">
        <v>45125</v>
      </c>
      <c r="C307">
        <v>15</v>
      </c>
      <c r="D307">
        <v>12303</v>
      </c>
      <c r="E307">
        <v>14525</v>
      </c>
      <c r="F307" t="s">
        <v>313</v>
      </c>
      <c r="G307" t="s">
        <v>89</v>
      </c>
      <c r="H307" t="s">
        <v>314</v>
      </c>
      <c r="I307" t="s">
        <v>336</v>
      </c>
      <c r="J307">
        <v>18</v>
      </c>
      <c r="K307">
        <v>12</v>
      </c>
      <c r="L307">
        <v>1013</v>
      </c>
      <c r="M307">
        <v>4850</v>
      </c>
      <c r="N307" t="s">
        <v>129</v>
      </c>
      <c r="O307" t="s">
        <v>74</v>
      </c>
      <c r="P307">
        <v>0</v>
      </c>
      <c r="Q307">
        <v>0</v>
      </c>
      <c r="R307">
        <v>0</v>
      </c>
      <c r="S307">
        <v>0</v>
      </c>
      <c r="T307">
        <v>6</v>
      </c>
      <c r="U307">
        <v>4</v>
      </c>
      <c r="V307">
        <v>16</v>
      </c>
      <c r="W307">
        <v>14</v>
      </c>
      <c r="X307">
        <v>13</v>
      </c>
      <c r="Y307">
        <v>15</v>
      </c>
      <c r="Z307">
        <v>1</v>
      </c>
      <c r="AA307">
        <v>3</v>
      </c>
      <c r="AB307">
        <v>0</v>
      </c>
      <c r="AC307">
        <v>0</v>
      </c>
      <c r="AD307">
        <v>17</v>
      </c>
      <c r="AE307">
        <v>6</v>
      </c>
      <c r="AF307">
        <v>8</v>
      </c>
      <c r="AG307">
        <v>2</v>
      </c>
      <c r="AH307">
        <v>0</v>
      </c>
      <c r="AI307">
        <v>0</v>
      </c>
    </row>
    <row r="308" spans="1:35" hidden="1" x14ac:dyDescent="0.25">
      <c r="A308">
        <v>2023</v>
      </c>
      <c r="B308" s="1">
        <v>45143</v>
      </c>
      <c r="C308">
        <v>18</v>
      </c>
      <c r="D308">
        <v>8384</v>
      </c>
      <c r="E308">
        <v>14525</v>
      </c>
      <c r="F308" t="s">
        <v>313</v>
      </c>
      <c r="G308" t="s">
        <v>63</v>
      </c>
      <c r="H308" t="s">
        <v>314</v>
      </c>
      <c r="I308" t="s">
        <v>65</v>
      </c>
      <c r="J308">
        <v>15</v>
      </c>
      <c r="K308">
        <v>13</v>
      </c>
      <c r="L308">
        <v>1145</v>
      </c>
      <c r="M308">
        <v>1165</v>
      </c>
      <c r="N308" t="s">
        <v>137</v>
      </c>
      <c r="O308" t="s">
        <v>142</v>
      </c>
      <c r="P308">
        <v>1</v>
      </c>
      <c r="Q308">
        <v>0</v>
      </c>
      <c r="R308">
        <v>0</v>
      </c>
      <c r="S308">
        <v>0</v>
      </c>
      <c r="T308">
        <v>5</v>
      </c>
      <c r="U308">
        <v>2</v>
      </c>
      <c r="V308">
        <v>15</v>
      </c>
      <c r="W308">
        <v>10</v>
      </c>
      <c r="X308">
        <v>9</v>
      </c>
      <c r="Y308">
        <v>14</v>
      </c>
      <c r="Z308">
        <v>6</v>
      </c>
      <c r="AA308">
        <v>3</v>
      </c>
      <c r="AB308">
        <v>2</v>
      </c>
      <c r="AC308">
        <v>0</v>
      </c>
      <c r="AD308">
        <v>9</v>
      </c>
      <c r="AE308">
        <v>12</v>
      </c>
      <c r="AF308">
        <v>3</v>
      </c>
      <c r="AG308">
        <v>2</v>
      </c>
      <c r="AH308">
        <v>1</v>
      </c>
      <c r="AI308">
        <v>1</v>
      </c>
    </row>
    <row r="309" spans="1:35" hidden="1" x14ac:dyDescent="0.25">
      <c r="A309">
        <v>2023</v>
      </c>
      <c r="B309" s="1">
        <v>45171</v>
      </c>
      <c r="C309">
        <v>22</v>
      </c>
      <c r="D309">
        <v>11038</v>
      </c>
      <c r="E309">
        <v>14525</v>
      </c>
      <c r="F309" t="s">
        <v>313</v>
      </c>
      <c r="G309" t="s">
        <v>37</v>
      </c>
      <c r="H309" t="s">
        <v>314</v>
      </c>
      <c r="I309" t="s">
        <v>39</v>
      </c>
      <c r="J309">
        <v>15</v>
      </c>
      <c r="K309">
        <v>14</v>
      </c>
      <c r="L309">
        <v>963</v>
      </c>
      <c r="M309">
        <v>3945</v>
      </c>
      <c r="N309" t="s">
        <v>137</v>
      </c>
      <c r="O309" t="s">
        <v>147</v>
      </c>
      <c r="P309">
        <v>0</v>
      </c>
      <c r="Q309">
        <v>0</v>
      </c>
      <c r="R309">
        <v>0</v>
      </c>
      <c r="S309">
        <v>0</v>
      </c>
      <c r="T309">
        <v>5</v>
      </c>
      <c r="U309">
        <v>5</v>
      </c>
      <c r="V309">
        <v>16</v>
      </c>
      <c r="W309">
        <v>13</v>
      </c>
      <c r="X309">
        <v>11</v>
      </c>
      <c r="Y309">
        <v>14</v>
      </c>
      <c r="Z309">
        <v>2</v>
      </c>
      <c r="AA309">
        <v>2</v>
      </c>
      <c r="AB309">
        <v>3</v>
      </c>
      <c r="AC309">
        <v>2</v>
      </c>
      <c r="AD309">
        <v>11</v>
      </c>
      <c r="AE309">
        <v>11</v>
      </c>
      <c r="AF309">
        <v>6</v>
      </c>
      <c r="AG309">
        <v>5</v>
      </c>
      <c r="AH309">
        <v>0</v>
      </c>
      <c r="AI309">
        <v>0</v>
      </c>
    </row>
    <row r="310" spans="1:35" hidden="1" x14ac:dyDescent="0.25">
      <c r="A310">
        <v>2023</v>
      </c>
      <c r="B310" s="1">
        <v>45190</v>
      </c>
      <c r="C310">
        <v>24</v>
      </c>
      <c r="D310">
        <v>13799</v>
      </c>
      <c r="E310">
        <v>14525</v>
      </c>
      <c r="F310" t="s">
        <v>313</v>
      </c>
      <c r="G310" t="s">
        <v>77</v>
      </c>
      <c r="H310" t="s">
        <v>314</v>
      </c>
      <c r="I310" t="s">
        <v>329</v>
      </c>
      <c r="J310">
        <v>16</v>
      </c>
      <c r="K310">
        <v>7</v>
      </c>
      <c r="L310">
        <v>1115</v>
      </c>
      <c r="M310">
        <v>7750</v>
      </c>
      <c r="N310">
        <v>28</v>
      </c>
      <c r="O310" t="s">
        <v>41</v>
      </c>
      <c r="P310">
        <v>0</v>
      </c>
      <c r="Q310">
        <v>0</v>
      </c>
      <c r="R310">
        <v>0</v>
      </c>
      <c r="S310">
        <v>0</v>
      </c>
      <c r="T310">
        <v>3</v>
      </c>
      <c r="U310">
        <v>2</v>
      </c>
      <c r="V310">
        <v>15</v>
      </c>
      <c r="W310">
        <v>14</v>
      </c>
      <c r="X310">
        <v>13</v>
      </c>
      <c r="Y310">
        <v>15</v>
      </c>
      <c r="Z310">
        <v>2</v>
      </c>
      <c r="AA310">
        <v>1</v>
      </c>
      <c r="AB310">
        <v>3</v>
      </c>
      <c r="AC310">
        <v>1</v>
      </c>
      <c r="AD310">
        <v>7</v>
      </c>
      <c r="AE310">
        <v>10</v>
      </c>
      <c r="AF310">
        <v>5</v>
      </c>
      <c r="AG310">
        <v>3</v>
      </c>
      <c r="AH310">
        <v>0</v>
      </c>
      <c r="AI310">
        <v>0</v>
      </c>
    </row>
    <row r="311" spans="1:35" hidden="1" x14ac:dyDescent="0.25">
      <c r="A311">
        <v>2023</v>
      </c>
      <c r="B311" s="1">
        <v>45266</v>
      </c>
      <c r="C311">
        <v>38</v>
      </c>
      <c r="D311">
        <v>1966</v>
      </c>
      <c r="E311">
        <v>14525</v>
      </c>
      <c r="F311" t="s">
        <v>313</v>
      </c>
      <c r="G311" t="s">
        <v>310</v>
      </c>
      <c r="H311" t="s">
        <v>343</v>
      </c>
      <c r="I311" t="s">
        <v>345</v>
      </c>
      <c r="J311">
        <v>18</v>
      </c>
      <c r="K311">
        <v>20</v>
      </c>
      <c r="L311">
        <v>1035</v>
      </c>
      <c r="M311">
        <v>690</v>
      </c>
      <c r="N311" t="s">
        <v>41</v>
      </c>
      <c r="O311" t="s">
        <v>163</v>
      </c>
      <c r="P311">
        <v>1</v>
      </c>
      <c r="Q311">
        <v>0</v>
      </c>
      <c r="R311">
        <v>1</v>
      </c>
      <c r="S311">
        <v>0</v>
      </c>
      <c r="T311">
        <v>8</v>
      </c>
      <c r="U311">
        <v>7</v>
      </c>
      <c r="V311">
        <v>12</v>
      </c>
      <c r="W311">
        <v>13</v>
      </c>
      <c r="X311">
        <v>12</v>
      </c>
      <c r="Y311">
        <v>12</v>
      </c>
      <c r="Z311">
        <v>3</v>
      </c>
      <c r="AA311">
        <v>1</v>
      </c>
      <c r="AB311">
        <v>3</v>
      </c>
      <c r="AC311">
        <v>2</v>
      </c>
      <c r="AD311">
        <v>14</v>
      </c>
      <c r="AE311">
        <v>11</v>
      </c>
      <c r="AF311">
        <v>9</v>
      </c>
      <c r="AG311">
        <v>5</v>
      </c>
      <c r="AH311">
        <v>1</v>
      </c>
      <c r="AI311">
        <v>1</v>
      </c>
    </row>
    <row r="312" spans="1:35" hidden="1" x14ac:dyDescent="0.25">
      <c r="A312">
        <v>2023</v>
      </c>
      <c r="B312" s="1">
        <v>45046</v>
      </c>
      <c r="C312">
        <v>3</v>
      </c>
      <c r="D312">
        <v>29193</v>
      </c>
      <c r="E312">
        <v>56000</v>
      </c>
      <c r="F312" t="s">
        <v>37</v>
      </c>
      <c r="G312" t="s">
        <v>313</v>
      </c>
      <c r="H312" t="s">
        <v>240</v>
      </c>
      <c r="I312" t="s">
        <v>337</v>
      </c>
      <c r="J312">
        <v>4</v>
      </c>
      <c r="K312">
        <v>14</v>
      </c>
      <c r="L312">
        <v>3205</v>
      </c>
      <c r="M312">
        <v>1175</v>
      </c>
      <c r="N312" t="s">
        <v>128</v>
      </c>
      <c r="O312">
        <v>28</v>
      </c>
      <c r="P312">
        <v>1</v>
      </c>
      <c r="Q312">
        <v>0</v>
      </c>
      <c r="R312">
        <v>0</v>
      </c>
      <c r="S312">
        <v>0</v>
      </c>
      <c r="T312">
        <v>8</v>
      </c>
      <c r="U312">
        <v>11</v>
      </c>
      <c r="V312">
        <v>16</v>
      </c>
      <c r="W312">
        <v>10</v>
      </c>
      <c r="X312">
        <v>9</v>
      </c>
      <c r="Y312">
        <v>15</v>
      </c>
      <c r="Z312">
        <v>2</v>
      </c>
      <c r="AA312">
        <v>7</v>
      </c>
      <c r="AB312">
        <v>1</v>
      </c>
      <c r="AC312">
        <v>4</v>
      </c>
      <c r="AD312">
        <v>18</v>
      </c>
      <c r="AE312">
        <v>14</v>
      </c>
      <c r="AF312">
        <v>6</v>
      </c>
      <c r="AG312">
        <v>7</v>
      </c>
      <c r="AH312">
        <v>1</v>
      </c>
      <c r="AI312">
        <v>1</v>
      </c>
    </row>
    <row r="313" spans="1:35" hidden="1" x14ac:dyDescent="0.25">
      <c r="A313">
        <v>2023</v>
      </c>
      <c r="B313" s="1">
        <v>45074</v>
      </c>
      <c r="C313">
        <v>8</v>
      </c>
      <c r="D313">
        <v>19037</v>
      </c>
      <c r="E313">
        <v>56000</v>
      </c>
      <c r="F313" t="s">
        <v>37</v>
      </c>
      <c r="G313" t="s">
        <v>38</v>
      </c>
      <c r="H313" t="s">
        <v>240</v>
      </c>
      <c r="I313" t="s">
        <v>316</v>
      </c>
      <c r="J313">
        <v>13</v>
      </c>
      <c r="K313">
        <v>16</v>
      </c>
      <c r="L313">
        <v>2220</v>
      </c>
      <c r="M313">
        <v>2125</v>
      </c>
      <c r="N313" t="s">
        <v>73</v>
      </c>
      <c r="O313">
        <v>27</v>
      </c>
      <c r="P313">
        <v>2</v>
      </c>
      <c r="Q313">
        <v>0</v>
      </c>
      <c r="R313">
        <v>0</v>
      </c>
      <c r="S313">
        <v>0</v>
      </c>
      <c r="T313">
        <v>2</v>
      </c>
      <c r="U313">
        <v>7</v>
      </c>
      <c r="V313">
        <v>10</v>
      </c>
      <c r="W313">
        <v>13</v>
      </c>
      <c r="X313">
        <v>13</v>
      </c>
      <c r="Y313">
        <v>10</v>
      </c>
      <c r="Z313">
        <v>4</v>
      </c>
      <c r="AA313">
        <v>0</v>
      </c>
      <c r="AB313">
        <v>3</v>
      </c>
      <c r="AC313">
        <v>0</v>
      </c>
      <c r="AD313">
        <v>7</v>
      </c>
      <c r="AE313">
        <v>9</v>
      </c>
      <c r="AF313">
        <v>2</v>
      </c>
      <c r="AG313">
        <v>4</v>
      </c>
      <c r="AH313">
        <v>2</v>
      </c>
      <c r="AI313">
        <v>1</v>
      </c>
    </row>
    <row r="314" spans="1:35" hidden="1" x14ac:dyDescent="0.25">
      <c r="A314">
        <v>2023</v>
      </c>
      <c r="B314" s="1">
        <v>45109</v>
      </c>
      <c r="C314">
        <v>13</v>
      </c>
      <c r="D314">
        <v>23923</v>
      </c>
      <c r="E314">
        <v>56000</v>
      </c>
      <c r="F314" t="s">
        <v>37</v>
      </c>
      <c r="G314" t="s">
        <v>50</v>
      </c>
      <c r="H314" t="s">
        <v>240</v>
      </c>
      <c r="I314" t="s">
        <v>335</v>
      </c>
      <c r="J314">
        <v>8</v>
      </c>
      <c r="K314">
        <v>12</v>
      </c>
      <c r="L314">
        <v>3975</v>
      </c>
      <c r="M314">
        <v>1950</v>
      </c>
      <c r="N314" t="s">
        <v>128</v>
      </c>
      <c r="O314" t="s">
        <v>209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4</v>
      </c>
      <c r="V314">
        <v>12</v>
      </c>
      <c r="W314">
        <v>14</v>
      </c>
      <c r="X314">
        <v>14</v>
      </c>
      <c r="Y314">
        <v>11</v>
      </c>
      <c r="Z314">
        <v>3</v>
      </c>
      <c r="AA314">
        <v>4</v>
      </c>
      <c r="AB314">
        <v>1</v>
      </c>
      <c r="AC314">
        <v>1</v>
      </c>
      <c r="AD314">
        <v>15</v>
      </c>
      <c r="AE314">
        <v>9</v>
      </c>
      <c r="AF314">
        <v>8</v>
      </c>
      <c r="AG314">
        <v>5</v>
      </c>
      <c r="AH314">
        <v>0</v>
      </c>
      <c r="AI314">
        <v>0</v>
      </c>
    </row>
    <row r="315" spans="1:35" hidden="1" x14ac:dyDescent="0.25">
      <c r="A315">
        <v>2023</v>
      </c>
      <c r="B315" s="1">
        <v>45153</v>
      </c>
      <c r="C315">
        <v>19</v>
      </c>
      <c r="D315">
        <v>38555</v>
      </c>
      <c r="E315">
        <v>43713</v>
      </c>
      <c r="F315" t="s">
        <v>95</v>
      </c>
      <c r="G315" t="s">
        <v>50</v>
      </c>
      <c r="H315" t="s">
        <v>97</v>
      </c>
      <c r="I315" t="s">
        <v>335</v>
      </c>
      <c r="J315">
        <v>3</v>
      </c>
      <c r="K315">
        <v>12</v>
      </c>
      <c r="L315">
        <v>7930</v>
      </c>
      <c r="M315">
        <v>2405</v>
      </c>
      <c r="N315" t="s">
        <v>114</v>
      </c>
      <c r="O315" t="s">
        <v>107</v>
      </c>
      <c r="P315">
        <v>1</v>
      </c>
      <c r="Q315">
        <v>0</v>
      </c>
      <c r="R315">
        <v>0</v>
      </c>
      <c r="S315">
        <v>0</v>
      </c>
      <c r="T315">
        <v>3</v>
      </c>
      <c r="U315">
        <v>5</v>
      </c>
      <c r="V315">
        <v>13</v>
      </c>
      <c r="W315">
        <v>26</v>
      </c>
      <c r="X315">
        <v>26</v>
      </c>
      <c r="Y315">
        <v>13</v>
      </c>
      <c r="Z315">
        <v>5</v>
      </c>
      <c r="AA315">
        <v>3</v>
      </c>
      <c r="AB315">
        <v>1</v>
      </c>
      <c r="AC315">
        <v>1</v>
      </c>
      <c r="AD315">
        <v>12</v>
      </c>
      <c r="AE315">
        <v>13</v>
      </c>
      <c r="AF315">
        <v>7</v>
      </c>
      <c r="AG315">
        <v>5</v>
      </c>
      <c r="AH315">
        <v>1</v>
      </c>
      <c r="AI315">
        <v>1</v>
      </c>
    </row>
    <row r="316" spans="1:35" hidden="1" x14ac:dyDescent="0.25">
      <c r="A316">
        <v>2023</v>
      </c>
      <c r="B316" s="1">
        <v>45165</v>
      </c>
      <c r="C316">
        <v>21</v>
      </c>
      <c r="D316">
        <v>40292</v>
      </c>
      <c r="E316">
        <v>43713</v>
      </c>
      <c r="F316" t="s">
        <v>95</v>
      </c>
      <c r="G316" t="s">
        <v>82</v>
      </c>
      <c r="H316" t="s">
        <v>97</v>
      </c>
      <c r="I316" t="s">
        <v>84</v>
      </c>
      <c r="J316">
        <v>2</v>
      </c>
      <c r="K316">
        <v>18</v>
      </c>
      <c r="L316">
        <v>9200</v>
      </c>
      <c r="M316">
        <v>2595</v>
      </c>
      <c r="N316">
        <v>28</v>
      </c>
      <c r="O316" t="s">
        <v>135</v>
      </c>
      <c r="P316">
        <v>1</v>
      </c>
      <c r="Q316">
        <v>0</v>
      </c>
      <c r="R316">
        <v>0</v>
      </c>
      <c r="S316">
        <v>0</v>
      </c>
      <c r="T316">
        <v>9</v>
      </c>
      <c r="U316">
        <v>2</v>
      </c>
      <c r="V316">
        <v>20</v>
      </c>
      <c r="W316">
        <v>14</v>
      </c>
      <c r="X316">
        <v>14</v>
      </c>
      <c r="Y316">
        <v>19</v>
      </c>
      <c r="Z316">
        <v>2</v>
      </c>
      <c r="AA316">
        <v>4</v>
      </c>
      <c r="AB316">
        <v>2</v>
      </c>
      <c r="AC316">
        <v>1</v>
      </c>
      <c r="AD316">
        <v>13</v>
      </c>
      <c r="AE316">
        <v>4</v>
      </c>
      <c r="AF316">
        <v>8</v>
      </c>
      <c r="AG316">
        <v>2</v>
      </c>
      <c r="AH316">
        <v>1</v>
      </c>
      <c r="AI316">
        <v>1</v>
      </c>
    </row>
    <row r="317" spans="1:35" hidden="1" x14ac:dyDescent="0.25">
      <c r="A317">
        <v>2023</v>
      </c>
      <c r="B317" s="1">
        <v>45185</v>
      </c>
      <c r="C317">
        <v>23</v>
      </c>
      <c r="D317">
        <v>38146</v>
      </c>
      <c r="E317">
        <v>43713</v>
      </c>
      <c r="F317" t="s">
        <v>95</v>
      </c>
      <c r="G317" t="s">
        <v>313</v>
      </c>
      <c r="H317" t="s">
        <v>97</v>
      </c>
      <c r="I317" t="s">
        <v>314</v>
      </c>
      <c r="J317">
        <v>2</v>
      </c>
      <c r="K317">
        <v>16</v>
      </c>
      <c r="L317">
        <v>7050</v>
      </c>
      <c r="M317">
        <v>673</v>
      </c>
      <c r="N317" t="s">
        <v>123</v>
      </c>
      <c r="O317" t="s">
        <v>100</v>
      </c>
      <c r="P317">
        <v>1</v>
      </c>
      <c r="Q317">
        <v>0</v>
      </c>
      <c r="R317">
        <v>0</v>
      </c>
      <c r="S317">
        <v>0</v>
      </c>
      <c r="T317">
        <v>6</v>
      </c>
      <c r="U317">
        <v>3</v>
      </c>
      <c r="V317">
        <v>12</v>
      </c>
      <c r="W317">
        <v>19</v>
      </c>
      <c r="X317">
        <v>19</v>
      </c>
      <c r="Y317">
        <v>12</v>
      </c>
      <c r="Z317">
        <v>3</v>
      </c>
      <c r="AA317">
        <v>5</v>
      </c>
      <c r="AB317">
        <v>2</v>
      </c>
      <c r="AC317">
        <v>5</v>
      </c>
      <c r="AD317">
        <v>18</v>
      </c>
      <c r="AE317">
        <v>8</v>
      </c>
      <c r="AF317">
        <v>10</v>
      </c>
      <c r="AG317">
        <v>3</v>
      </c>
      <c r="AH317">
        <v>1</v>
      </c>
      <c r="AI317">
        <v>1</v>
      </c>
    </row>
    <row r="318" spans="1:35" hidden="1" x14ac:dyDescent="0.25">
      <c r="A318">
        <v>2023</v>
      </c>
      <c r="B318" s="1">
        <v>45225</v>
      </c>
      <c r="C318">
        <v>29</v>
      </c>
      <c r="D318">
        <v>32618</v>
      </c>
      <c r="E318">
        <v>43713</v>
      </c>
      <c r="F318" t="s">
        <v>95</v>
      </c>
      <c r="G318" t="s">
        <v>62</v>
      </c>
      <c r="H318" t="s">
        <v>97</v>
      </c>
      <c r="I318" t="s">
        <v>315</v>
      </c>
      <c r="J318">
        <v>3</v>
      </c>
      <c r="K318">
        <v>10</v>
      </c>
      <c r="L318">
        <v>8300</v>
      </c>
      <c r="M318">
        <v>3210</v>
      </c>
      <c r="N318" t="s">
        <v>135</v>
      </c>
      <c r="O318" t="s">
        <v>86</v>
      </c>
      <c r="P318">
        <v>5</v>
      </c>
      <c r="Q318">
        <v>0</v>
      </c>
      <c r="R318">
        <v>3</v>
      </c>
      <c r="S318">
        <v>0</v>
      </c>
      <c r="T318">
        <v>5</v>
      </c>
      <c r="U318">
        <v>0</v>
      </c>
      <c r="V318">
        <v>15</v>
      </c>
      <c r="W318">
        <v>16</v>
      </c>
      <c r="X318">
        <v>15</v>
      </c>
      <c r="Y318">
        <v>15</v>
      </c>
      <c r="Z318">
        <v>0</v>
      </c>
      <c r="AA318">
        <v>3</v>
      </c>
      <c r="AB318">
        <v>3</v>
      </c>
      <c r="AC318">
        <v>2</v>
      </c>
      <c r="AD318">
        <v>12</v>
      </c>
      <c r="AE318">
        <v>3</v>
      </c>
      <c r="AF318">
        <v>2</v>
      </c>
      <c r="AG318">
        <v>3</v>
      </c>
      <c r="AH318">
        <v>5</v>
      </c>
      <c r="AI318">
        <v>1</v>
      </c>
    </row>
    <row r="319" spans="1:35" hidden="1" x14ac:dyDescent="0.25">
      <c r="A319">
        <v>2023</v>
      </c>
      <c r="B319" s="1">
        <v>45228</v>
      </c>
      <c r="C319">
        <v>30</v>
      </c>
      <c r="D319">
        <v>33747</v>
      </c>
      <c r="E319">
        <v>43713</v>
      </c>
      <c r="F319" t="s">
        <v>95</v>
      </c>
      <c r="G319" t="s">
        <v>38</v>
      </c>
      <c r="H319" t="s">
        <v>97</v>
      </c>
      <c r="I319" t="s">
        <v>40</v>
      </c>
      <c r="J319">
        <v>2</v>
      </c>
      <c r="K319">
        <v>15</v>
      </c>
      <c r="L319">
        <v>8250</v>
      </c>
      <c r="M319">
        <v>2245</v>
      </c>
      <c r="N319" t="s">
        <v>163</v>
      </c>
      <c r="O319" t="s">
        <v>149</v>
      </c>
      <c r="P319">
        <v>1</v>
      </c>
      <c r="Q319">
        <v>0</v>
      </c>
      <c r="R319">
        <v>1</v>
      </c>
      <c r="S319">
        <v>0</v>
      </c>
      <c r="T319">
        <v>6</v>
      </c>
      <c r="U319">
        <v>1</v>
      </c>
      <c r="V319">
        <v>15</v>
      </c>
      <c r="W319">
        <v>17</v>
      </c>
      <c r="X319">
        <v>17</v>
      </c>
      <c r="Y319">
        <v>15</v>
      </c>
      <c r="Z319">
        <v>1</v>
      </c>
      <c r="AA319">
        <v>8</v>
      </c>
      <c r="AB319">
        <v>5</v>
      </c>
      <c r="AC319">
        <v>0</v>
      </c>
      <c r="AD319">
        <v>26</v>
      </c>
      <c r="AE319">
        <v>5</v>
      </c>
      <c r="AF319">
        <v>14</v>
      </c>
      <c r="AG319">
        <v>3</v>
      </c>
      <c r="AH319">
        <v>1</v>
      </c>
      <c r="AI319">
        <v>1</v>
      </c>
    </row>
    <row r="320" spans="1:35" hidden="1" x14ac:dyDescent="0.25">
      <c r="A320">
        <v>2023</v>
      </c>
      <c r="B320" s="1">
        <v>45260</v>
      </c>
      <c r="C320">
        <v>36</v>
      </c>
      <c r="D320">
        <v>29717</v>
      </c>
      <c r="E320">
        <v>43713</v>
      </c>
      <c r="F320" t="s">
        <v>95</v>
      </c>
      <c r="G320" t="s">
        <v>310</v>
      </c>
      <c r="H320" t="s">
        <v>97</v>
      </c>
      <c r="I320" t="s">
        <v>345</v>
      </c>
      <c r="J320">
        <v>1</v>
      </c>
      <c r="K320">
        <v>20</v>
      </c>
      <c r="L320">
        <v>8600</v>
      </c>
      <c r="M320">
        <v>715</v>
      </c>
      <c r="N320" t="s">
        <v>209</v>
      </c>
      <c r="O320" t="s">
        <v>235</v>
      </c>
      <c r="P320">
        <v>4</v>
      </c>
      <c r="Q320">
        <v>0</v>
      </c>
      <c r="R320">
        <v>2</v>
      </c>
      <c r="S320">
        <v>0</v>
      </c>
      <c r="T320">
        <v>10</v>
      </c>
      <c r="U320">
        <v>2</v>
      </c>
      <c r="V320">
        <v>10</v>
      </c>
      <c r="W320">
        <v>15</v>
      </c>
      <c r="X320">
        <v>15</v>
      </c>
      <c r="Y320">
        <v>10</v>
      </c>
      <c r="Z320">
        <v>1</v>
      </c>
      <c r="AA320">
        <v>9</v>
      </c>
      <c r="AB320">
        <v>2</v>
      </c>
      <c r="AC320">
        <v>2</v>
      </c>
      <c r="AD320">
        <v>25</v>
      </c>
      <c r="AE320">
        <v>5</v>
      </c>
      <c r="AF320">
        <v>12</v>
      </c>
      <c r="AG320">
        <v>2</v>
      </c>
      <c r="AH320">
        <v>4</v>
      </c>
      <c r="AI320">
        <v>1</v>
      </c>
    </row>
    <row r="321" spans="1:35" hidden="1" x14ac:dyDescent="0.25">
      <c r="A321">
        <v>2023</v>
      </c>
      <c r="B321" s="1">
        <v>45235</v>
      </c>
      <c r="C321">
        <v>32</v>
      </c>
      <c r="D321">
        <v>17301</v>
      </c>
      <c r="E321">
        <v>32713</v>
      </c>
      <c r="F321" t="s">
        <v>95</v>
      </c>
      <c r="G321" t="s">
        <v>69</v>
      </c>
      <c r="H321" t="s">
        <v>97</v>
      </c>
      <c r="I321" t="s">
        <v>325</v>
      </c>
      <c r="J321">
        <v>2</v>
      </c>
      <c r="K321">
        <v>7</v>
      </c>
      <c r="L321">
        <v>6850</v>
      </c>
      <c r="M321">
        <v>2930</v>
      </c>
      <c r="N321" t="s">
        <v>135</v>
      </c>
      <c r="O321" t="s">
        <v>209</v>
      </c>
      <c r="P321">
        <v>1</v>
      </c>
      <c r="Q321">
        <v>0</v>
      </c>
      <c r="R321">
        <v>1</v>
      </c>
      <c r="S321">
        <v>0</v>
      </c>
      <c r="T321">
        <v>2</v>
      </c>
      <c r="U321">
        <v>2</v>
      </c>
      <c r="V321">
        <v>17</v>
      </c>
      <c r="W321">
        <v>17</v>
      </c>
      <c r="X321">
        <v>17</v>
      </c>
      <c r="Y321">
        <v>15</v>
      </c>
      <c r="Z321">
        <v>2</v>
      </c>
      <c r="AA321">
        <v>5</v>
      </c>
      <c r="AB321">
        <v>2</v>
      </c>
      <c r="AC321">
        <v>1</v>
      </c>
      <c r="AD321">
        <v>18</v>
      </c>
      <c r="AE321">
        <v>14</v>
      </c>
      <c r="AF321">
        <v>7</v>
      </c>
      <c r="AG321">
        <v>8</v>
      </c>
      <c r="AH321">
        <v>1</v>
      </c>
      <c r="AI321">
        <v>1</v>
      </c>
    </row>
    <row r="322" spans="1:35" hidden="1" x14ac:dyDescent="0.25">
      <c r="A322">
        <v>2023</v>
      </c>
      <c r="B322" s="1">
        <v>45109</v>
      </c>
      <c r="C322">
        <v>13</v>
      </c>
      <c r="D322">
        <v>13477</v>
      </c>
      <c r="E322">
        <v>42968</v>
      </c>
      <c r="F322" t="s">
        <v>70</v>
      </c>
      <c r="G322" t="s">
        <v>326</v>
      </c>
      <c r="H322" t="s">
        <v>90</v>
      </c>
      <c r="I322" t="s">
        <v>308</v>
      </c>
      <c r="J322">
        <v>13</v>
      </c>
      <c r="K322">
        <v>14</v>
      </c>
      <c r="L322">
        <v>608</v>
      </c>
      <c r="M322">
        <v>3065</v>
      </c>
      <c r="N322" t="s">
        <v>123</v>
      </c>
      <c r="O322" t="s">
        <v>209</v>
      </c>
      <c r="P322">
        <v>3</v>
      </c>
      <c r="Q322">
        <v>0</v>
      </c>
      <c r="R322">
        <v>0</v>
      </c>
      <c r="S322">
        <v>0</v>
      </c>
      <c r="T322">
        <v>9</v>
      </c>
      <c r="U322">
        <v>5</v>
      </c>
      <c r="V322">
        <v>7</v>
      </c>
      <c r="W322">
        <v>16</v>
      </c>
      <c r="X322">
        <v>16</v>
      </c>
      <c r="Y322">
        <v>6</v>
      </c>
      <c r="Z322">
        <v>2</v>
      </c>
      <c r="AA322">
        <v>3</v>
      </c>
      <c r="AB322">
        <v>1</v>
      </c>
      <c r="AC322">
        <v>1</v>
      </c>
      <c r="AD322">
        <v>15</v>
      </c>
      <c r="AE322">
        <v>5</v>
      </c>
      <c r="AF322">
        <v>4</v>
      </c>
      <c r="AG322">
        <v>1</v>
      </c>
      <c r="AH322">
        <v>3</v>
      </c>
      <c r="AI322">
        <v>1</v>
      </c>
    </row>
    <row r="323" spans="1:35" hidden="1" x14ac:dyDescent="0.25">
      <c r="A323">
        <v>2023</v>
      </c>
      <c r="B323" s="1">
        <v>45145</v>
      </c>
      <c r="C323">
        <v>18</v>
      </c>
      <c r="D323">
        <v>33091</v>
      </c>
      <c r="E323">
        <v>42968</v>
      </c>
      <c r="F323" t="s">
        <v>70</v>
      </c>
      <c r="G323" t="s">
        <v>77</v>
      </c>
      <c r="H323" t="s">
        <v>90</v>
      </c>
      <c r="I323" t="s">
        <v>329</v>
      </c>
      <c r="J323">
        <v>8</v>
      </c>
      <c r="K323">
        <v>2</v>
      </c>
      <c r="L323">
        <v>920</v>
      </c>
      <c r="M323">
        <v>7750</v>
      </c>
      <c r="N323" t="s">
        <v>74</v>
      </c>
      <c r="O323" t="s">
        <v>209</v>
      </c>
      <c r="P323">
        <v>3</v>
      </c>
      <c r="Q323">
        <v>0</v>
      </c>
      <c r="R323">
        <v>0</v>
      </c>
      <c r="S323">
        <v>0</v>
      </c>
      <c r="T323">
        <v>10</v>
      </c>
      <c r="U323">
        <v>6</v>
      </c>
      <c r="V323">
        <v>9</v>
      </c>
      <c r="W323">
        <v>9</v>
      </c>
      <c r="X323">
        <v>9</v>
      </c>
      <c r="Y323">
        <v>8</v>
      </c>
      <c r="Z323">
        <v>4</v>
      </c>
      <c r="AA323">
        <v>3</v>
      </c>
      <c r="AB323">
        <v>1</v>
      </c>
      <c r="AC323">
        <v>0</v>
      </c>
      <c r="AD323">
        <v>17</v>
      </c>
      <c r="AE323">
        <v>10</v>
      </c>
      <c r="AF323">
        <v>7</v>
      </c>
      <c r="AG323">
        <v>2</v>
      </c>
      <c r="AH323">
        <v>3</v>
      </c>
      <c r="AI323">
        <v>1</v>
      </c>
    </row>
    <row r="324" spans="1:35" hidden="1" x14ac:dyDescent="0.25">
      <c r="A324">
        <v>2023</v>
      </c>
      <c r="B324" s="1">
        <v>45199</v>
      </c>
      <c r="C324">
        <v>25</v>
      </c>
      <c r="D324">
        <v>8358</v>
      </c>
      <c r="E324">
        <v>42968</v>
      </c>
      <c r="F324" t="s">
        <v>70</v>
      </c>
      <c r="G324" t="s">
        <v>55</v>
      </c>
      <c r="H324" t="s">
        <v>90</v>
      </c>
      <c r="I324" t="s">
        <v>57</v>
      </c>
      <c r="J324">
        <v>11</v>
      </c>
      <c r="K324">
        <v>6</v>
      </c>
      <c r="L324">
        <v>780</v>
      </c>
      <c r="M324">
        <v>2395</v>
      </c>
      <c r="N324" t="s">
        <v>235</v>
      </c>
      <c r="O324" t="s">
        <v>86</v>
      </c>
      <c r="P324">
        <v>3</v>
      </c>
      <c r="Q324">
        <v>0</v>
      </c>
      <c r="R324">
        <v>0</v>
      </c>
      <c r="S324">
        <v>0</v>
      </c>
      <c r="T324">
        <v>7</v>
      </c>
      <c r="U324">
        <v>0</v>
      </c>
      <c r="V324">
        <v>18</v>
      </c>
      <c r="W324">
        <v>12</v>
      </c>
      <c r="X324">
        <v>11</v>
      </c>
      <c r="Y324">
        <v>16</v>
      </c>
      <c r="Z324">
        <v>2</v>
      </c>
      <c r="AA324">
        <v>3</v>
      </c>
      <c r="AB324">
        <v>2</v>
      </c>
      <c r="AC324">
        <v>3</v>
      </c>
      <c r="AD324">
        <v>17</v>
      </c>
      <c r="AE324">
        <v>7</v>
      </c>
      <c r="AF324">
        <v>7</v>
      </c>
      <c r="AG324">
        <v>2</v>
      </c>
      <c r="AH324">
        <v>3</v>
      </c>
      <c r="AI324">
        <v>1</v>
      </c>
    </row>
    <row r="325" spans="1:35" hidden="1" x14ac:dyDescent="0.25">
      <c r="A325">
        <v>2023</v>
      </c>
      <c r="B325" s="1">
        <v>45214</v>
      </c>
      <c r="C325">
        <v>26</v>
      </c>
      <c r="D325">
        <v>12100</v>
      </c>
      <c r="E325">
        <v>42968</v>
      </c>
      <c r="F325" t="s">
        <v>70</v>
      </c>
      <c r="G325" t="s">
        <v>50</v>
      </c>
      <c r="H325" t="s">
        <v>90</v>
      </c>
      <c r="I325" t="s">
        <v>323</v>
      </c>
      <c r="J325">
        <v>11</v>
      </c>
      <c r="K325">
        <v>13</v>
      </c>
      <c r="L325">
        <v>658</v>
      </c>
      <c r="M325">
        <v>2235</v>
      </c>
      <c r="N325" t="s">
        <v>74</v>
      </c>
      <c r="O325" t="s">
        <v>74</v>
      </c>
      <c r="P325">
        <v>0</v>
      </c>
      <c r="Q325">
        <v>0</v>
      </c>
      <c r="R325">
        <v>0</v>
      </c>
      <c r="S325">
        <v>0</v>
      </c>
      <c r="T325">
        <v>5</v>
      </c>
      <c r="U325">
        <v>5</v>
      </c>
      <c r="V325">
        <v>9</v>
      </c>
      <c r="W325">
        <v>20</v>
      </c>
      <c r="X325">
        <v>20</v>
      </c>
      <c r="Y325">
        <v>9</v>
      </c>
      <c r="Z325">
        <v>2</v>
      </c>
      <c r="AA325">
        <v>2</v>
      </c>
      <c r="AB325">
        <v>3</v>
      </c>
      <c r="AC325">
        <v>1</v>
      </c>
      <c r="AD325">
        <v>10</v>
      </c>
      <c r="AE325">
        <v>8</v>
      </c>
      <c r="AF325">
        <v>7</v>
      </c>
      <c r="AG325">
        <v>1</v>
      </c>
      <c r="AH325">
        <v>0</v>
      </c>
      <c r="AI325">
        <v>0</v>
      </c>
    </row>
    <row r="326" spans="1:35" hidden="1" x14ac:dyDescent="0.25">
      <c r="A326">
        <v>2023</v>
      </c>
      <c r="B326" s="1">
        <v>45267</v>
      </c>
      <c r="C326">
        <v>38</v>
      </c>
      <c r="D326">
        <v>9689</v>
      </c>
      <c r="E326">
        <v>42968</v>
      </c>
      <c r="F326" t="s">
        <v>70</v>
      </c>
      <c r="G326" t="s">
        <v>69</v>
      </c>
      <c r="H326" t="s">
        <v>90</v>
      </c>
      <c r="I326" t="s">
        <v>325</v>
      </c>
      <c r="J326">
        <v>12</v>
      </c>
      <c r="K326">
        <v>8</v>
      </c>
      <c r="L326">
        <v>923</v>
      </c>
      <c r="M326">
        <v>2965</v>
      </c>
      <c r="N326" t="s">
        <v>174</v>
      </c>
      <c r="O326" t="s">
        <v>149</v>
      </c>
      <c r="P326">
        <v>3</v>
      </c>
      <c r="Q326">
        <v>0</v>
      </c>
      <c r="R326">
        <v>2</v>
      </c>
      <c r="S326">
        <v>0</v>
      </c>
      <c r="T326">
        <v>5</v>
      </c>
      <c r="U326">
        <v>9</v>
      </c>
      <c r="V326">
        <v>9</v>
      </c>
      <c r="W326">
        <v>15</v>
      </c>
      <c r="X326">
        <v>15</v>
      </c>
      <c r="Y326">
        <v>8</v>
      </c>
      <c r="Z326">
        <v>3</v>
      </c>
      <c r="AA326">
        <v>3</v>
      </c>
      <c r="AB326">
        <v>3</v>
      </c>
      <c r="AC326">
        <v>2</v>
      </c>
      <c r="AD326">
        <v>14</v>
      </c>
      <c r="AE326">
        <v>17</v>
      </c>
      <c r="AF326">
        <v>5</v>
      </c>
      <c r="AG326">
        <v>6</v>
      </c>
      <c r="AH326">
        <v>3</v>
      </c>
      <c r="AI326">
        <v>1</v>
      </c>
    </row>
    <row r="327" spans="1:35" hidden="1" x14ac:dyDescent="0.25">
      <c r="A327">
        <v>2023</v>
      </c>
      <c r="B327" s="1">
        <v>45102</v>
      </c>
      <c r="C327">
        <v>12</v>
      </c>
      <c r="D327">
        <v>17478</v>
      </c>
      <c r="E327">
        <v>61927</v>
      </c>
      <c r="F327" t="s">
        <v>50</v>
      </c>
      <c r="G327" t="s">
        <v>62</v>
      </c>
      <c r="H327" t="s">
        <v>335</v>
      </c>
      <c r="I327" t="s">
        <v>315</v>
      </c>
      <c r="J327">
        <v>12</v>
      </c>
      <c r="K327">
        <v>11</v>
      </c>
      <c r="L327">
        <v>2020</v>
      </c>
      <c r="M327">
        <v>2950</v>
      </c>
      <c r="N327" t="s">
        <v>98</v>
      </c>
      <c r="O327" t="s">
        <v>128</v>
      </c>
      <c r="P327">
        <v>1</v>
      </c>
      <c r="Q327">
        <v>0</v>
      </c>
      <c r="R327">
        <v>1</v>
      </c>
      <c r="S327">
        <v>0</v>
      </c>
      <c r="T327">
        <v>6</v>
      </c>
      <c r="U327">
        <v>5</v>
      </c>
      <c r="V327">
        <v>14</v>
      </c>
      <c r="W327">
        <v>15</v>
      </c>
      <c r="X327">
        <v>13</v>
      </c>
      <c r="Y327">
        <v>13</v>
      </c>
      <c r="Z327">
        <v>9</v>
      </c>
      <c r="AA327">
        <v>0</v>
      </c>
      <c r="AB327">
        <v>1</v>
      </c>
      <c r="AC327">
        <v>8</v>
      </c>
      <c r="AD327">
        <v>6</v>
      </c>
      <c r="AE327">
        <v>14</v>
      </c>
      <c r="AF327">
        <v>5</v>
      </c>
      <c r="AG327">
        <v>3</v>
      </c>
      <c r="AH327">
        <v>1</v>
      </c>
      <c r="AI327">
        <v>1</v>
      </c>
    </row>
    <row r="328" spans="1:35" hidden="1" x14ac:dyDescent="0.25">
      <c r="A328">
        <v>2023</v>
      </c>
      <c r="B328" s="1">
        <v>45123</v>
      </c>
      <c r="C328">
        <v>15</v>
      </c>
      <c r="D328">
        <v>22123</v>
      </c>
      <c r="E328">
        <v>61927</v>
      </c>
      <c r="F328" t="s">
        <v>50</v>
      </c>
      <c r="G328" t="s">
        <v>321</v>
      </c>
      <c r="H328" t="s">
        <v>335</v>
      </c>
      <c r="I328" t="s">
        <v>322</v>
      </c>
      <c r="J328">
        <v>10</v>
      </c>
      <c r="K328">
        <v>19</v>
      </c>
      <c r="L328">
        <v>1640</v>
      </c>
      <c r="M328">
        <v>1800</v>
      </c>
      <c r="N328" t="s">
        <v>41</v>
      </c>
      <c r="O328" t="s">
        <v>252</v>
      </c>
      <c r="P328">
        <v>0</v>
      </c>
      <c r="Q328">
        <v>0</v>
      </c>
      <c r="R328">
        <v>0</v>
      </c>
      <c r="S328">
        <v>0</v>
      </c>
      <c r="T328">
        <v>11</v>
      </c>
      <c r="U328">
        <v>8</v>
      </c>
      <c r="V328">
        <v>14</v>
      </c>
      <c r="W328">
        <v>11</v>
      </c>
      <c r="X328">
        <v>10</v>
      </c>
      <c r="Y328">
        <v>14</v>
      </c>
      <c r="Z328">
        <v>6</v>
      </c>
      <c r="AA328">
        <v>2</v>
      </c>
      <c r="AB328">
        <v>1</v>
      </c>
      <c r="AC328">
        <v>5</v>
      </c>
      <c r="AD328">
        <v>13</v>
      </c>
      <c r="AE328">
        <v>14</v>
      </c>
      <c r="AF328">
        <v>8</v>
      </c>
      <c r="AG328">
        <v>6</v>
      </c>
      <c r="AH328">
        <v>0</v>
      </c>
      <c r="AI328">
        <v>0</v>
      </c>
    </row>
    <row r="329" spans="1:35" hidden="1" x14ac:dyDescent="0.25">
      <c r="A329">
        <v>2023</v>
      </c>
      <c r="B329" s="1">
        <v>45144</v>
      </c>
      <c r="C329">
        <v>18</v>
      </c>
      <c r="D329">
        <v>44759</v>
      </c>
      <c r="E329">
        <v>61927</v>
      </c>
      <c r="F329" t="s">
        <v>50</v>
      </c>
      <c r="G329" t="s">
        <v>51</v>
      </c>
      <c r="H329" t="s">
        <v>335</v>
      </c>
      <c r="I329" t="s">
        <v>324</v>
      </c>
      <c r="J329">
        <v>11</v>
      </c>
      <c r="K329">
        <v>1</v>
      </c>
      <c r="L329">
        <v>2090</v>
      </c>
      <c r="M329">
        <v>2580</v>
      </c>
      <c r="N329" t="s">
        <v>123</v>
      </c>
      <c r="O329" t="s">
        <v>208</v>
      </c>
      <c r="P329">
        <v>0</v>
      </c>
      <c r="Q329">
        <v>0</v>
      </c>
      <c r="R329">
        <v>0</v>
      </c>
      <c r="S329">
        <v>0</v>
      </c>
      <c r="T329">
        <v>8</v>
      </c>
      <c r="U329">
        <v>1</v>
      </c>
      <c r="V329">
        <v>17</v>
      </c>
      <c r="W329">
        <v>7</v>
      </c>
      <c r="X329">
        <v>5</v>
      </c>
      <c r="Y329">
        <v>14</v>
      </c>
      <c r="Z329">
        <v>1</v>
      </c>
      <c r="AA329">
        <v>4</v>
      </c>
      <c r="AB329">
        <v>1</v>
      </c>
      <c r="AC329">
        <v>1</v>
      </c>
      <c r="AD329">
        <v>13</v>
      </c>
      <c r="AE329">
        <v>2</v>
      </c>
      <c r="AF329">
        <v>6</v>
      </c>
      <c r="AG329">
        <v>0</v>
      </c>
      <c r="AH329">
        <v>0</v>
      </c>
      <c r="AI329">
        <v>0</v>
      </c>
    </row>
    <row r="330" spans="1:35" hidden="1" x14ac:dyDescent="0.25">
      <c r="A330">
        <v>2023</v>
      </c>
      <c r="B330" s="1">
        <v>45172</v>
      </c>
      <c r="C330">
        <v>22</v>
      </c>
      <c r="D330">
        <v>29417</v>
      </c>
      <c r="E330">
        <v>61927</v>
      </c>
      <c r="F330" t="s">
        <v>50</v>
      </c>
      <c r="G330" t="s">
        <v>56</v>
      </c>
      <c r="H330" t="s">
        <v>52</v>
      </c>
      <c r="I330" t="s">
        <v>58</v>
      </c>
      <c r="J330">
        <v>13</v>
      </c>
      <c r="K330">
        <v>6</v>
      </c>
      <c r="L330">
        <v>2105</v>
      </c>
      <c r="M330">
        <v>4080</v>
      </c>
      <c r="N330" t="s">
        <v>129</v>
      </c>
      <c r="O330" t="s">
        <v>270</v>
      </c>
      <c r="P330">
        <v>0</v>
      </c>
      <c r="Q330">
        <v>0</v>
      </c>
      <c r="R330">
        <v>0</v>
      </c>
      <c r="S330">
        <v>0</v>
      </c>
      <c r="T330">
        <v>8</v>
      </c>
      <c r="U330">
        <v>5</v>
      </c>
      <c r="V330">
        <v>16</v>
      </c>
      <c r="W330">
        <v>15</v>
      </c>
      <c r="X330">
        <v>14</v>
      </c>
      <c r="Y330">
        <v>15</v>
      </c>
      <c r="Z330">
        <v>5</v>
      </c>
      <c r="AA330">
        <v>3</v>
      </c>
      <c r="AB330">
        <v>4</v>
      </c>
      <c r="AC330">
        <v>3</v>
      </c>
      <c r="AD330">
        <v>15</v>
      </c>
      <c r="AE330">
        <v>13</v>
      </c>
      <c r="AF330">
        <v>8</v>
      </c>
      <c r="AG330">
        <v>6</v>
      </c>
      <c r="AH330">
        <v>0</v>
      </c>
      <c r="AI330">
        <v>0</v>
      </c>
    </row>
    <row r="331" spans="1:35" hidden="1" x14ac:dyDescent="0.25">
      <c r="A331">
        <v>2023</v>
      </c>
      <c r="B331" s="1">
        <v>45225</v>
      </c>
      <c r="C331">
        <v>29</v>
      </c>
      <c r="D331">
        <v>36104</v>
      </c>
      <c r="E331">
        <v>61927</v>
      </c>
      <c r="F331" t="s">
        <v>50</v>
      </c>
      <c r="G331" t="s">
        <v>38</v>
      </c>
      <c r="H331" t="s">
        <v>323</v>
      </c>
      <c r="I331" t="s">
        <v>40</v>
      </c>
      <c r="J331">
        <v>13</v>
      </c>
      <c r="K331">
        <v>15</v>
      </c>
      <c r="L331">
        <v>2305</v>
      </c>
      <c r="M331">
        <v>2335</v>
      </c>
      <c r="N331" t="s">
        <v>105</v>
      </c>
      <c r="O331" t="s">
        <v>135</v>
      </c>
      <c r="P331">
        <v>3</v>
      </c>
      <c r="Q331">
        <v>0</v>
      </c>
      <c r="R331">
        <v>1</v>
      </c>
      <c r="S331">
        <v>0</v>
      </c>
      <c r="T331">
        <v>1</v>
      </c>
      <c r="U331">
        <v>2</v>
      </c>
      <c r="V331">
        <v>11</v>
      </c>
      <c r="W331">
        <v>10</v>
      </c>
      <c r="X331">
        <v>8</v>
      </c>
      <c r="Y331">
        <v>11</v>
      </c>
      <c r="Z331">
        <v>0</v>
      </c>
      <c r="AA331">
        <v>3</v>
      </c>
      <c r="AB331">
        <v>1</v>
      </c>
      <c r="AC331">
        <v>1</v>
      </c>
      <c r="AD331">
        <v>14</v>
      </c>
      <c r="AE331">
        <v>6</v>
      </c>
      <c r="AF331">
        <v>6</v>
      </c>
      <c r="AG331">
        <v>3</v>
      </c>
      <c r="AH331">
        <v>3</v>
      </c>
      <c r="AI331">
        <v>1</v>
      </c>
    </row>
    <row r="332" spans="1:35" hidden="1" x14ac:dyDescent="0.25">
      <c r="A332">
        <v>2023</v>
      </c>
      <c r="B332" s="1">
        <v>45032</v>
      </c>
      <c r="C332">
        <v>1</v>
      </c>
      <c r="D332">
        <v>13997</v>
      </c>
      <c r="E332">
        <v>23540</v>
      </c>
      <c r="F332" t="s">
        <v>83</v>
      </c>
      <c r="G332" t="s">
        <v>326</v>
      </c>
      <c r="H332" t="s">
        <v>319</v>
      </c>
      <c r="I332" t="s">
        <v>328</v>
      </c>
      <c r="J332">
        <v>9</v>
      </c>
      <c r="K332">
        <v>17</v>
      </c>
      <c r="L332">
        <v>2470</v>
      </c>
      <c r="M332">
        <v>3880</v>
      </c>
      <c r="N332">
        <v>28</v>
      </c>
      <c r="O332" t="s">
        <v>99</v>
      </c>
      <c r="P332">
        <v>1</v>
      </c>
      <c r="Q332">
        <v>0</v>
      </c>
      <c r="R332">
        <v>1</v>
      </c>
      <c r="S332">
        <v>0</v>
      </c>
      <c r="T332">
        <v>4</v>
      </c>
      <c r="U332">
        <v>11</v>
      </c>
      <c r="V332">
        <v>12</v>
      </c>
      <c r="W332">
        <v>16</v>
      </c>
      <c r="X332">
        <v>15</v>
      </c>
      <c r="Y332">
        <v>12</v>
      </c>
      <c r="Z332">
        <v>4</v>
      </c>
      <c r="AA332">
        <v>5</v>
      </c>
      <c r="AB332">
        <v>1</v>
      </c>
      <c r="AC332">
        <v>1</v>
      </c>
      <c r="AD332">
        <v>17</v>
      </c>
      <c r="AE332">
        <v>16</v>
      </c>
      <c r="AF332">
        <v>6</v>
      </c>
      <c r="AG332">
        <v>8</v>
      </c>
      <c r="AH332">
        <v>1</v>
      </c>
      <c r="AI332">
        <v>1</v>
      </c>
    </row>
    <row r="333" spans="1:35" hidden="1" x14ac:dyDescent="0.25">
      <c r="A333">
        <v>2023</v>
      </c>
      <c r="B333" s="1">
        <v>45242</v>
      </c>
      <c r="C333">
        <v>34</v>
      </c>
      <c r="D333">
        <v>19358</v>
      </c>
      <c r="E333">
        <v>32500</v>
      </c>
      <c r="F333" t="s">
        <v>95</v>
      </c>
      <c r="G333" t="s">
        <v>37</v>
      </c>
      <c r="H333" t="s">
        <v>97</v>
      </c>
      <c r="I333" t="s">
        <v>39</v>
      </c>
      <c r="J333">
        <v>1</v>
      </c>
      <c r="K333">
        <v>13</v>
      </c>
      <c r="L333">
        <v>7550</v>
      </c>
      <c r="M333">
        <v>4950</v>
      </c>
      <c r="N333" t="s">
        <v>66</v>
      </c>
      <c r="O333" t="s">
        <v>107</v>
      </c>
      <c r="P333">
        <v>3</v>
      </c>
      <c r="Q333">
        <v>0</v>
      </c>
      <c r="R333">
        <v>1</v>
      </c>
      <c r="S333">
        <v>0</v>
      </c>
      <c r="T333">
        <v>6</v>
      </c>
      <c r="U333">
        <v>3</v>
      </c>
      <c r="V333">
        <v>13</v>
      </c>
      <c r="W333">
        <v>13</v>
      </c>
      <c r="X333">
        <v>13</v>
      </c>
      <c r="Y333">
        <v>12</v>
      </c>
      <c r="Z333">
        <v>5</v>
      </c>
      <c r="AA333">
        <v>7</v>
      </c>
      <c r="AB333">
        <v>3</v>
      </c>
      <c r="AC333">
        <v>1</v>
      </c>
      <c r="AD333">
        <v>18</v>
      </c>
      <c r="AE333">
        <v>7</v>
      </c>
      <c r="AF333">
        <v>5</v>
      </c>
      <c r="AG333">
        <v>2</v>
      </c>
      <c r="AH333">
        <v>3</v>
      </c>
      <c r="AI333">
        <v>1</v>
      </c>
    </row>
    <row r="334" spans="1:35" hidden="1" x14ac:dyDescent="0.25">
      <c r="A334">
        <v>2023</v>
      </c>
      <c r="B334" s="1">
        <v>45032</v>
      </c>
      <c r="C334">
        <v>1</v>
      </c>
      <c r="D334">
        <v>42848</v>
      </c>
      <c r="E334">
        <v>78838</v>
      </c>
      <c r="F334" t="s">
        <v>77</v>
      </c>
      <c r="G334" t="s">
        <v>321</v>
      </c>
      <c r="H334" t="s">
        <v>346</v>
      </c>
      <c r="I334" t="s">
        <v>90</v>
      </c>
      <c r="J334">
        <v>2</v>
      </c>
      <c r="K334">
        <v>19</v>
      </c>
      <c r="L334">
        <v>7965</v>
      </c>
      <c r="M334">
        <v>1800</v>
      </c>
      <c r="N334" t="s">
        <v>122</v>
      </c>
      <c r="O334" t="s">
        <v>66</v>
      </c>
      <c r="P334">
        <v>3</v>
      </c>
      <c r="Q334">
        <v>0</v>
      </c>
      <c r="R334">
        <v>1</v>
      </c>
      <c r="S334">
        <v>0</v>
      </c>
      <c r="T334">
        <v>6</v>
      </c>
      <c r="U334">
        <v>3</v>
      </c>
      <c r="V334">
        <v>20</v>
      </c>
      <c r="W334">
        <v>17</v>
      </c>
      <c r="X334">
        <v>17</v>
      </c>
      <c r="Y334">
        <v>19</v>
      </c>
      <c r="Z334">
        <v>3</v>
      </c>
      <c r="AA334">
        <v>4</v>
      </c>
      <c r="AB334">
        <v>1</v>
      </c>
      <c r="AC334">
        <v>2</v>
      </c>
      <c r="AD334">
        <v>15</v>
      </c>
      <c r="AE334">
        <v>10</v>
      </c>
      <c r="AF334">
        <v>5</v>
      </c>
      <c r="AG334">
        <v>2</v>
      </c>
      <c r="AH334">
        <v>3</v>
      </c>
      <c r="AI334">
        <v>1</v>
      </c>
    </row>
    <row r="335" spans="1:35" hidden="1" x14ac:dyDescent="0.25">
      <c r="A335">
        <v>2023</v>
      </c>
      <c r="B335" s="1">
        <v>45057</v>
      </c>
      <c r="C335">
        <v>5</v>
      </c>
      <c r="D335">
        <v>44948</v>
      </c>
      <c r="E335">
        <v>78838</v>
      </c>
      <c r="F335" t="s">
        <v>77</v>
      </c>
      <c r="G335" t="s">
        <v>313</v>
      </c>
      <c r="H335" t="s">
        <v>329</v>
      </c>
      <c r="I335" t="s">
        <v>337</v>
      </c>
      <c r="J335">
        <v>12</v>
      </c>
      <c r="K335">
        <v>18</v>
      </c>
      <c r="L335">
        <v>7860</v>
      </c>
      <c r="M335">
        <v>710</v>
      </c>
      <c r="N335" t="s">
        <v>99</v>
      </c>
      <c r="O335" t="s">
        <v>66</v>
      </c>
      <c r="P335">
        <v>2</v>
      </c>
      <c r="Q335">
        <v>0</v>
      </c>
      <c r="R335">
        <v>1</v>
      </c>
      <c r="S335">
        <v>0</v>
      </c>
      <c r="T335">
        <v>8</v>
      </c>
      <c r="U335">
        <v>7</v>
      </c>
      <c r="V335">
        <v>21</v>
      </c>
      <c r="W335">
        <v>9</v>
      </c>
      <c r="X335">
        <v>7</v>
      </c>
      <c r="Y335">
        <v>21</v>
      </c>
      <c r="Z335">
        <v>6</v>
      </c>
      <c r="AA335">
        <v>3</v>
      </c>
      <c r="AB335">
        <v>1</v>
      </c>
      <c r="AC335">
        <v>1</v>
      </c>
      <c r="AD335">
        <v>23</v>
      </c>
      <c r="AE335">
        <v>14</v>
      </c>
      <c r="AF335">
        <v>11</v>
      </c>
      <c r="AG335">
        <v>4</v>
      </c>
      <c r="AH335">
        <v>2</v>
      </c>
      <c r="AI335">
        <v>1</v>
      </c>
    </row>
    <row r="336" spans="1:35" hidden="1" x14ac:dyDescent="0.25">
      <c r="A336">
        <v>2023</v>
      </c>
      <c r="B336" s="1">
        <v>45067</v>
      </c>
      <c r="C336">
        <v>7</v>
      </c>
      <c r="D336">
        <v>64871</v>
      </c>
      <c r="E336">
        <v>78838</v>
      </c>
      <c r="F336" t="s">
        <v>77</v>
      </c>
      <c r="G336" t="s">
        <v>88</v>
      </c>
      <c r="H336" t="s">
        <v>329</v>
      </c>
      <c r="I336" t="s">
        <v>317</v>
      </c>
      <c r="J336">
        <v>6</v>
      </c>
      <c r="K336">
        <v>18</v>
      </c>
      <c r="L336">
        <v>9015</v>
      </c>
      <c r="M336">
        <v>5670</v>
      </c>
      <c r="N336" t="s">
        <v>99</v>
      </c>
      <c r="O336" t="s">
        <v>116</v>
      </c>
      <c r="P336">
        <v>1</v>
      </c>
      <c r="Q336">
        <v>0</v>
      </c>
      <c r="R336">
        <v>0</v>
      </c>
      <c r="S336">
        <v>0</v>
      </c>
      <c r="T336">
        <v>6</v>
      </c>
      <c r="U336">
        <v>9</v>
      </c>
      <c r="V336">
        <v>9</v>
      </c>
      <c r="W336">
        <v>12</v>
      </c>
      <c r="X336">
        <v>11</v>
      </c>
      <c r="Y336">
        <v>9</v>
      </c>
      <c r="Z336">
        <v>3</v>
      </c>
      <c r="AA336">
        <v>2</v>
      </c>
      <c r="AB336">
        <v>0</v>
      </c>
      <c r="AC336">
        <v>2</v>
      </c>
      <c r="AD336">
        <v>10</v>
      </c>
      <c r="AE336">
        <v>15</v>
      </c>
      <c r="AF336">
        <v>3</v>
      </c>
      <c r="AG336">
        <v>8</v>
      </c>
      <c r="AH336">
        <v>1</v>
      </c>
      <c r="AI336">
        <v>1</v>
      </c>
    </row>
    <row r="337" spans="1:35" hidden="1" x14ac:dyDescent="0.25">
      <c r="A337">
        <v>2023</v>
      </c>
      <c r="B337" s="1">
        <v>45088</v>
      </c>
      <c r="C337">
        <v>10</v>
      </c>
      <c r="D337">
        <v>62967</v>
      </c>
      <c r="E337">
        <v>78838</v>
      </c>
      <c r="F337" t="s">
        <v>77</v>
      </c>
      <c r="G337" t="s">
        <v>83</v>
      </c>
      <c r="H337" t="s">
        <v>329</v>
      </c>
      <c r="I337" t="s">
        <v>319</v>
      </c>
      <c r="J337">
        <v>3</v>
      </c>
      <c r="K337">
        <v>6</v>
      </c>
      <c r="L337">
        <v>8420</v>
      </c>
      <c r="M337">
        <v>2730</v>
      </c>
      <c r="N337" t="s">
        <v>98</v>
      </c>
      <c r="O337" t="s">
        <v>135</v>
      </c>
      <c r="P337">
        <v>3</v>
      </c>
      <c r="Q337">
        <v>0</v>
      </c>
      <c r="R337">
        <v>1</v>
      </c>
      <c r="S337">
        <v>0</v>
      </c>
      <c r="T337">
        <v>3</v>
      </c>
      <c r="U337">
        <v>7</v>
      </c>
      <c r="V337">
        <v>20</v>
      </c>
      <c r="W337">
        <v>17</v>
      </c>
      <c r="X337">
        <v>17</v>
      </c>
      <c r="Y337">
        <v>20</v>
      </c>
      <c r="Z337">
        <v>7</v>
      </c>
      <c r="AA337">
        <v>1</v>
      </c>
      <c r="AB337">
        <v>1</v>
      </c>
      <c r="AC337">
        <v>1</v>
      </c>
      <c r="AD337">
        <v>14</v>
      </c>
      <c r="AE337">
        <v>25</v>
      </c>
      <c r="AF337">
        <v>7</v>
      </c>
      <c r="AG337">
        <v>12</v>
      </c>
      <c r="AH337">
        <v>3</v>
      </c>
      <c r="AI337">
        <v>1</v>
      </c>
    </row>
    <row r="338" spans="1:35" hidden="1" x14ac:dyDescent="0.25">
      <c r="A338">
        <v>2023</v>
      </c>
      <c r="B338" s="1">
        <v>45108</v>
      </c>
      <c r="C338">
        <v>13</v>
      </c>
      <c r="D338">
        <v>64853</v>
      </c>
      <c r="E338">
        <v>78838</v>
      </c>
      <c r="F338" t="s">
        <v>77</v>
      </c>
      <c r="G338" t="s">
        <v>63</v>
      </c>
      <c r="H338" t="s">
        <v>329</v>
      </c>
      <c r="I338" t="s">
        <v>65</v>
      </c>
      <c r="J338">
        <v>3</v>
      </c>
      <c r="K338">
        <v>11</v>
      </c>
      <c r="L338">
        <v>8560</v>
      </c>
      <c r="M338">
        <v>1485</v>
      </c>
      <c r="N338" t="s">
        <v>117</v>
      </c>
      <c r="O338" t="s">
        <v>144</v>
      </c>
      <c r="P338">
        <v>2</v>
      </c>
      <c r="Q338">
        <v>0</v>
      </c>
      <c r="R338">
        <v>1</v>
      </c>
      <c r="S338">
        <v>0</v>
      </c>
      <c r="T338">
        <v>5</v>
      </c>
      <c r="U338">
        <v>4</v>
      </c>
      <c r="V338">
        <v>13</v>
      </c>
      <c r="W338">
        <v>14</v>
      </c>
      <c r="X338">
        <v>14</v>
      </c>
      <c r="Y338">
        <v>13</v>
      </c>
      <c r="Z338">
        <v>6</v>
      </c>
      <c r="AA338">
        <v>2</v>
      </c>
      <c r="AB338">
        <v>1</v>
      </c>
      <c r="AC338">
        <v>2</v>
      </c>
      <c r="AD338">
        <v>10</v>
      </c>
      <c r="AE338">
        <v>15</v>
      </c>
      <c r="AF338">
        <v>3</v>
      </c>
      <c r="AG338">
        <v>4</v>
      </c>
      <c r="AH338">
        <v>2</v>
      </c>
      <c r="AI338">
        <v>1</v>
      </c>
    </row>
    <row r="339" spans="1:35" hidden="1" x14ac:dyDescent="0.25">
      <c r="A339">
        <v>2023</v>
      </c>
      <c r="B339" s="1">
        <v>45164</v>
      </c>
      <c r="C339">
        <v>21</v>
      </c>
      <c r="D339">
        <v>58892</v>
      </c>
      <c r="E339">
        <v>78838</v>
      </c>
      <c r="F339" t="s">
        <v>77</v>
      </c>
      <c r="G339" t="s">
        <v>37</v>
      </c>
      <c r="H339" t="s">
        <v>329</v>
      </c>
      <c r="I339" t="s">
        <v>39</v>
      </c>
      <c r="J339">
        <v>4</v>
      </c>
      <c r="K339">
        <v>14</v>
      </c>
      <c r="L339">
        <v>7900</v>
      </c>
      <c r="M339">
        <v>2030</v>
      </c>
      <c r="N339" t="s">
        <v>116</v>
      </c>
      <c r="O339" t="s">
        <v>123</v>
      </c>
      <c r="P339">
        <v>0</v>
      </c>
      <c r="Q339">
        <v>0</v>
      </c>
      <c r="R339">
        <v>0</v>
      </c>
      <c r="S339">
        <v>0</v>
      </c>
      <c r="T339">
        <v>6</v>
      </c>
      <c r="U339">
        <v>3</v>
      </c>
      <c r="V339">
        <v>14</v>
      </c>
      <c r="W339">
        <v>20</v>
      </c>
      <c r="X339">
        <v>20</v>
      </c>
      <c r="Y339">
        <v>13</v>
      </c>
      <c r="Z339">
        <v>1</v>
      </c>
      <c r="AA339">
        <v>4</v>
      </c>
      <c r="AB339">
        <v>1</v>
      </c>
      <c r="AC339">
        <v>3</v>
      </c>
      <c r="AD339">
        <v>8</v>
      </c>
      <c r="AE339">
        <v>4</v>
      </c>
      <c r="AF339">
        <v>4</v>
      </c>
      <c r="AG339">
        <v>2</v>
      </c>
      <c r="AH339">
        <v>0</v>
      </c>
      <c r="AI339">
        <v>0</v>
      </c>
    </row>
    <row r="340" spans="1:35" hidden="1" x14ac:dyDescent="0.25">
      <c r="A340">
        <v>2023</v>
      </c>
      <c r="B340" s="1">
        <v>45199</v>
      </c>
      <c r="C340">
        <v>25</v>
      </c>
      <c r="D340">
        <v>46472</v>
      </c>
      <c r="E340">
        <v>78838</v>
      </c>
      <c r="F340" t="s">
        <v>77</v>
      </c>
      <c r="G340" t="s">
        <v>38</v>
      </c>
      <c r="H340" t="s">
        <v>346</v>
      </c>
      <c r="I340" t="s">
        <v>40</v>
      </c>
      <c r="J340">
        <v>5</v>
      </c>
      <c r="K340">
        <v>18</v>
      </c>
      <c r="L340">
        <v>7900</v>
      </c>
      <c r="M340">
        <v>2435</v>
      </c>
      <c r="N340" t="s">
        <v>98</v>
      </c>
      <c r="O340" t="s">
        <v>105</v>
      </c>
      <c r="P340">
        <v>1</v>
      </c>
      <c r="Q340">
        <v>0</v>
      </c>
      <c r="R340">
        <v>0</v>
      </c>
      <c r="S340">
        <v>0</v>
      </c>
      <c r="T340">
        <v>12</v>
      </c>
      <c r="U340">
        <v>2</v>
      </c>
      <c r="V340">
        <v>11</v>
      </c>
      <c r="W340">
        <v>13</v>
      </c>
      <c r="X340">
        <v>13</v>
      </c>
      <c r="Y340">
        <v>11</v>
      </c>
      <c r="Z340">
        <v>4</v>
      </c>
      <c r="AA340">
        <v>4</v>
      </c>
      <c r="AB340">
        <v>1</v>
      </c>
      <c r="AC340">
        <v>3</v>
      </c>
      <c r="AD340">
        <v>15</v>
      </c>
      <c r="AE340">
        <v>6</v>
      </c>
      <c r="AF340">
        <v>5</v>
      </c>
      <c r="AG340">
        <v>2</v>
      </c>
      <c r="AH340">
        <v>1</v>
      </c>
      <c r="AI340">
        <v>1</v>
      </c>
    </row>
    <row r="341" spans="1:35" hidden="1" x14ac:dyDescent="0.25">
      <c r="A341">
        <v>2023</v>
      </c>
      <c r="B341" s="1">
        <v>45221</v>
      </c>
      <c r="C341">
        <v>28</v>
      </c>
      <c r="D341">
        <v>69473</v>
      </c>
      <c r="E341">
        <v>78838</v>
      </c>
      <c r="F341" t="s">
        <v>77</v>
      </c>
      <c r="G341" t="s">
        <v>82</v>
      </c>
      <c r="H341" t="s">
        <v>79</v>
      </c>
      <c r="I341" t="s">
        <v>84</v>
      </c>
      <c r="J341">
        <v>3</v>
      </c>
      <c r="K341">
        <v>17</v>
      </c>
      <c r="L341">
        <v>9300</v>
      </c>
      <c r="M341">
        <v>2740</v>
      </c>
      <c r="N341" t="s">
        <v>114</v>
      </c>
      <c r="O341" t="s">
        <v>107</v>
      </c>
      <c r="P341">
        <v>1</v>
      </c>
      <c r="Q341">
        <v>0</v>
      </c>
      <c r="R341">
        <v>0</v>
      </c>
      <c r="S341">
        <v>0</v>
      </c>
      <c r="T341">
        <v>7</v>
      </c>
      <c r="U341">
        <v>8</v>
      </c>
      <c r="V341">
        <v>10</v>
      </c>
      <c r="W341">
        <v>15</v>
      </c>
      <c r="X341">
        <v>15</v>
      </c>
      <c r="Y341">
        <v>10</v>
      </c>
      <c r="Z341">
        <v>7</v>
      </c>
      <c r="AA341">
        <v>4</v>
      </c>
      <c r="AB341">
        <v>1</v>
      </c>
      <c r="AC341">
        <v>1</v>
      </c>
      <c r="AD341">
        <v>10</v>
      </c>
      <c r="AE341">
        <v>17</v>
      </c>
      <c r="AF341">
        <v>2</v>
      </c>
      <c r="AG341">
        <v>4</v>
      </c>
      <c r="AH341">
        <v>1</v>
      </c>
      <c r="AI341">
        <v>1</v>
      </c>
    </row>
    <row r="342" spans="1:35" hidden="1" x14ac:dyDescent="0.25">
      <c r="A342">
        <v>2023</v>
      </c>
      <c r="B342" s="1">
        <v>45254</v>
      </c>
      <c r="C342">
        <v>30</v>
      </c>
      <c r="D342">
        <v>57699</v>
      </c>
      <c r="E342">
        <v>78838</v>
      </c>
      <c r="F342" t="s">
        <v>77</v>
      </c>
      <c r="G342" t="s">
        <v>56</v>
      </c>
      <c r="H342" t="s">
        <v>79</v>
      </c>
      <c r="I342" t="s">
        <v>58</v>
      </c>
      <c r="J342">
        <v>3</v>
      </c>
      <c r="K342">
        <v>4</v>
      </c>
      <c r="L342">
        <v>10300</v>
      </c>
      <c r="M342">
        <v>3890</v>
      </c>
      <c r="N342" t="s">
        <v>163</v>
      </c>
      <c r="O342" t="s">
        <v>151</v>
      </c>
      <c r="P342">
        <v>1</v>
      </c>
      <c r="Q342">
        <v>0</v>
      </c>
      <c r="R342">
        <v>0</v>
      </c>
      <c r="S342">
        <v>0</v>
      </c>
      <c r="T342">
        <v>8</v>
      </c>
      <c r="U342">
        <v>6</v>
      </c>
      <c r="V342">
        <v>10</v>
      </c>
      <c r="W342">
        <v>15</v>
      </c>
      <c r="X342">
        <v>15</v>
      </c>
      <c r="Y342">
        <v>10</v>
      </c>
      <c r="Z342">
        <v>3</v>
      </c>
      <c r="AA342">
        <v>3</v>
      </c>
      <c r="AB342">
        <v>2</v>
      </c>
      <c r="AC342">
        <v>2</v>
      </c>
      <c r="AD342">
        <v>16</v>
      </c>
      <c r="AE342">
        <v>19</v>
      </c>
      <c r="AF342">
        <v>5</v>
      </c>
      <c r="AG342">
        <v>11</v>
      </c>
      <c r="AH342">
        <v>1</v>
      </c>
      <c r="AI342">
        <v>1</v>
      </c>
    </row>
    <row r="343" spans="1:35" hidden="1" x14ac:dyDescent="0.25">
      <c r="A343">
        <v>2023</v>
      </c>
      <c r="B343" s="1">
        <v>45239</v>
      </c>
      <c r="C343">
        <v>33</v>
      </c>
      <c r="D343">
        <v>64590</v>
      </c>
      <c r="E343">
        <v>78838</v>
      </c>
      <c r="F343" t="s">
        <v>77</v>
      </c>
      <c r="G343" t="s">
        <v>95</v>
      </c>
      <c r="H343" t="s">
        <v>79</v>
      </c>
      <c r="I343" t="s">
        <v>97</v>
      </c>
      <c r="J343">
        <v>4</v>
      </c>
      <c r="K343">
        <v>3</v>
      </c>
      <c r="L343">
        <v>10300</v>
      </c>
      <c r="M343">
        <v>8300</v>
      </c>
      <c r="N343" t="s">
        <v>209</v>
      </c>
      <c r="O343" t="s">
        <v>135</v>
      </c>
      <c r="P343">
        <v>3</v>
      </c>
      <c r="Q343">
        <v>0</v>
      </c>
      <c r="R343">
        <v>2</v>
      </c>
      <c r="S343">
        <v>0</v>
      </c>
      <c r="T343">
        <v>4</v>
      </c>
      <c r="U343">
        <v>5</v>
      </c>
      <c r="V343">
        <v>13</v>
      </c>
      <c r="W343">
        <v>17</v>
      </c>
      <c r="X343">
        <v>17</v>
      </c>
      <c r="Y343">
        <v>13</v>
      </c>
      <c r="Z343">
        <v>1</v>
      </c>
      <c r="AA343">
        <v>3</v>
      </c>
      <c r="AB343">
        <v>0</v>
      </c>
      <c r="AC343">
        <v>3</v>
      </c>
      <c r="AD343">
        <v>12</v>
      </c>
      <c r="AE343">
        <v>12</v>
      </c>
      <c r="AF343">
        <v>3</v>
      </c>
      <c r="AG343">
        <v>7</v>
      </c>
      <c r="AH343">
        <v>3</v>
      </c>
      <c r="AI343">
        <v>1</v>
      </c>
    </row>
    <row r="344" spans="1:35" hidden="1" x14ac:dyDescent="0.25">
      <c r="A344">
        <v>2023</v>
      </c>
      <c r="B344" s="1">
        <v>45158</v>
      </c>
      <c r="C344">
        <v>20</v>
      </c>
      <c r="D344">
        <v>53540</v>
      </c>
      <c r="E344">
        <v>78584</v>
      </c>
      <c r="F344" t="s">
        <v>82</v>
      </c>
      <c r="G344" t="s">
        <v>89</v>
      </c>
      <c r="H344" t="s">
        <v>84</v>
      </c>
      <c r="I344" t="s">
        <v>336</v>
      </c>
      <c r="J344">
        <v>18</v>
      </c>
      <c r="K344">
        <v>11</v>
      </c>
      <c r="L344">
        <v>2910</v>
      </c>
      <c r="M344">
        <v>4220</v>
      </c>
      <c r="N344" t="s">
        <v>168</v>
      </c>
      <c r="O344" t="s">
        <v>166</v>
      </c>
      <c r="P344">
        <v>1</v>
      </c>
      <c r="Q344">
        <v>0</v>
      </c>
      <c r="R344">
        <v>1</v>
      </c>
      <c r="S344">
        <v>0</v>
      </c>
      <c r="T344">
        <v>3</v>
      </c>
      <c r="U344">
        <v>7</v>
      </c>
      <c r="V344">
        <v>20</v>
      </c>
      <c r="W344">
        <v>14</v>
      </c>
      <c r="X344">
        <v>14</v>
      </c>
      <c r="Y344">
        <v>19</v>
      </c>
      <c r="Z344">
        <v>5</v>
      </c>
      <c r="AA344">
        <v>2</v>
      </c>
      <c r="AB344">
        <v>1</v>
      </c>
      <c r="AC344">
        <v>0</v>
      </c>
      <c r="AD344">
        <v>16</v>
      </c>
      <c r="AE344">
        <v>10</v>
      </c>
      <c r="AF344">
        <v>9</v>
      </c>
      <c r="AG344">
        <v>4</v>
      </c>
      <c r="AH344">
        <v>1</v>
      </c>
      <c r="AI344">
        <v>1</v>
      </c>
    </row>
    <row r="345" spans="1:35" hidden="1" x14ac:dyDescent="0.25">
      <c r="A345">
        <v>2023</v>
      </c>
      <c r="B345" s="1">
        <v>45031</v>
      </c>
      <c r="C345">
        <v>1</v>
      </c>
      <c r="D345">
        <v>35835</v>
      </c>
      <c r="F345" t="s">
        <v>95</v>
      </c>
      <c r="G345" t="s">
        <v>70</v>
      </c>
      <c r="H345" t="s">
        <v>97</v>
      </c>
      <c r="I345" t="s">
        <v>347</v>
      </c>
      <c r="J345">
        <v>4</v>
      </c>
      <c r="K345">
        <v>15</v>
      </c>
      <c r="L345">
        <v>8420</v>
      </c>
      <c r="M345">
        <v>593</v>
      </c>
      <c r="N345" t="s">
        <v>117</v>
      </c>
      <c r="O345" t="s">
        <v>296</v>
      </c>
      <c r="P345">
        <v>2</v>
      </c>
      <c r="Q345">
        <v>1</v>
      </c>
      <c r="R345">
        <v>1</v>
      </c>
      <c r="S345">
        <v>1</v>
      </c>
      <c r="T345">
        <v>4</v>
      </c>
      <c r="U345">
        <v>4</v>
      </c>
      <c r="V345">
        <v>23</v>
      </c>
      <c r="W345">
        <v>12</v>
      </c>
      <c r="X345">
        <v>12</v>
      </c>
      <c r="Y345">
        <v>21</v>
      </c>
      <c r="Z345">
        <v>3</v>
      </c>
      <c r="AA345">
        <v>3</v>
      </c>
      <c r="AB345">
        <v>3</v>
      </c>
      <c r="AC345">
        <v>2</v>
      </c>
      <c r="AD345">
        <v>17</v>
      </c>
      <c r="AE345">
        <v>12</v>
      </c>
      <c r="AF345">
        <v>7</v>
      </c>
      <c r="AG345">
        <v>6</v>
      </c>
      <c r="AH345">
        <v>1</v>
      </c>
      <c r="AI345">
        <v>1</v>
      </c>
    </row>
    <row r="346" spans="1:35" hidden="1" x14ac:dyDescent="0.25">
      <c r="A346">
        <v>2023</v>
      </c>
      <c r="B346" s="1">
        <v>45129</v>
      </c>
      <c r="C346">
        <v>16</v>
      </c>
      <c r="D346">
        <v>34072</v>
      </c>
      <c r="F346" t="s">
        <v>70</v>
      </c>
      <c r="G346" t="s">
        <v>62</v>
      </c>
      <c r="H346" t="s">
        <v>90</v>
      </c>
      <c r="I346" t="s">
        <v>315</v>
      </c>
      <c r="J346">
        <v>12</v>
      </c>
      <c r="K346">
        <v>6</v>
      </c>
      <c r="L346">
        <v>810</v>
      </c>
      <c r="M346">
        <v>3630</v>
      </c>
      <c r="N346" t="s">
        <v>66</v>
      </c>
      <c r="O346" t="s">
        <v>80</v>
      </c>
      <c r="P346">
        <v>2</v>
      </c>
      <c r="Q346">
        <v>1</v>
      </c>
      <c r="R346">
        <v>0</v>
      </c>
      <c r="S346">
        <v>0</v>
      </c>
      <c r="T346">
        <v>2</v>
      </c>
      <c r="U346">
        <v>4</v>
      </c>
      <c r="V346">
        <v>9</v>
      </c>
      <c r="W346">
        <v>17</v>
      </c>
      <c r="X346">
        <v>17</v>
      </c>
      <c r="Y346">
        <v>9</v>
      </c>
      <c r="Z346">
        <v>2</v>
      </c>
      <c r="AA346">
        <v>4</v>
      </c>
      <c r="AB346">
        <v>2</v>
      </c>
      <c r="AC346">
        <v>0</v>
      </c>
      <c r="AD346">
        <v>13</v>
      </c>
      <c r="AE346">
        <v>12</v>
      </c>
      <c r="AF346">
        <v>5</v>
      </c>
      <c r="AG346">
        <v>7</v>
      </c>
      <c r="AH346">
        <v>1</v>
      </c>
      <c r="AI346">
        <v>1</v>
      </c>
    </row>
    <row r="347" spans="1:35" hidden="1" x14ac:dyDescent="0.25">
      <c r="A347">
        <v>2023</v>
      </c>
      <c r="B347" s="1">
        <v>45144</v>
      </c>
      <c r="C347">
        <v>18</v>
      </c>
      <c r="D347">
        <v>34313</v>
      </c>
      <c r="F347" t="s">
        <v>38</v>
      </c>
      <c r="G347" t="s">
        <v>310</v>
      </c>
      <c r="H347" t="s">
        <v>316</v>
      </c>
      <c r="I347" t="s">
        <v>312</v>
      </c>
      <c r="J347">
        <v>16</v>
      </c>
      <c r="K347">
        <v>20</v>
      </c>
      <c r="L347">
        <v>2485</v>
      </c>
      <c r="M347">
        <v>923</v>
      </c>
      <c r="N347" t="s">
        <v>86</v>
      </c>
      <c r="O347" t="s">
        <v>144</v>
      </c>
      <c r="P347">
        <v>3</v>
      </c>
      <c r="Q347">
        <v>1</v>
      </c>
      <c r="R347">
        <v>1</v>
      </c>
      <c r="S347">
        <v>0</v>
      </c>
      <c r="T347">
        <v>7</v>
      </c>
      <c r="U347">
        <v>2</v>
      </c>
      <c r="V347">
        <v>20</v>
      </c>
      <c r="W347">
        <v>19</v>
      </c>
      <c r="X347">
        <v>19</v>
      </c>
      <c r="Y347">
        <v>19</v>
      </c>
      <c r="Z347">
        <v>4</v>
      </c>
      <c r="AA347">
        <v>4</v>
      </c>
      <c r="AB347">
        <v>2</v>
      </c>
      <c r="AC347">
        <v>3</v>
      </c>
      <c r="AD347">
        <v>22</v>
      </c>
      <c r="AE347">
        <v>8</v>
      </c>
      <c r="AF347">
        <v>8</v>
      </c>
      <c r="AG347">
        <v>3</v>
      </c>
      <c r="AH347">
        <v>2</v>
      </c>
      <c r="AI347">
        <v>1</v>
      </c>
    </row>
    <row r="348" spans="1:35" hidden="1" x14ac:dyDescent="0.25">
      <c r="A348">
        <v>2023</v>
      </c>
      <c r="B348" s="1">
        <v>45165</v>
      </c>
      <c r="C348">
        <v>21</v>
      </c>
      <c r="D348">
        <v>12467</v>
      </c>
      <c r="F348" t="s">
        <v>63</v>
      </c>
      <c r="G348" t="s">
        <v>321</v>
      </c>
      <c r="H348" t="s">
        <v>65</v>
      </c>
      <c r="I348" t="s">
        <v>322</v>
      </c>
      <c r="J348">
        <v>8</v>
      </c>
      <c r="K348">
        <v>19</v>
      </c>
      <c r="L348">
        <v>1255</v>
      </c>
      <c r="M348">
        <v>1870</v>
      </c>
      <c r="N348" t="s">
        <v>166</v>
      </c>
      <c r="O348" t="s">
        <v>151</v>
      </c>
      <c r="P348">
        <v>3</v>
      </c>
      <c r="Q348">
        <v>1</v>
      </c>
      <c r="R348">
        <v>2</v>
      </c>
      <c r="S348">
        <v>0</v>
      </c>
      <c r="T348">
        <v>2</v>
      </c>
      <c r="U348">
        <v>3</v>
      </c>
      <c r="V348">
        <v>22</v>
      </c>
      <c r="W348">
        <v>22</v>
      </c>
      <c r="X348">
        <v>21</v>
      </c>
      <c r="Y348">
        <v>22</v>
      </c>
      <c r="Z348">
        <v>1</v>
      </c>
      <c r="AA348">
        <v>3</v>
      </c>
      <c r="AB348">
        <v>1</v>
      </c>
      <c r="AC348">
        <v>0</v>
      </c>
      <c r="AD348">
        <v>12</v>
      </c>
      <c r="AE348">
        <v>10</v>
      </c>
      <c r="AF348">
        <v>3</v>
      </c>
      <c r="AG348">
        <v>5</v>
      </c>
      <c r="AH348">
        <v>2</v>
      </c>
      <c r="AI348">
        <v>1</v>
      </c>
    </row>
    <row r="349" spans="1:35" hidden="1" x14ac:dyDescent="0.25">
      <c r="A349">
        <v>2023</v>
      </c>
      <c r="B349" s="1">
        <v>45184</v>
      </c>
      <c r="C349">
        <v>23</v>
      </c>
      <c r="D349">
        <v>32690</v>
      </c>
      <c r="F349" t="s">
        <v>63</v>
      </c>
      <c r="G349" t="s">
        <v>88</v>
      </c>
      <c r="H349" t="s">
        <v>65</v>
      </c>
      <c r="I349" t="s">
        <v>317</v>
      </c>
      <c r="J349">
        <v>8</v>
      </c>
      <c r="K349">
        <v>14</v>
      </c>
      <c r="L349">
        <v>1135</v>
      </c>
      <c r="M349">
        <v>3605</v>
      </c>
      <c r="N349" t="s">
        <v>205</v>
      </c>
      <c r="O349" t="s">
        <v>332</v>
      </c>
      <c r="P349">
        <v>2</v>
      </c>
      <c r="Q349">
        <v>1</v>
      </c>
      <c r="R349">
        <v>1</v>
      </c>
      <c r="S349">
        <v>1</v>
      </c>
      <c r="T349">
        <v>6</v>
      </c>
      <c r="U349">
        <v>3</v>
      </c>
      <c r="V349">
        <v>14</v>
      </c>
      <c r="W349">
        <v>17</v>
      </c>
      <c r="X349">
        <v>17</v>
      </c>
      <c r="Y349">
        <v>12</v>
      </c>
      <c r="Z349">
        <v>1</v>
      </c>
      <c r="AA349">
        <v>4</v>
      </c>
      <c r="AB349">
        <v>0</v>
      </c>
      <c r="AC349">
        <v>1</v>
      </c>
      <c r="AD349">
        <v>23</v>
      </c>
      <c r="AE349">
        <v>6</v>
      </c>
      <c r="AF349">
        <v>11</v>
      </c>
      <c r="AG349">
        <v>3</v>
      </c>
      <c r="AH349">
        <v>1</v>
      </c>
      <c r="AI349">
        <v>1</v>
      </c>
    </row>
    <row r="350" spans="1:35" hidden="1" x14ac:dyDescent="0.25">
      <c r="A350">
        <v>2023</v>
      </c>
      <c r="B350" s="1">
        <v>45053</v>
      </c>
      <c r="C350">
        <v>4</v>
      </c>
      <c r="D350">
        <v>37936</v>
      </c>
      <c r="E350">
        <v>47364</v>
      </c>
      <c r="F350" t="s">
        <v>38</v>
      </c>
      <c r="G350" t="s">
        <v>321</v>
      </c>
      <c r="H350" t="s">
        <v>316</v>
      </c>
      <c r="I350" t="s">
        <v>327</v>
      </c>
      <c r="J350">
        <v>9</v>
      </c>
      <c r="K350">
        <v>19</v>
      </c>
      <c r="L350">
        <v>1875</v>
      </c>
      <c r="M350">
        <v>1480</v>
      </c>
      <c r="N350" t="s">
        <v>117</v>
      </c>
      <c r="O350" t="s">
        <v>135</v>
      </c>
      <c r="P350">
        <v>3</v>
      </c>
      <c r="Q350">
        <v>1</v>
      </c>
      <c r="R350">
        <v>1</v>
      </c>
      <c r="S350">
        <v>0</v>
      </c>
      <c r="T350">
        <v>3</v>
      </c>
      <c r="U350">
        <v>5</v>
      </c>
      <c r="V350">
        <v>28</v>
      </c>
      <c r="W350">
        <v>24</v>
      </c>
      <c r="X350">
        <v>23</v>
      </c>
      <c r="Y350">
        <v>28</v>
      </c>
      <c r="Z350">
        <v>4</v>
      </c>
      <c r="AA350">
        <v>4</v>
      </c>
      <c r="AB350">
        <v>1</v>
      </c>
      <c r="AC350">
        <v>2</v>
      </c>
      <c r="AD350">
        <v>15</v>
      </c>
      <c r="AE350">
        <v>10</v>
      </c>
      <c r="AF350">
        <v>5</v>
      </c>
      <c r="AG350">
        <v>1</v>
      </c>
      <c r="AH350">
        <v>2</v>
      </c>
      <c r="AI350">
        <v>1</v>
      </c>
    </row>
    <row r="351" spans="1:35" hidden="1" x14ac:dyDescent="0.25">
      <c r="A351">
        <v>2023</v>
      </c>
      <c r="B351" s="1">
        <v>45066</v>
      </c>
      <c r="C351">
        <v>7</v>
      </c>
      <c r="D351">
        <v>32519</v>
      </c>
      <c r="E351">
        <v>47364</v>
      </c>
      <c r="F351" t="s">
        <v>38</v>
      </c>
      <c r="G351" t="s">
        <v>313</v>
      </c>
      <c r="H351" t="s">
        <v>316</v>
      </c>
      <c r="I351" t="s">
        <v>337</v>
      </c>
      <c r="J351">
        <v>13</v>
      </c>
      <c r="K351">
        <v>16</v>
      </c>
      <c r="L351">
        <v>1920</v>
      </c>
      <c r="M351">
        <v>1095</v>
      </c>
      <c r="N351" t="s">
        <v>104</v>
      </c>
      <c r="O351" t="s">
        <v>135</v>
      </c>
      <c r="P351">
        <v>1</v>
      </c>
      <c r="Q351">
        <v>1</v>
      </c>
      <c r="R351">
        <v>1</v>
      </c>
      <c r="S351">
        <v>1</v>
      </c>
      <c r="T351">
        <v>4</v>
      </c>
      <c r="U351">
        <v>6</v>
      </c>
      <c r="V351">
        <v>19</v>
      </c>
      <c r="W351">
        <v>13</v>
      </c>
      <c r="X351">
        <v>13</v>
      </c>
      <c r="Y351">
        <v>19</v>
      </c>
      <c r="Z351">
        <v>4</v>
      </c>
      <c r="AA351">
        <v>3</v>
      </c>
      <c r="AB351">
        <v>1</v>
      </c>
      <c r="AC351">
        <v>6</v>
      </c>
      <c r="AD351">
        <v>23</v>
      </c>
      <c r="AE351">
        <v>13</v>
      </c>
      <c r="AF351">
        <v>14</v>
      </c>
      <c r="AG351">
        <v>4</v>
      </c>
      <c r="AH351">
        <v>0</v>
      </c>
      <c r="AI351">
        <v>0</v>
      </c>
    </row>
    <row r="352" spans="1:35" hidden="1" x14ac:dyDescent="0.25">
      <c r="A352">
        <v>2023</v>
      </c>
      <c r="B352" s="1">
        <v>45172</v>
      </c>
      <c r="C352">
        <v>22</v>
      </c>
      <c r="D352">
        <v>46705</v>
      </c>
      <c r="E352">
        <v>47364</v>
      </c>
      <c r="F352" t="s">
        <v>38</v>
      </c>
      <c r="G352" t="s">
        <v>82</v>
      </c>
      <c r="H352" t="s">
        <v>316</v>
      </c>
      <c r="I352" t="s">
        <v>84</v>
      </c>
      <c r="J352">
        <v>16</v>
      </c>
      <c r="K352">
        <v>18</v>
      </c>
      <c r="L352">
        <v>2415</v>
      </c>
      <c r="M352">
        <v>2795</v>
      </c>
      <c r="N352" t="s">
        <v>105</v>
      </c>
      <c r="O352" t="s">
        <v>107</v>
      </c>
      <c r="P352">
        <v>1</v>
      </c>
      <c r="Q352">
        <v>1</v>
      </c>
      <c r="R352">
        <v>1</v>
      </c>
      <c r="S352">
        <v>0</v>
      </c>
      <c r="T352">
        <v>6</v>
      </c>
      <c r="U352">
        <v>0</v>
      </c>
      <c r="V352">
        <v>22</v>
      </c>
      <c r="W352">
        <v>17</v>
      </c>
      <c r="X352">
        <v>16</v>
      </c>
      <c r="Y352">
        <v>20</v>
      </c>
      <c r="Z352">
        <v>0</v>
      </c>
      <c r="AA352">
        <v>2</v>
      </c>
      <c r="AB352">
        <v>2</v>
      </c>
      <c r="AC352">
        <v>2</v>
      </c>
      <c r="AD352">
        <v>11</v>
      </c>
      <c r="AE352">
        <v>6</v>
      </c>
      <c r="AF352">
        <v>4</v>
      </c>
      <c r="AG352">
        <v>4</v>
      </c>
      <c r="AH352">
        <v>0</v>
      </c>
      <c r="AI352">
        <v>0</v>
      </c>
    </row>
    <row r="353" spans="1:35" hidden="1" x14ac:dyDescent="0.25">
      <c r="A353">
        <v>2023</v>
      </c>
      <c r="B353" s="1">
        <v>45242</v>
      </c>
      <c r="C353">
        <v>34</v>
      </c>
      <c r="D353">
        <v>33978</v>
      </c>
      <c r="E353">
        <v>47364</v>
      </c>
      <c r="F353" t="s">
        <v>38</v>
      </c>
      <c r="G353" t="s">
        <v>69</v>
      </c>
      <c r="H353" t="s">
        <v>40</v>
      </c>
      <c r="I353" t="s">
        <v>325</v>
      </c>
      <c r="J353">
        <v>17</v>
      </c>
      <c r="K353">
        <v>7</v>
      </c>
      <c r="L353">
        <v>2685</v>
      </c>
      <c r="M353">
        <v>2790</v>
      </c>
      <c r="N353" t="s">
        <v>135</v>
      </c>
      <c r="O353" t="s">
        <v>41</v>
      </c>
      <c r="P353">
        <v>1</v>
      </c>
      <c r="Q353">
        <v>1</v>
      </c>
      <c r="R353">
        <v>0</v>
      </c>
      <c r="S353">
        <v>0</v>
      </c>
      <c r="T353">
        <v>11</v>
      </c>
      <c r="U353">
        <v>5</v>
      </c>
      <c r="V353">
        <v>8</v>
      </c>
      <c r="W353">
        <v>14</v>
      </c>
      <c r="X353">
        <v>14</v>
      </c>
      <c r="Y353">
        <v>7</v>
      </c>
      <c r="Z353">
        <v>3</v>
      </c>
      <c r="AA353">
        <v>4</v>
      </c>
      <c r="AB353">
        <v>0</v>
      </c>
      <c r="AC353">
        <v>0</v>
      </c>
      <c r="AD353">
        <v>28</v>
      </c>
      <c r="AE353">
        <v>6</v>
      </c>
      <c r="AF353">
        <v>16</v>
      </c>
      <c r="AG353">
        <v>0</v>
      </c>
      <c r="AH353">
        <v>0</v>
      </c>
      <c r="AI353">
        <v>0</v>
      </c>
    </row>
    <row r="354" spans="1:35" hidden="1" x14ac:dyDescent="0.25">
      <c r="A354">
        <v>2023</v>
      </c>
      <c r="B354" s="1">
        <v>45260</v>
      </c>
      <c r="C354">
        <v>36</v>
      </c>
      <c r="D354">
        <v>46288</v>
      </c>
      <c r="E354">
        <v>47364</v>
      </c>
      <c r="F354" t="s">
        <v>38</v>
      </c>
      <c r="G354" t="s">
        <v>62</v>
      </c>
      <c r="H354" t="s">
        <v>40</v>
      </c>
      <c r="I354" t="s">
        <v>315</v>
      </c>
      <c r="J354">
        <v>17</v>
      </c>
      <c r="K354">
        <v>9</v>
      </c>
      <c r="L354">
        <v>2805</v>
      </c>
      <c r="M354">
        <v>2860</v>
      </c>
      <c r="N354" t="s">
        <v>41</v>
      </c>
      <c r="O354" t="s">
        <v>66</v>
      </c>
      <c r="P354">
        <v>0</v>
      </c>
      <c r="Q354">
        <v>1</v>
      </c>
      <c r="R354">
        <v>0</v>
      </c>
      <c r="S354">
        <v>0</v>
      </c>
      <c r="T354">
        <v>3</v>
      </c>
      <c r="U354">
        <v>5</v>
      </c>
      <c r="V354">
        <v>15</v>
      </c>
      <c r="W354">
        <v>11</v>
      </c>
      <c r="X354">
        <v>10</v>
      </c>
      <c r="Y354">
        <v>14</v>
      </c>
      <c r="Z354">
        <v>4</v>
      </c>
      <c r="AA354">
        <v>3</v>
      </c>
      <c r="AB354">
        <v>0</v>
      </c>
      <c r="AC354">
        <v>3</v>
      </c>
      <c r="AD354">
        <v>14</v>
      </c>
      <c r="AE354">
        <v>14</v>
      </c>
      <c r="AF354">
        <v>4</v>
      </c>
      <c r="AG354">
        <v>4</v>
      </c>
      <c r="AH354">
        <v>-1</v>
      </c>
      <c r="AI354">
        <v>0</v>
      </c>
    </row>
    <row r="355" spans="1:35" hidden="1" x14ac:dyDescent="0.25">
      <c r="A355">
        <v>2023</v>
      </c>
      <c r="B355" s="1">
        <v>45267</v>
      </c>
      <c r="C355">
        <v>38</v>
      </c>
      <c r="D355">
        <v>28019</v>
      </c>
      <c r="E355">
        <v>47364</v>
      </c>
      <c r="F355" t="s">
        <v>38</v>
      </c>
      <c r="G355" t="s">
        <v>89</v>
      </c>
      <c r="H355" t="s">
        <v>40</v>
      </c>
      <c r="I355" t="s">
        <v>336</v>
      </c>
      <c r="J355">
        <v>16</v>
      </c>
      <c r="K355">
        <v>3</v>
      </c>
      <c r="L355">
        <v>2705</v>
      </c>
      <c r="M355">
        <v>4330</v>
      </c>
      <c r="N355" t="s">
        <v>41</v>
      </c>
      <c r="O355" t="s">
        <v>48</v>
      </c>
      <c r="P355">
        <v>4</v>
      </c>
      <c r="Q355">
        <v>1</v>
      </c>
      <c r="R355">
        <v>2</v>
      </c>
      <c r="S355">
        <v>1</v>
      </c>
      <c r="T355">
        <v>3</v>
      </c>
      <c r="U355">
        <v>5</v>
      </c>
      <c r="V355">
        <v>16</v>
      </c>
      <c r="W355">
        <v>10</v>
      </c>
      <c r="X355">
        <v>9</v>
      </c>
      <c r="Y355">
        <v>15</v>
      </c>
      <c r="Z355">
        <v>4</v>
      </c>
      <c r="AA355">
        <v>2</v>
      </c>
      <c r="AB355">
        <v>2</v>
      </c>
      <c r="AC355">
        <v>3</v>
      </c>
      <c r="AD355">
        <v>15</v>
      </c>
      <c r="AE355">
        <v>7</v>
      </c>
      <c r="AF355">
        <v>7</v>
      </c>
      <c r="AG355">
        <v>0</v>
      </c>
      <c r="AH355">
        <v>3</v>
      </c>
      <c r="AI355">
        <v>1</v>
      </c>
    </row>
    <row r="356" spans="1:35" hidden="1" x14ac:dyDescent="0.25">
      <c r="A356">
        <v>2023</v>
      </c>
      <c r="B356" s="1">
        <v>45048</v>
      </c>
      <c r="C356">
        <v>3</v>
      </c>
      <c r="D356">
        <v>19223</v>
      </c>
      <c r="E356">
        <v>24584</v>
      </c>
      <c r="F356" t="s">
        <v>82</v>
      </c>
      <c r="G356" t="s">
        <v>38</v>
      </c>
      <c r="H356" t="s">
        <v>341</v>
      </c>
      <c r="I356" t="s">
        <v>316</v>
      </c>
      <c r="J356">
        <v>9</v>
      </c>
      <c r="K356">
        <v>16</v>
      </c>
      <c r="L356">
        <v>5020</v>
      </c>
      <c r="M356">
        <v>2225</v>
      </c>
      <c r="N356" t="s">
        <v>228</v>
      </c>
      <c r="O356">
        <v>27</v>
      </c>
      <c r="P356">
        <v>0</v>
      </c>
      <c r="Q356">
        <v>1</v>
      </c>
      <c r="R356">
        <v>0</v>
      </c>
      <c r="S356">
        <v>1</v>
      </c>
      <c r="T356">
        <v>7</v>
      </c>
      <c r="U356">
        <v>6</v>
      </c>
      <c r="V356">
        <v>19</v>
      </c>
      <c r="W356">
        <v>19</v>
      </c>
      <c r="X356">
        <v>18</v>
      </c>
      <c r="Y356">
        <v>18</v>
      </c>
      <c r="Z356">
        <v>5</v>
      </c>
      <c r="AA356">
        <v>6</v>
      </c>
      <c r="AB356">
        <v>5</v>
      </c>
      <c r="AC356">
        <v>0</v>
      </c>
      <c r="AD356">
        <v>15</v>
      </c>
      <c r="AE356">
        <v>12</v>
      </c>
      <c r="AF356">
        <v>6</v>
      </c>
      <c r="AG356">
        <v>4</v>
      </c>
      <c r="AH356">
        <v>-1</v>
      </c>
      <c r="AI356">
        <v>0</v>
      </c>
    </row>
    <row r="357" spans="1:35" hidden="1" x14ac:dyDescent="0.25">
      <c r="A357">
        <v>2023</v>
      </c>
      <c r="B357" s="1">
        <v>45060</v>
      </c>
      <c r="C357">
        <v>6</v>
      </c>
      <c r="D357">
        <v>19108</v>
      </c>
      <c r="E357">
        <v>24584</v>
      </c>
      <c r="F357" t="s">
        <v>82</v>
      </c>
      <c r="G357" t="s">
        <v>326</v>
      </c>
      <c r="H357" t="s">
        <v>341</v>
      </c>
      <c r="I357" t="s">
        <v>328</v>
      </c>
      <c r="J357">
        <v>16</v>
      </c>
      <c r="K357">
        <v>7</v>
      </c>
      <c r="L357">
        <v>3490</v>
      </c>
      <c r="M357">
        <v>2940</v>
      </c>
      <c r="N357" t="s">
        <v>60</v>
      </c>
      <c r="O357" t="s">
        <v>217</v>
      </c>
      <c r="P357">
        <v>0</v>
      </c>
      <c r="Q357">
        <v>1</v>
      </c>
      <c r="R357">
        <v>0</v>
      </c>
      <c r="S357">
        <v>1</v>
      </c>
      <c r="T357">
        <v>14</v>
      </c>
      <c r="U357">
        <v>1</v>
      </c>
      <c r="V357">
        <v>14</v>
      </c>
      <c r="W357">
        <v>12</v>
      </c>
      <c r="X357">
        <v>12</v>
      </c>
      <c r="Y357">
        <v>14</v>
      </c>
      <c r="Z357">
        <v>0</v>
      </c>
      <c r="AA357">
        <v>9</v>
      </c>
      <c r="AB357">
        <v>0</v>
      </c>
      <c r="AC357">
        <v>3</v>
      </c>
      <c r="AD357">
        <v>23</v>
      </c>
      <c r="AE357">
        <v>6</v>
      </c>
      <c r="AF357">
        <v>10</v>
      </c>
      <c r="AG357">
        <v>3</v>
      </c>
      <c r="AH357">
        <v>-1</v>
      </c>
      <c r="AI357">
        <v>0</v>
      </c>
    </row>
    <row r="358" spans="1:35" hidden="1" x14ac:dyDescent="0.25">
      <c r="A358">
        <v>2023</v>
      </c>
      <c r="B358" s="1">
        <v>45100</v>
      </c>
      <c r="C358">
        <v>11</v>
      </c>
      <c r="D358">
        <v>17647</v>
      </c>
      <c r="E358">
        <v>24584</v>
      </c>
      <c r="F358" t="s">
        <v>82</v>
      </c>
      <c r="G358" t="s">
        <v>313</v>
      </c>
      <c r="H358" t="s">
        <v>341</v>
      </c>
      <c r="I358" t="s">
        <v>314</v>
      </c>
      <c r="J358">
        <v>19</v>
      </c>
      <c r="K358">
        <v>17</v>
      </c>
      <c r="L358">
        <v>3610</v>
      </c>
      <c r="M358">
        <v>1030</v>
      </c>
      <c r="N358" t="s">
        <v>348</v>
      </c>
      <c r="O358" t="s">
        <v>107</v>
      </c>
      <c r="P358">
        <v>0</v>
      </c>
      <c r="Q358">
        <v>1</v>
      </c>
      <c r="R358">
        <v>0</v>
      </c>
      <c r="S358">
        <v>0</v>
      </c>
      <c r="T358">
        <v>8</v>
      </c>
      <c r="U358">
        <v>2</v>
      </c>
      <c r="V358">
        <v>20</v>
      </c>
      <c r="W358">
        <v>24</v>
      </c>
      <c r="X358">
        <v>19</v>
      </c>
      <c r="Y358">
        <v>17</v>
      </c>
      <c r="Z358">
        <v>0</v>
      </c>
      <c r="AA358">
        <v>4</v>
      </c>
      <c r="AB358">
        <v>4</v>
      </c>
      <c r="AC358">
        <v>3</v>
      </c>
      <c r="AD358">
        <v>21</v>
      </c>
      <c r="AE358">
        <v>8</v>
      </c>
      <c r="AF358">
        <v>10</v>
      </c>
      <c r="AG358">
        <v>6</v>
      </c>
      <c r="AH358">
        <v>-1</v>
      </c>
      <c r="AI358">
        <v>0</v>
      </c>
    </row>
    <row r="359" spans="1:35" hidden="1" x14ac:dyDescent="0.25">
      <c r="A359">
        <v>2023</v>
      </c>
      <c r="B359" s="1">
        <v>45115</v>
      </c>
      <c r="C359">
        <v>14</v>
      </c>
      <c r="D359">
        <v>0</v>
      </c>
      <c r="E359">
        <v>24584</v>
      </c>
      <c r="F359" t="s">
        <v>82</v>
      </c>
      <c r="G359" t="s">
        <v>50</v>
      </c>
      <c r="H359" t="s">
        <v>331</v>
      </c>
      <c r="I359" t="s">
        <v>335</v>
      </c>
      <c r="J359">
        <v>19</v>
      </c>
      <c r="K359">
        <v>9</v>
      </c>
      <c r="L359">
        <v>2400</v>
      </c>
      <c r="M359">
        <v>1690</v>
      </c>
      <c r="N359" t="s">
        <v>228</v>
      </c>
      <c r="O359" t="s">
        <v>163</v>
      </c>
      <c r="P359">
        <v>0</v>
      </c>
      <c r="Q359">
        <v>1</v>
      </c>
      <c r="R359">
        <v>0</v>
      </c>
      <c r="S359">
        <v>1</v>
      </c>
      <c r="T359">
        <v>4</v>
      </c>
      <c r="U359">
        <v>6</v>
      </c>
      <c r="V359">
        <v>7</v>
      </c>
      <c r="W359">
        <v>18</v>
      </c>
      <c r="X359">
        <v>17</v>
      </c>
      <c r="Y359">
        <v>7</v>
      </c>
      <c r="Z359">
        <v>4</v>
      </c>
      <c r="AA359">
        <v>1</v>
      </c>
      <c r="AB359">
        <v>3</v>
      </c>
      <c r="AC359">
        <v>1</v>
      </c>
      <c r="AD359">
        <v>9</v>
      </c>
      <c r="AE359">
        <v>7</v>
      </c>
      <c r="AF359">
        <v>7</v>
      </c>
      <c r="AG359">
        <v>0</v>
      </c>
      <c r="AH359">
        <v>-1</v>
      </c>
      <c r="AI359">
        <v>0</v>
      </c>
    </row>
    <row r="360" spans="1:35" hidden="1" x14ac:dyDescent="0.25">
      <c r="A360">
        <v>2023</v>
      </c>
      <c r="B360" s="1">
        <v>45191</v>
      </c>
      <c r="C360">
        <v>24</v>
      </c>
      <c r="D360">
        <v>20321</v>
      </c>
      <c r="E360">
        <v>24584</v>
      </c>
      <c r="F360" t="s">
        <v>82</v>
      </c>
      <c r="G360" t="s">
        <v>321</v>
      </c>
      <c r="H360" t="s">
        <v>84</v>
      </c>
      <c r="I360" t="s">
        <v>322</v>
      </c>
      <c r="J360">
        <v>15</v>
      </c>
      <c r="K360">
        <v>20</v>
      </c>
      <c r="L360">
        <v>2800</v>
      </c>
      <c r="M360">
        <v>1515</v>
      </c>
      <c r="N360" t="s">
        <v>123</v>
      </c>
      <c r="O360" t="s">
        <v>174</v>
      </c>
      <c r="P360">
        <v>5</v>
      </c>
      <c r="Q360">
        <v>1</v>
      </c>
      <c r="R360">
        <v>2</v>
      </c>
      <c r="S360">
        <v>0</v>
      </c>
      <c r="T360">
        <v>6</v>
      </c>
      <c r="U360">
        <v>0</v>
      </c>
      <c r="V360">
        <v>10</v>
      </c>
      <c r="W360">
        <v>15</v>
      </c>
      <c r="X360">
        <v>14</v>
      </c>
      <c r="Y360">
        <v>10</v>
      </c>
      <c r="Z360">
        <v>2</v>
      </c>
      <c r="AA360">
        <v>7</v>
      </c>
      <c r="AB360">
        <v>1</v>
      </c>
      <c r="AC360">
        <v>2</v>
      </c>
      <c r="AD360">
        <v>19</v>
      </c>
      <c r="AE360">
        <v>8</v>
      </c>
      <c r="AF360">
        <v>3</v>
      </c>
      <c r="AG360">
        <v>4</v>
      </c>
      <c r="AH360">
        <v>4</v>
      </c>
      <c r="AI360">
        <v>1</v>
      </c>
    </row>
    <row r="361" spans="1:35" hidden="1" x14ac:dyDescent="0.25">
      <c r="A361">
        <v>2023</v>
      </c>
      <c r="B361" s="1">
        <v>45242</v>
      </c>
      <c r="C361">
        <v>34</v>
      </c>
      <c r="D361">
        <v>19478</v>
      </c>
      <c r="E361">
        <v>24584</v>
      </c>
      <c r="F361" t="s">
        <v>82</v>
      </c>
      <c r="G361" t="s">
        <v>310</v>
      </c>
      <c r="J361">
        <v>15</v>
      </c>
      <c r="K361">
        <v>20</v>
      </c>
      <c r="L361">
        <v>2345</v>
      </c>
      <c r="M361">
        <v>730</v>
      </c>
      <c r="N361" t="s">
        <v>100</v>
      </c>
      <c r="O361">
        <v>30</v>
      </c>
      <c r="P361">
        <v>2</v>
      </c>
      <c r="Q361">
        <v>1</v>
      </c>
      <c r="R361">
        <v>1</v>
      </c>
      <c r="S361">
        <v>1</v>
      </c>
      <c r="T361">
        <v>7</v>
      </c>
      <c r="U361">
        <v>8</v>
      </c>
      <c r="V361">
        <v>13</v>
      </c>
      <c r="W361">
        <v>12</v>
      </c>
      <c r="X361">
        <v>11</v>
      </c>
      <c r="Y361">
        <v>11</v>
      </c>
      <c r="Z361">
        <v>5</v>
      </c>
      <c r="AA361">
        <v>4</v>
      </c>
      <c r="AB361">
        <v>0</v>
      </c>
      <c r="AC361">
        <v>0</v>
      </c>
      <c r="AD361">
        <v>17</v>
      </c>
      <c r="AE361">
        <v>16</v>
      </c>
      <c r="AF361">
        <v>8</v>
      </c>
      <c r="AG361">
        <v>5</v>
      </c>
      <c r="AH361">
        <v>1</v>
      </c>
      <c r="AI361">
        <v>1</v>
      </c>
    </row>
    <row r="362" spans="1:35" hidden="1" x14ac:dyDescent="0.25">
      <c r="A362">
        <v>2023</v>
      </c>
      <c r="B362" s="1">
        <v>45267</v>
      </c>
      <c r="C362">
        <v>38</v>
      </c>
      <c r="D362">
        <v>20037</v>
      </c>
      <c r="E362">
        <v>24584</v>
      </c>
      <c r="F362" t="s">
        <v>82</v>
      </c>
      <c r="G362" t="s">
        <v>56</v>
      </c>
      <c r="H362" t="s">
        <v>84</v>
      </c>
      <c r="I362" t="s">
        <v>58</v>
      </c>
      <c r="J362">
        <v>15</v>
      </c>
      <c r="K362">
        <v>6</v>
      </c>
      <c r="L362">
        <v>3075</v>
      </c>
      <c r="M362">
        <v>4030</v>
      </c>
      <c r="N362" t="s">
        <v>123</v>
      </c>
      <c r="O362" t="s">
        <v>332</v>
      </c>
      <c r="P362">
        <v>2</v>
      </c>
      <c r="Q362">
        <v>1</v>
      </c>
      <c r="R362">
        <v>1</v>
      </c>
      <c r="S362">
        <v>0</v>
      </c>
      <c r="T362">
        <v>2</v>
      </c>
      <c r="U362">
        <v>3</v>
      </c>
      <c r="V362">
        <v>8</v>
      </c>
      <c r="W362">
        <v>14</v>
      </c>
      <c r="X362">
        <v>11</v>
      </c>
      <c r="Y362">
        <v>7</v>
      </c>
      <c r="Z362">
        <v>1</v>
      </c>
      <c r="AA362">
        <v>4</v>
      </c>
      <c r="AB362">
        <v>0</v>
      </c>
      <c r="AC362">
        <v>1</v>
      </c>
      <c r="AD362">
        <v>13</v>
      </c>
      <c r="AE362">
        <v>9</v>
      </c>
      <c r="AF362">
        <v>4</v>
      </c>
      <c r="AG362">
        <v>3</v>
      </c>
      <c r="AH362">
        <v>1</v>
      </c>
      <c r="AI362">
        <v>1</v>
      </c>
    </row>
    <row r="363" spans="1:35" hidden="1" x14ac:dyDescent="0.25">
      <c r="A363">
        <v>2023</v>
      </c>
      <c r="B363" s="1">
        <v>45234</v>
      </c>
      <c r="C363">
        <v>32</v>
      </c>
      <c r="D363">
        <v>5706</v>
      </c>
      <c r="E363">
        <v>53000</v>
      </c>
      <c r="F363" t="s">
        <v>310</v>
      </c>
      <c r="G363" t="s">
        <v>89</v>
      </c>
      <c r="H363" t="s">
        <v>344</v>
      </c>
      <c r="I363" t="s">
        <v>336</v>
      </c>
      <c r="J363">
        <v>20</v>
      </c>
      <c r="K363">
        <v>6</v>
      </c>
      <c r="L363">
        <v>620</v>
      </c>
      <c r="M363">
        <v>5090</v>
      </c>
      <c r="N363" t="s">
        <v>205</v>
      </c>
      <c r="O363" t="s">
        <v>137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4</v>
      </c>
      <c r="V363">
        <v>11</v>
      </c>
      <c r="W363">
        <v>20</v>
      </c>
      <c r="X363">
        <v>19</v>
      </c>
      <c r="Y363">
        <v>11</v>
      </c>
      <c r="Z363">
        <v>4</v>
      </c>
      <c r="AA363">
        <v>3</v>
      </c>
      <c r="AB363">
        <v>0</v>
      </c>
      <c r="AC363">
        <v>2</v>
      </c>
      <c r="AD363">
        <v>12</v>
      </c>
      <c r="AE363">
        <v>15</v>
      </c>
      <c r="AF363">
        <v>5</v>
      </c>
      <c r="AG363">
        <v>7</v>
      </c>
      <c r="AH363">
        <v>0</v>
      </c>
      <c r="AI363">
        <v>0</v>
      </c>
    </row>
    <row r="364" spans="1:35" hidden="1" x14ac:dyDescent="0.25">
      <c r="A364">
        <v>2023</v>
      </c>
      <c r="B364" s="1">
        <v>45032</v>
      </c>
      <c r="C364">
        <v>1</v>
      </c>
      <c r="D364">
        <v>41304</v>
      </c>
      <c r="E364">
        <v>49205</v>
      </c>
      <c r="F364" t="s">
        <v>88</v>
      </c>
      <c r="G364" t="s">
        <v>50</v>
      </c>
      <c r="H364" t="s">
        <v>349</v>
      </c>
      <c r="I364" t="s">
        <v>335</v>
      </c>
      <c r="J364">
        <v>7</v>
      </c>
      <c r="K364">
        <v>13</v>
      </c>
      <c r="L364">
        <v>5120</v>
      </c>
      <c r="M364">
        <v>2090</v>
      </c>
      <c r="N364" t="s">
        <v>41</v>
      </c>
      <c r="O364" t="s">
        <v>100</v>
      </c>
      <c r="P364">
        <v>2</v>
      </c>
      <c r="Q364">
        <v>1</v>
      </c>
      <c r="R364">
        <v>0</v>
      </c>
      <c r="S364">
        <v>0</v>
      </c>
      <c r="T364">
        <v>7</v>
      </c>
      <c r="U364">
        <v>4</v>
      </c>
      <c r="V364">
        <v>14</v>
      </c>
      <c r="W364">
        <v>12</v>
      </c>
      <c r="X364">
        <v>11</v>
      </c>
      <c r="Y364">
        <v>14</v>
      </c>
      <c r="Z364">
        <v>1</v>
      </c>
      <c r="AA364">
        <v>5</v>
      </c>
      <c r="AB364">
        <v>4</v>
      </c>
      <c r="AC364">
        <v>3</v>
      </c>
      <c r="AD364">
        <v>12</v>
      </c>
      <c r="AE364">
        <v>8</v>
      </c>
      <c r="AF364">
        <v>4</v>
      </c>
      <c r="AG364">
        <v>3</v>
      </c>
      <c r="AH364">
        <v>1</v>
      </c>
      <c r="AI364">
        <v>1</v>
      </c>
    </row>
    <row r="365" spans="1:35" hidden="1" x14ac:dyDescent="0.25">
      <c r="A365">
        <v>2023</v>
      </c>
      <c r="B365" s="1">
        <v>45055</v>
      </c>
      <c r="C365">
        <v>4</v>
      </c>
      <c r="D365">
        <v>36512</v>
      </c>
      <c r="E365">
        <v>49205</v>
      </c>
      <c r="F365" t="s">
        <v>88</v>
      </c>
      <c r="G365" t="s">
        <v>63</v>
      </c>
      <c r="H365" t="s">
        <v>317</v>
      </c>
      <c r="I365" t="s">
        <v>65</v>
      </c>
      <c r="J365">
        <v>15</v>
      </c>
      <c r="K365">
        <v>4</v>
      </c>
      <c r="L365">
        <v>3340</v>
      </c>
      <c r="M365">
        <v>1310</v>
      </c>
      <c r="N365" t="s">
        <v>168</v>
      </c>
      <c r="O365" t="s">
        <v>200</v>
      </c>
      <c r="P365">
        <v>1</v>
      </c>
      <c r="Q365">
        <v>1</v>
      </c>
      <c r="R365">
        <v>0</v>
      </c>
      <c r="S365">
        <v>0</v>
      </c>
      <c r="T365">
        <v>5</v>
      </c>
      <c r="U365">
        <v>5</v>
      </c>
      <c r="V365">
        <v>6</v>
      </c>
      <c r="W365">
        <v>9</v>
      </c>
      <c r="X365">
        <v>9</v>
      </c>
      <c r="Y365">
        <v>6</v>
      </c>
      <c r="Z365">
        <v>1</v>
      </c>
      <c r="AA365">
        <v>7</v>
      </c>
      <c r="AB365">
        <v>3</v>
      </c>
      <c r="AC365">
        <v>2</v>
      </c>
      <c r="AD365">
        <v>21</v>
      </c>
      <c r="AE365">
        <v>16</v>
      </c>
      <c r="AF365">
        <v>10</v>
      </c>
      <c r="AG365">
        <v>7</v>
      </c>
      <c r="AH365">
        <v>0</v>
      </c>
      <c r="AI365">
        <v>0</v>
      </c>
    </row>
    <row r="366" spans="1:35" hidden="1" x14ac:dyDescent="0.25">
      <c r="A366">
        <v>2023</v>
      </c>
      <c r="B366" s="1">
        <v>45060</v>
      </c>
      <c r="C366">
        <v>6</v>
      </c>
      <c r="D366">
        <v>41434</v>
      </c>
      <c r="E366">
        <v>49205</v>
      </c>
      <c r="F366" t="s">
        <v>88</v>
      </c>
      <c r="G366" t="s">
        <v>62</v>
      </c>
      <c r="H366" t="s">
        <v>317</v>
      </c>
      <c r="I366" t="s">
        <v>315</v>
      </c>
      <c r="J366">
        <v>17</v>
      </c>
      <c r="K366">
        <v>10</v>
      </c>
      <c r="L366">
        <v>4785</v>
      </c>
      <c r="M366">
        <v>2590</v>
      </c>
      <c r="N366" t="s">
        <v>168</v>
      </c>
      <c r="O366" t="s">
        <v>137</v>
      </c>
      <c r="P366">
        <v>1</v>
      </c>
      <c r="Q366">
        <v>1</v>
      </c>
      <c r="R366">
        <v>1</v>
      </c>
      <c r="S366">
        <v>1</v>
      </c>
      <c r="T366">
        <v>5</v>
      </c>
      <c r="U366">
        <v>4</v>
      </c>
      <c r="V366">
        <v>16</v>
      </c>
      <c r="W366">
        <v>18</v>
      </c>
      <c r="X366">
        <v>18</v>
      </c>
      <c r="Y366">
        <v>15</v>
      </c>
      <c r="Z366">
        <v>0</v>
      </c>
      <c r="AA366">
        <v>2</v>
      </c>
      <c r="AB366">
        <v>0</v>
      </c>
      <c r="AC366">
        <v>2</v>
      </c>
      <c r="AD366">
        <v>7</v>
      </c>
      <c r="AE366">
        <v>7</v>
      </c>
      <c r="AF366">
        <v>4</v>
      </c>
      <c r="AG366">
        <v>2</v>
      </c>
      <c r="AH366">
        <v>0</v>
      </c>
      <c r="AI366">
        <v>0</v>
      </c>
    </row>
    <row r="367" spans="1:35" hidden="1" x14ac:dyDescent="0.25">
      <c r="A367">
        <v>2023</v>
      </c>
      <c r="B367" s="1">
        <v>45087</v>
      </c>
      <c r="C367">
        <v>10</v>
      </c>
      <c r="D367">
        <v>40512</v>
      </c>
      <c r="E367">
        <v>49205</v>
      </c>
      <c r="F367" t="s">
        <v>88</v>
      </c>
      <c r="G367" t="s">
        <v>70</v>
      </c>
      <c r="H367" t="s">
        <v>317</v>
      </c>
      <c r="I367" t="s">
        <v>90</v>
      </c>
      <c r="J367">
        <v>16</v>
      </c>
      <c r="K367">
        <v>14</v>
      </c>
      <c r="L367">
        <v>3625</v>
      </c>
      <c r="M367">
        <v>708</v>
      </c>
      <c r="N367" t="s">
        <v>80</v>
      </c>
      <c r="O367" t="s">
        <v>135</v>
      </c>
      <c r="P367">
        <v>1</v>
      </c>
      <c r="Q367">
        <v>1</v>
      </c>
      <c r="R367">
        <v>0</v>
      </c>
      <c r="S367">
        <v>0</v>
      </c>
      <c r="T367">
        <v>8</v>
      </c>
      <c r="U367">
        <v>6</v>
      </c>
      <c r="V367">
        <v>11</v>
      </c>
      <c r="W367">
        <v>13</v>
      </c>
      <c r="X367">
        <v>13</v>
      </c>
      <c r="Y367">
        <v>10</v>
      </c>
      <c r="Z367">
        <v>1</v>
      </c>
      <c r="AA367">
        <v>6</v>
      </c>
      <c r="AB367">
        <v>1</v>
      </c>
      <c r="AC367">
        <v>1</v>
      </c>
      <c r="AD367">
        <v>24</v>
      </c>
      <c r="AE367">
        <v>10</v>
      </c>
      <c r="AF367">
        <v>10</v>
      </c>
      <c r="AG367">
        <v>3</v>
      </c>
      <c r="AH367">
        <v>0</v>
      </c>
      <c r="AI367">
        <v>0</v>
      </c>
    </row>
    <row r="368" spans="1:35" hidden="1" x14ac:dyDescent="0.25">
      <c r="A368">
        <v>2023</v>
      </c>
      <c r="B368" s="1">
        <v>45109</v>
      </c>
      <c r="C368">
        <v>13</v>
      </c>
      <c r="D368">
        <v>42404</v>
      </c>
      <c r="E368">
        <v>49205</v>
      </c>
      <c r="F368" t="s">
        <v>88</v>
      </c>
      <c r="G368" t="s">
        <v>56</v>
      </c>
      <c r="H368" t="s">
        <v>317</v>
      </c>
      <c r="I368" t="s">
        <v>58</v>
      </c>
      <c r="J368">
        <v>16</v>
      </c>
      <c r="K368">
        <v>5</v>
      </c>
      <c r="L368">
        <v>3875</v>
      </c>
      <c r="M368">
        <v>2600</v>
      </c>
      <c r="N368" t="s">
        <v>99</v>
      </c>
      <c r="O368" t="s">
        <v>221</v>
      </c>
      <c r="P368">
        <v>0</v>
      </c>
      <c r="Q368">
        <v>1</v>
      </c>
      <c r="R368">
        <v>0</v>
      </c>
      <c r="S368">
        <v>1</v>
      </c>
      <c r="T368">
        <v>4</v>
      </c>
      <c r="U368">
        <v>2</v>
      </c>
      <c r="V368">
        <v>15</v>
      </c>
      <c r="W368">
        <v>17</v>
      </c>
      <c r="X368">
        <v>17</v>
      </c>
      <c r="Y368">
        <v>15</v>
      </c>
      <c r="Z368">
        <v>4</v>
      </c>
      <c r="AA368">
        <v>4</v>
      </c>
      <c r="AB368">
        <v>5</v>
      </c>
      <c r="AC368">
        <v>1</v>
      </c>
      <c r="AD368">
        <v>12</v>
      </c>
      <c r="AE368">
        <v>10</v>
      </c>
      <c r="AF368">
        <v>4</v>
      </c>
      <c r="AG368">
        <v>5</v>
      </c>
      <c r="AH368">
        <v>-1</v>
      </c>
      <c r="AI368">
        <v>0</v>
      </c>
    </row>
    <row r="369" spans="1:35" hidden="1" x14ac:dyDescent="0.25">
      <c r="A369">
        <v>2023</v>
      </c>
      <c r="B369" s="1">
        <v>45136</v>
      </c>
      <c r="C369">
        <v>17</v>
      </c>
      <c r="D369">
        <v>0</v>
      </c>
      <c r="E369">
        <v>49205</v>
      </c>
      <c r="F369" t="s">
        <v>88</v>
      </c>
      <c r="G369" t="s">
        <v>82</v>
      </c>
      <c r="H369" t="s">
        <v>317</v>
      </c>
      <c r="I369" t="s">
        <v>84</v>
      </c>
      <c r="J369">
        <v>14</v>
      </c>
      <c r="K369">
        <v>19</v>
      </c>
      <c r="L369">
        <v>4690</v>
      </c>
      <c r="M369">
        <v>3690</v>
      </c>
      <c r="N369" t="s">
        <v>100</v>
      </c>
      <c r="O369" t="s">
        <v>239</v>
      </c>
      <c r="P369">
        <v>3</v>
      </c>
      <c r="Q369">
        <v>1</v>
      </c>
      <c r="R369">
        <v>1</v>
      </c>
      <c r="S369">
        <v>0</v>
      </c>
      <c r="T369">
        <v>0</v>
      </c>
      <c r="U369">
        <v>6</v>
      </c>
      <c r="V369">
        <v>12</v>
      </c>
      <c r="W369">
        <v>11</v>
      </c>
      <c r="X369">
        <v>10</v>
      </c>
      <c r="Y369">
        <v>12</v>
      </c>
      <c r="Z369">
        <v>4</v>
      </c>
      <c r="AA369">
        <v>3</v>
      </c>
      <c r="AB369">
        <v>0</v>
      </c>
      <c r="AC369">
        <v>0</v>
      </c>
      <c r="AD369">
        <v>12</v>
      </c>
      <c r="AE369">
        <v>23</v>
      </c>
      <c r="AF369">
        <v>3</v>
      </c>
      <c r="AG369">
        <v>13</v>
      </c>
      <c r="AH369">
        <v>2</v>
      </c>
      <c r="AI369">
        <v>1</v>
      </c>
    </row>
    <row r="370" spans="1:35" hidden="1" x14ac:dyDescent="0.25">
      <c r="A370">
        <v>2023</v>
      </c>
      <c r="B370" s="1">
        <v>45151</v>
      </c>
      <c r="C370">
        <v>19</v>
      </c>
      <c r="D370">
        <v>42171</v>
      </c>
      <c r="E370">
        <v>49205</v>
      </c>
      <c r="F370" t="s">
        <v>88</v>
      </c>
      <c r="G370" t="s">
        <v>321</v>
      </c>
      <c r="H370" t="s">
        <v>317</v>
      </c>
      <c r="I370" t="s">
        <v>322</v>
      </c>
      <c r="J370">
        <v>13</v>
      </c>
      <c r="K370">
        <v>19</v>
      </c>
      <c r="L370">
        <v>3630</v>
      </c>
      <c r="M370">
        <v>1475</v>
      </c>
      <c r="N370" t="s">
        <v>129</v>
      </c>
      <c r="O370" t="s">
        <v>86</v>
      </c>
      <c r="P370">
        <v>3</v>
      </c>
      <c r="Q370">
        <v>1</v>
      </c>
      <c r="R370">
        <v>0</v>
      </c>
      <c r="S370">
        <v>1</v>
      </c>
      <c r="T370">
        <v>4</v>
      </c>
      <c r="U370">
        <v>2</v>
      </c>
      <c r="V370">
        <v>17</v>
      </c>
      <c r="W370">
        <v>13</v>
      </c>
      <c r="X370">
        <v>13</v>
      </c>
      <c r="Y370">
        <v>17</v>
      </c>
      <c r="Z370">
        <v>3</v>
      </c>
      <c r="AA370">
        <v>5</v>
      </c>
      <c r="AB370">
        <v>2</v>
      </c>
      <c r="AC370">
        <v>0</v>
      </c>
      <c r="AD370">
        <v>17</v>
      </c>
      <c r="AE370">
        <v>12</v>
      </c>
      <c r="AF370">
        <v>7</v>
      </c>
      <c r="AG370">
        <v>5</v>
      </c>
      <c r="AH370">
        <v>2</v>
      </c>
      <c r="AI370">
        <v>1</v>
      </c>
    </row>
    <row r="371" spans="1:35" hidden="1" x14ac:dyDescent="0.25">
      <c r="A371">
        <v>2023</v>
      </c>
      <c r="B371" s="1">
        <v>45165</v>
      </c>
      <c r="C371">
        <v>21</v>
      </c>
      <c r="D371">
        <v>37316</v>
      </c>
      <c r="E371">
        <v>49205</v>
      </c>
      <c r="F371" t="s">
        <v>88</v>
      </c>
      <c r="G371" t="s">
        <v>313</v>
      </c>
      <c r="H371" t="s">
        <v>317</v>
      </c>
      <c r="I371" t="s">
        <v>314</v>
      </c>
      <c r="J371">
        <v>12</v>
      </c>
      <c r="K371">
        <v>15</v>
      </c>
      <c r="L371">
        <v>3305</v>
      </c>
      <c r="M371">
        <v>963</v>
      </c>
      <c r="N371" t="s">
        <v>332</v>
      </c>
      <c r="O371" t="s">
        <v>137</v>
      </c>
      <c r="P371">
        <v>1</v>
      </c>
      <c r="Q371">
        <v>1</v>
      </c>
      <c r="R371">
        <v>0</v>
      </c>
      <c r="S371">
        <v>0</v>
      </c>
      <c r="T371">
        <v>7</v>
      </c>
      <c r="U371">
        <v>6</v>
      </c>
      <c r="V371">
        <v>16</v>
      </c>
      <c r="W371">
        <v>15</v>
      </c>
      <c r="X371">
        <v>13</v>
      </c>
      <c r="Y371">
        <v>16</v>
      </c>
      <c r="Z371">
        <v>3</v>
      </c>
      <c r="AA371">
        <v>6</v>
      </c>
      <c r="AB371">
        <v>0</v>
      </c>
      <c r="AC371">
        <v>0</v>
      </c>
      <c r="AD371">
        <v>20</v>
      </c>
      <c r="AE371">
        <v>19</v>
      </c>
      <c r="AF371">
        <v>3</v>
      </c>
      <c r="AG371">
        <v>8</v>
      </c>
      <c r="AH371">
        <v>0</v>
      </c>
      <c r="AI371">
        <v>0</v>
      </c>
    </row>
    <row r="372" spans="1:35" hidden="1" x14ac:dyDescent="0.25">
      <c r="A372">
        <v>2023</v>
      </c>
      <c r="B372" s="1">
        <v>45207</v>
      </c>
      <c r="C372">
        <v>26</v>
      </c>
      <c r="D372">
        <v>40800</v>
      </c>
      <c r="E372">
        <v>49205</v>
      </c>
      <c r="F372" t="s">
        <v>88</v>
      </c>
      <c r="G372" t="s">
        <v>77</v>
      </c>
      <c r="H372" t="s">
        <v>240</v>
      </c>
      <c r="I372" t="s">
        <v>346</v>
      </c>
      <c r="J372">
        <v>14</v>
      </c>
      <c r="K372">
        <v>5</v>
      </c>
      <c r="L372">
        <v>4440</v>
      </c>
      <c r="M372">
        <v>7900</v>
      </c>
      <c r="N372" t="s">
        <v>137</v>
      </c>
      <c r="O372" t="s">
        <v>98</v>
      </c>
      <c r="P372">
        <v>1</v>
      </c>
      <c r="Q372">
        <v>1</v>
      </c>
      <c r="R372">
        <v>0</v>
      </c>
      <c r="S372">
        <v>0</v>
      </c>
      <c r="T372">
        <v>2</v>
      </c>
      <c r="U372">
        <v>8</v>
      </c>
      <c r="V372">
        <v>5</v>
      </c>
      <c r="W372">
        <v>13</v>
      </c>
      <c r="X372">
        <v>10</v>
      </c>
      <c r="Y372">
        <v>5</v>
      </c>
      <c r="Z372">
        <v>6</v>
      </c>
      <c r="AA372">
        <v>4</v>
      </c>
      <c r="AB372">
        <v>2</v>
      </c>
      <c r="AC372">
        <v>0</v>
      </c>
      <c r="AD372">
        <v>14</v>
      </c>
      <c r="AE372">
        <v>20</v>
      </c>
      <c r="AF372">
        <v>4</v>
      </c>
      <c r="AG372">
        <v>5</v>
      </c>
      <c r="AH372">
        <v>0</v>
      </c>
      <c r="AI372">
        <v>0</v>
      </c>
    </row>
    <row r="373" spans="1:35" hidden="1" x14ac:dyDescent="0.25">
      <c r="A373">
        <v>2023</v>
      </c>
      <c r="B373" s="1">
        <v>45221</v>
      </c>
      <c r="C373">
        <v>28</v>
      </c>
      <c r="D373">
        <v>38121</v>
      </c>
      <c r="E373">
        <v>49205</v>
      </c>
      <c r="F373" t="s">
        <v>88</v>
      </c>
      <c r="G373" t="s">
        <v>310</v>
      </c>
      <c r="H373" t="s">
        <v>240</v>
      </c>
      <c r="I373" t="s">
        <v>344</v>
      </c>
      <c r="J373">
        <v>15</v>
      </c>
      <c r="K373">
        <v>20</v>
      </c>
      <c r="L373">
        <v>4360</v>
      </c>
      <c r="M373">
        <v>785</v>
      </c>
      <c r="N373" t="s">
        <v>114</v>
      </c>
      <c r="O373" t="s">
        <v>208</v>
      </c>
      <c r="P373">
        <v>1</v>
      </c>
      <c r="Q373">
        <v>1</v>
      </c>
      <c r="R373">
        <v>0</v>
      </c>
      <c r="S373">
        <v>1</v>
      </c>
      <c r="T373">
        <v>4</v>
      </c>
      <c r="U373">
        <v>4</v>
      </c>
      <c r="V373">
        <v>15</v>
      </c>
      <c r="W373">
        <v>13</v>
      </c>
      <c r="X373">
        <v>12</v>
      </c>
      <c r="Y373">
        <v>15</v>
      </c>
      <c r="Z373">
        <v>3</v>
      </c>
      <c r="AA373">
        <v>5</v>
      </c>
      <c r="AB373">
        <v>1</v>
      </c>
      <c r="AC373">
        <v>0</v>
      </c>
      <c r="AD373">
        <v>20</v>
      </c>
      <c r="AE373">
        <v>13</v>
      </c>
      <c r="AF373">
        <v>7</v>
      </c>
      <c r="AG373">
        <v>8</v>
      </c>
      <c r="AH373">
        <v>0</v>
      </c>
      <c r="AI373">
        <v>0</v>
      </c>
    </row>
    <row r="374" spans="1:35" hidden="1" x14ac:dyDescent="0.25">
      <c r="A374">
        <v>2023</v>
      </c>
      <c r="B374" s="1">
        <v>45228</v>
      </c>
      <c r="C374">
        <v>30</v>
      </c>
      <c r="D374">
        <v>42248</v>
      </c>
      <c r="E374">
        <v>49205</v>
      </c>
      <c r="F374" t="s">
        <v>88</v>
      </c>
      <c r="G374" t="s">
        <v>326</v>
      </c>
      <c r="H374" t="s">
        <v>240</v>
      </c>
      <c r="I374" t="s">
        <v>338</v>
      </c>
      <c r="J374">
        <v>14</v>
      </c>
      <c r="K374">
        <v>16</v>
      </c>
      <c r="L374">
        <v>4050</v>
      </c>
      <c r="M374">
        <v>4140</v>
      </c>
      <c r="N374" t="s">
        <v>179</v>
      </c>
      <c r="O374">
        <v>28</v>
      </c>
      <c r="P374">
        <v>1</v>
      </c>
      <c r="Q374">
        <v>1</v>
      </c>
      <c r="R374">
        <v>0</v>
      </c>
      <c r="S374">
        <v>0</v>
      </c>
      <c r="T374">
        <v>10</v>
      </c>
      <c r="U374">
        <v>3</v>
      </c>
      <c r="V374">
        <v>22</v>
      </c>
      <c r="W374">
        <v>14</v>
      </c>
      <c r="X374">
        <v>12</v>
      </c>
      <c r="Y374">
        <v>21</v>
      </c>
      <c r="Z374">
        <v>1</v>
      </c>
      <c r="AA374">
        <v>7</v>
      </c>
      <c r="AB374">
        <v>3</v>
      </c>
      <c r="AC374">
        <v>1</v>
      </c>
      <c r="AD374">
        <v>17</v>
      </c>
      <c r="AE374">
        <v>10</v>
      </c>
      <c r="AF374">
        <v>9</v>
      </c>
      <c r="AG374">
        <v>3</v>
      </c>
      <c r="AH374">
        <v>0</v>
      </c>
      <c r="AI374">
        <v>0</v>
      </c>
    </row>
    <row r="375" spans="1:35" hidden="1" x14ac:dyDescent="0.25">
      <c r="A375">
        <v>2023</v>
      </c>
      <c r="B375" s="1">
        <v>45239</v>
      </c>
      <c r="C375">
        <v>33</v>
      </c>
      <c r="D375">
        <v>30348</v>
      </c>
      <c r="E375">
        <v>49205</v>
      </c>
      <c r="F375" t="s">
        <v>88</v>
      </c>
      <c r="G375" t="s">
        <v>89</v>
      </c>
      <c r="H375" t="s">
        <v>240</v>
      </c>
      <c r="I375" t="s">
        <v>336</v>
      </c>
      <c r="J375">
        <v>15</v>
      </c>
      <c r="K375">
        <v>6</v>
      </c>
      <c r="L375">
        <v>3910</v>
      </c>
      <c r="M375">
        <v>5790</v>
      </c>
      <c r="N375" t="s">
        <v>193</v>
      </c>
      <c r="O375" t="s">
        <v>41</v>
      </c>
      <c r="P375">
        <v>1</v>
      </c>
      <c r="Q375">
        <v>1</v>
      </c>
      <c r="R375">
        <v>1</v>
      </c>
      <c r="S375">
        <v>0</v>
      </c>
      <c r="T375">
        <v>5</v>
      </c>
      <c r="U375">
        <v>6</v>
      </c>
      <c r="V375">
        <v>8</v>
      </c>
      <c r="W375">
        <v>19</v>
      </c>
      <c r="X375">
        <v>19</v>
      </c>
      <c r="Y375">
        <v>8</v>
      </c>
      <c r="Z375">
        <v>2</v>
      </c>
      <c r="AA375">
        <v>8</v>
      </c>
      <c r="AB375">
        <v>3</v>
      </c>
      <c r="AC375">
        <v>0</v>
      </c>
      <c r="AD375">
        <v>15</v>
      </c>
      <c r="AE375">
        <v>14</v>
      </c>
      <c r="AF375">
        <v>3</v>
      </c>
      <c r="AG375">
        <v>7</v>
      </c>
      <c r="AH375">
        <v>0</v>
      </c>
      <c r="AI375">
        <v>0</v>
      </c>
    </row>
    <row r="376" spans="1:35" hidden="1" x14ac:dyDescent="0.25">
      <c r="A376">
        <v>2023</v>
      </c>
      <c r="B376" s="1">
        <v>45045</v>
      </c>
      <c r="C376">
        <v>3</v>
      </c>
      <c r="D376">
        <v>25210</v>
      </c>
      <c r="E376">
        <v>40502</v>
      </c>
      <c r="F376" t="s">
        <v>321</v>
      </c>
      <c r="G376" t="s">
        <v>62</v>
      </c>
      <c r="H376" t="s">
        <v>327</v>
      </c>
      <c r="I376" t="s">
        <v>315</v>
      </c>
      <c r="J376">
        <v>19</v>
      </c>
      <c r="K376">
        <v>8</v>
      </c>
      <c r="L376">
        <v>1580</v>
      </c>
      <c r="M376">
        <v>3180</v>
      </c>
      <c r="N376">
        <v>27</v>
      </c>
      <c r="O376" t="s">
        <v>239</v>
      </c>
      <c r="P376">
        <v>1</v>
      </c>
      <c r="Q376">
        <v>1</v>
      </c>
      <c r="R376">
        <v>1</v>
      </c>
      <c r="S376">
        <v>0</v>
      </c>
      <c r="T376">
        <v>7</v>
      </c>
      <c r="U376">
        <v>6</v>
      </c>
      <c r="V376">
        <v>14</v>
      </c>
      <c r="W376">
        <v>12</v>
      </c>
      <c r="X376">
        <v>12</v>
      </c>
      <c r="Y376">
        <v>13</v>
      </c>
      <c r="Z376">
        <v>5</v>
      </c>
      <c r="AA376">
        <v>4</v>
      </c>
      <c r="AB376">
        <v>2</v>
      </c>
      <c r="AC376">
        <v>2</v>
      </c>
      <c r="AD376">
        <v>16</v>
      </c>
      <c r="AE376">
        <v>23</v>
      </c>
      <c r="AF376">
        <v>8</v>
      </c>
      <c r="AG376">
        <v>9</v>
      </c>
      <c r="AH376">
        <v>0</v>
      </c>
      <c r="AI376">
        <v>0</v>
      </c>
    </row>
    <row r="377" spans="1:35" hidden="1" x14ac:dyDescent="0.25">
      <c r="A377">
        <v>2023</v>
      </c>
      <c r="B377" s="1">
        <v>45058</v>
      </c>
      <c r="C377">
        <v>5</v>
      </c>
      <c r="D377">
        <v>20880</v>
      </c>
      <c r="E377">
        <v>40502</v>
      </c>
      <c r="F377" t="s">
        <v>321</v>
      </c>
      <c r="G377" t="s">
        <v>82</v>
      </c>
      <c r="H377" t="s">
        <v>327</v>
      </c>
      <c r="I377" t="s">
        <v>341</v>
      </c>
      <c r="J377">
        <v>19</v>
      </c>
      <c r="K377">
        <v>14</v>
      </c>
      <c r="L377">
        <v>1640</v>
      </c>
      <c r="M377">
        <v>4970</v>
      </c>
      <c r="N377" t="s">
        <v>41</v>
      </c>
      <c r="O377" t="s">
        <v>189</v>
      </c>
      <c r="P377">
        <v>1</v>
      </c>
      <c r="Q377">
        <v>1</v>
      </c>
      <c r="R377">
        <v>1</v>
      </c>
      <c r="S377">
        <v>0</v>
      </c>
      <c r="T377">
        <v>5</v>
      </c>
      <c r="U377">
        <v>5</v>
      </c>
      <c r="V377">
        <v>22</v>
      </c>
      <c r="W377">
        <v>15</v>
      </c>
      <c r="X377">
        <v>13</v>
      </c>
      <c r="Y377">
        <v>18</v>
      </c>
      <c r="Z377">
        <v>1</v>
      </c>
      <c r="AA377">
        <v>4</v>
      </c>
      <c r="AB377">
        <v>1</v>
      </c>
      <c r="AC377">
        <v>3</v>
      </c>
      <c r="AD377">
        <v>10</v>
      </c>
      <c r="AE377">
        <v>6</v>
      </c>
      <c r="AF377">
        <v>4</v>
      </c>
      <c r="AG377">
        <v>3</v>
      </c>
      <c r="AH377">
        <v>0</v>
      </c>
      <c r="AI377">
        <v>0</v>
      </c>
    </row>
    <row r="378" spans="1:35" hidden="1" x14ac:dyDescent="0.25">
      <c r="A378">
        <v>2023</v>
      </c>
      <c r="B378" s="1">
        <v>45100</v>
      </c>
      <c r="C378">
        <v>11</v>
      </c>
      <c r="D378">
        <v>25983</v>
      </c>
      <c r="E378">
        <v>40502</v>
      </c>
      <c r="F378" t="s">
        <v>321</v>
      </c>
      <c r="G378" t="s">
        <v>37</v>
      </c>
      <c r="H378" t="s">
        <v>327</v>
      </c>
      <c r="I378" t="s">
        <v>240</v>
      </c>
      <c r="J378">
        <v>20</v>
      </c>
      <c r="K378">
        <v>8</v>
      </c>
      <c r="L378">
        <v>1810</v>
      </c>
      <c r="M378">
        <v>2795</v>
      </c>
      <c r="N378" t="s">
        <v>239</v>
      </c>
      <c r="O378" t="s">
        <v>235</v>
      </c>
      <c r="P378">
        <v>0</v>
      </c>
      <c r="Q378">
        <v>1</v>
      </c>
      <c r="R378">
        <v>0</v>
      </c>
      <c r="S378">
        <v>0</v>
      </c>
      <c r="T378">
        <v>10</v>
      </c>
      <c r="U378">
        <v>5</v>
      </c>
      <c r="V378">
        <v>23</v>
      </c>
      <c r="W378">
        <v>14</v>
      </c>
      <c r="X378">
        <v>12</v>
      </c>
      <c r="Y378">
        <v>23</v>
      </c>
      <c r="Z378">
        <v>3</v>
      </c>
      <c r="AA378">
        <v>4</v>
      </c>
      <c r="AB378">
        <v>1</v>
      </c>
      <c r="AC378">
        <v>6</v>
      </c>
      <c r="AD378">
        <v>14</v>
      </c>
      <c r="AE378">
        <v>5</v>
      </c>
      <c r="AF378">
        <v>6</v>
      </c>
      <c r="AG378">
        <v>0</v>
      </c>
      <c r="AH378">
        <v>-1</v>
      </c>
      <c r="AI378">
        <v>0</v>
      </c>
    </row>
    <row r="379" spans="1:35" hidden="1" x14ac:dyDescent="0.25">
      <c r="A379">
        <v>2023</v>
      </c>
      <c r="B379" s="1">
        <v>45115</v>
      </c>
      <c r="C379">
        <v>14</v>
      </c>
      <c r="D379">
        <v>24653</v>
      </c>
      <c r="E379">
        <v>40502</v>
      </c>
      <c r="F379" t="s">
        <v>321</v>
      </c>
      <c r="G379" t="s">
        <v>310</v>
      </c>
      <c r="H379" t="s">
        <v>322</v>
      </c>
      <c r="I379" t="s">
        <v>312</v>
      </c>
      <c r="J379">
        <v>18</v>
      </c>
      <c r="K379">
        <v>20</v>
      </c>
      <c r="L379">
        <v>1850</v>
      </c>
      <c r="M379">
        <v>1080</v>
      </c>
      <c r="N379" t="s">
        <v>123</v>
      </c>
      <c r="O379" t="s">
        <v>111</v>
      </c>
      <c r="P379">
        <v>3</v>
      </c>
      <c r="Q379">
        <v>1</v>
      </c>
      <c r="R379">
        <v>2</v>
      </c>
      <c r="S379">
        <v>1</v>
      </c>
      <c r="T379">
        <v>7</v>
      </c>
      <c r="U379">
        <v>8</v>
      </c>
      <c r="V379">
        <v>16</v>
      </c>
      <c r="W379">
        <v>20</v>
      </c>
      <c r="X379">
        <v>19</v>
      </c>
      <c r="Y379">
        <v>16</v>
      </c>
      <c r="Z379">
        <v>3</v>
      </c>
      <c r="AA379">
        <v>4</v>
      </c>
      <c r="AB379">
        <v>2</v>
      </c>
      <c r="AC379">
        <v>0</v>
      </c>
      <c r="AD379">
        <v>14</v>
      </c>
      <c r="AE379">
        <v>17</v>
      </c>
      <c r="AF379">
        <v>3</v>
      </c>
      <c r="AG379">
        <v>6</v>
      </c>
      <c r="AH379">
        <v>2</v>
      </c>
      <c r="AI379">
        <v>1</v>
      </c>
    </row>
    <row r="380" spans="1:35" hidden="1" x14ac:dyDescent="0.25">
      <c r="A380">
        <v>2023</v>
      </c>
      <c r="B380" s="1">
        <v>45144</v>
      </c>
      <c r="C380">
        <v>18</v>
      </c>
      <c r="D380">
        <v>34010</v>
      </c>
      <c r="E380">
        <v>40502</v>
      </c>
      <c r="F380" t="s">
        <v>321</v>
      </c>
      <c r="G380" t="s">
        <v>56</v>
      </c>
      <c r="H380" t="s">
        <v>322</v>
      </c>
      <c r="I380" t="s">
        <v>58</v>
      </c>
      <c r="J380">
        <v>19</v>
      </c>
      <c r="K380">
        <v>6</v>
      </c>
      <c r="L380">
        <v>1855</v>
      </c>
      <c r="M380">
        <v>2755</v>
      </c>
      <c r="N380" t="s">
        <v>239</v>
      </c>
      <c r="O380" t="s">
        <v>171</v>
      </c>
      <c r="P380">
        <v>0</v>
      </c>
      <c r="Q380">
        <v>1</v>
      </c>
      <c r="R380">
        <v>0</v>
      </c>
      <c r="S380">
        <v>1</v>
      </c>
      <c r="T380">
        <v>3</v>
      </c>
      <c r="U380">
        <v>4</v>
      </c>
      <c r="V380">
        <v>21</v>
      </c>
      <c r="W380">
        <v>22</v>
      </c>
      <c r="X380">
        <v>22</v>
      </c>
      <c r="Y380">
        <v>20</v>
      </c>
      <c r="Z380">
        <v>1</v>
      </c>
      <c r="AA380">
        <v>1</v>
      </c>
      <c r="AB380">
        <v>2</v>
      </c>
      <c r="AC380">
        <v>0</v>
      </c>
      <c r="AD380">
        <v>9</v>
      </c>
      <c r="AE380">
        <v>11</v>
      </c>
      <c r="AF380">
        <v>5</v>
      </c>
      <c r="AG380">
        <v>6</v>
      </c>
      <c r="AH380">
        <v>-1</v>
      </c>
      <c r="AI380">
        <v>0</v>
      </c>
    </row>
    <row r="381" spans="1:35" hidden="1" x14ac:dyDescent="0.25">
      <c r="A381">
        <v>2023</v>
      </c>
      <c r="B381" s="1">
        <v>45235</v>
      </c>
      <c r="C381">
        <v>32</v>
      </c>
      <c r="D381">
        <v>12942</v>
      </c>
      <c r="E381">
        <v>40502</v>
      </c>
      <c r="F381" t="s">
        <v>321</v>
      </c>
      <c r="G381" t="s">
        <v>313</v>
      </c>
      <c r="H381" t="s">
        <v>322</v>
      </c>
      <c r="I381" t="s">
        <v>314</v>
      </c>
      <c r="J381">
        <v>19</v>
      </c>
      <c r="K381">
        <v>18</v>
      </c>
      <c r="L381">
        <v>1505</v>
      </c>
      <c r="M381">
        <v>1105</v>
      </c>
      <c r="N381" t="s">
        <v>137</v>
      </c>
      <c r="O381" t="s">
        <v>137</v>
      </c>
      <c r="P381">
        <v>0</v>
      </c>
      <c r="Q381">
        <v>1</v>
      </c>
      <c r="R381">
        <v>0</v>
      </c>
      <c r="S381">
        <v>0</v>
      </c>
      <c r="T381">
        <v>5</v>
      </c>
      <c r="U381">
        <v>9</v>
      </c>
      <c r="V381">
        <v>17</v>
      </c>
      <c r="W381">
        <v>22</v>
      </c>
      <c r="X381">
        <v>22</v>
      </c>
      <c r="Y381">
        <v>17</v>
      </c>
      <c r="Z381">
        <v>5</v>
      </c>
      <c r="AA381">
        <v>2</v>
      </c>
      <c r="AB381">
        <v>0</v>
      </c>
      <c r="AC381">
        <v>1</v>
      </c>
      <c r="AD381">
        <v>8</v>
      </c>
      <c r="AE381">
        <v>22</v>
      </c>
      <c r="AF381">
        <v>5</v>
      </c>
      <c r="AG381">
        <v>7</v>
      </c>
      <c r="AH381">
        <v>-1</v>
      </c>
      <c r="AI381">
        <v>0</v>
      </c>
    </row>
    <row r="382" spans="1:35" hidden="1" x14ac:dyDescent="0.25">
      <c r="A382">
        <v>2023</v>
      </c>
      <c r="B382" s="1">
        <v>45260</v>
      </c>
      <c r="C382">
        <v>36</v>
      </c>
      <c r="D382">
        <v>0</v>
      </c>
      <c r="E382">
        <v>40502</v>
      </c>
      <c r="F382" t="s">
        <v>321</v>
      </c>
      <c r="G382" t="s">
        <v>51</v>
      </c>
      <c r="H382" t="s">
        <v>340</v>
      </c>
      <c r="I382" t="s">
        <v>333</v>
      </c>
      <c r="J382">
        <v>19</v>
      </c>
      <c r="K382">
        <v>2</v>
      </c>
      <c r="L382">
        <v>1700</v>
      </c>
      <c r="M382">
        <v>2880</v>
      </c>
      <c r="N382" t="s">
        <v>228</v>
      </c>
      <c r="O382" t="s">
        <v>142</v>
      </c>
      <c r="P382">
        <v>1</v>
      </c>
      <c r="Q382">
        <v>1</v>
      </c>
      <c r="R382">
        <v>0</v>
      </c>
      <c r="S382">
        <v>0</v>
      </c>
      <c r="T382">
        <v>3</v>
      </c>
      <c r="U382">
        <v>10</v>
      </c>
      <c r="V382">
        <v>15</v>
      </c>
      <c r="W382">
        <v>11</v>
      </c>
      <c r="X382">
        <v>11</v>
      </c>
      <c r="Y382">
        <v>14</v>
      </c>
      <c r="Z382">
        <v>5</v>
      </c>
      <c r="AA382">
        <v>1</v>
      </c>
      <c r="AB382">
        <v>0</v>
      </c>
      <c r="AC382">
        <v>0</v>
      </c>
      <c r="AD382">
        <v>13</v>
      </c>
      <c r="AE382">
        <v>24</v>
      </c>
      <c r="AF382">
        <v>7</v>
      </c>
      <c r="AG382">
        <v>10</v>
      </c>
      <c r="AH382">
        <v>0</v>
      </c>
      <c r="AI382">
        <v>0</v>
      </c>
    </row>
    <row r="383" spans="1:35" hidden="1" x14ac:dyDescent="0.25">
      <c r="A383">
        <v>2023</v>
      </c>
      <c r="B383" s="1">
        <v>45053</v>
      </c>
      <c r="C383">
        <v>4</v>
      </c>
      <c r="D383">
        <v>39850</v>
      </c>
      <c r="E383">
        <v>82238</v>
      </c>
      <c r="F383" t="s">
        <v>55</v>
      </c>
      <c r="G383" t="s">
        <v>82</v>
      </c>
      <c r="H383" t="s">
        <v>57</v>
      </c>
      <c r="I383" t="s">
        <v>341</v>
      </c>
      <c r="J383">
        <v>6</v>
      </c>
      <c r="K383">
        <v>11</v>
      </c>
      <c r="L383">
        <v>3745</v>
      </c>
      <c r="M383">
        <v>4970</v>
      </c>
      <c r="N383" t="s">
        <v>197</v>
      </c>
      <c r="O383" t="s">
        <v>189</v>
      </c>
      <c r="P383">
        <v>1</v>
      </c>
      <c r="Q383">
        <v>1</v>
      </c>
      <c r="R383">
        <v>0</v>
      </c>
      <c r="S383">
        <v>1</v>
      </c>
      <c r="T383">
        <v>9</v>
      </c>
      <c r="U383">
        <v>1</v>
      </c>
      <c r="V383">
        <v>12</v>
      </c>
      <c r="W383">
        <v>19</v>
      </c>
      <c r="X383">
        <v>18</v>
      </c>
      <c r="Y383">
        <v>10</v>
      </c>
      <c r="Z383">
        <v>0</v>
      </c>
      <c r="AA383">
        <v>8</v>
      </c>
      <c r="AB383">
        <v>1</v>
      </c>
      <c r="AC383">
        <v>1</v>
      </c>
      <c r="AD383">
        <v>23</v>
      </c>
      <c r="AE383">
        <v>8</v>
      </c>
      <c r="AF383">
        <v>10</v>
      </c>
      <c r="AG383">
        <v>5</v>
      </c>
      <c r="AH383">
        <v>0</v>
      </c>
      <c r="AI383">
        <v>0</v>
      </c>
    </row>
    <row r="384" spans="1:35" hidden="1" x14ac:dyDescent="0.25">
      <c r="A384">
        <v>2023</v>
      </c>
      <c r="B384" s="1">
        <v>45081</v>
      </c>
      <c r="C384">
        <v>9</v>
      </c>
      <c r="D384">
        <v>27228</v>
      </c>
      <c r="E384">
        <v>82238</v>
      </c>
      <c r="F384" t="s">
        <v>55</v>
      </c>
      <c r="G384" t="s">
        <v>56</v>
      </c>
      <c r="H384" t="s">
        <v>57</v>
      </c>
      <c r="I384" t="s">
        <v>58</v>
      </c>
      <c r="J384">
        <v>6</v>
      </c>
      <c r="K384">
        <v>11</v>
      </c>
      <c r="L384">
        <v>4325</v>
      </c>
      <c r="M384">
        <v>3080</v>
      </c>
      <c r="N384" t="s">
        <v>144</v>
      </c>
      <c r="O384" t="s">
        <v>339</v>
      </c>
      <c r="P384">
        <v>2</v>
      </c>
      <c r="Q384">
        <v>1</v>
      </c>
      <c r="R384">
        <v>2</v>
      </c>
      <c r="S384">
        <v>0</v>
      </c>
      <c r="T384">
        <v>6</v>
      </c>
      <c r="U384">
        <v>6</v>
      </c>
      <c r="V384">
        <v>10</v>
      </c>
      <c r="W384">
        <v>12</v>
      </c>
      <c r="X384">
        <v>12</v>
      </c>
      <c r="Y384">
        <v>10</v>
      </c>
      <c r="Z384">
        <v>3</v>
      </c>
      <c r="AA384">
        <v>2</v>
      </c>
      <c r="AB384">
        <v>2</v>
      </c>
      <c r="AC384">
        <v>1</v>
      </c>
      <c r="AD384">
        <v>12</v>
      </c>
      <c r="AE384">
        <v>15</v>
      </c>
      <c r="AF384">
        <v>6</v>
      </c>
      <c r="AG384">
        <v>8</v>
      </c>
      <c r="AH384">
        <v>1</v>
      </c>
      <c r="AI384">
        <v>1</v>
      </c>
    </row>
    <row r="385" spans="1:35" hidden="1" x14ac:dyDescent="0.25">
      <c r="A385">
        <v>2023</v>
      </c>
      <c r="B385" s="1">
        <v>45101</v>
      </c>
      <c r="C385">
        <v>12</v>
      </c>
      <c r="D385">
        <v>24507</v>
      </c>
      <c r="E385">
        <v>82238</v>
      </c>
      <c r="F385" t="s">
        <v>55</v>
      </c>
      <c r="G385" t="s">
        <v>38</v>
      </c>
      <c r="H385" t="s">
        <v>57</v>
      </c>
      <c r="I385" t="s">
        <v>316</v>
      </c>
      <c r="J385">
        <v>5</v>
      </c>
      <c r="K385">
        <v>14</v>
      </c>
      <c r="L385">
        <v>3080</v>
      </c>
      <c r="M385">
        <v>2945</v>
      </c>
      <c r="N385" t="s">
        <v>200</v>
      </c>
      <c r="O385" t="s">
        <v>114</v>
      </c>
      <c r="P385">
        <v>2</v>
      </c>
      <c r="Q385">
        <v>1</v>
      </c>
      <c r="R385">
        <v>0</v>
      </c>
      <c r="S385">
        <v>1</v>
      </c>
      <c r="T385">
        <v>9</v>
      </c>
      <c r="U385">
        <v>10</v>
      </c>
      <c r="V385">
        <v>9</v>
      </c>
      <c r="W385">
        <v>11</v>
      </c>
      <c r="X385">
        <v>10</v>
      </c>
      <c r="Y385">
        <v>8</v>
      </c>
      <c r="Z385">
        <v>2</v>
      </c>
      <c r="AA385">
        <v>7</v>
      </c>
      <c r="AB385">
        <v>2</v>
      </c>
      <c r="AC385">
        <v>0</v>
      </c>
      <c r="AD385">
        <v>17</v>
      </c>
      <c r="AE385">
        <v>15</v>
      </c>
      <c r="AF385">
        <v>6</v>
      </c>
      <c r="AG385">
        <v>9</v>
      </c>
      <c r="AH385">
        <v>1</v>
      </c>
      <c r="AI385">
        <v>1</v>
      </c>
    </row>
    <row r="386" spans="1:35" hidden="1" x14ac:dyDescent="0.25">
      <c r="A386">
        <v>2023</v>
      </c>
      <c r="B386" s="1">
        <v>45144</v>
      </c>
      <c r="C386">
        <v>18</v>
      </c>
      <c r="D386">
        <v>31037</v>
      </c>
      <c r="E386">
        <v>82238</v>
      </c>
      <c r="F386" t="s">
        <v>55</v>
      </c>
      <c r="G386" t="s">
        <v>95</v>
      </c>
      <c r="H386" t="s">
        <v>57</v>
      </c>
      <c r="I386" t="s">
        <v>97</v>
      </c>
      <c r="J386">
        <v>3</v>
      </c>
      <c r="K386">
        <v>5</v>
      </c>
      <c r="L386">
        <v>3585</v>
      </c>
      <c r="M386">
        <v>5800</v>
      </c>
      <c r="N386" t="s">
        <v>144</v>
      </c>
      <c r="O386">
        <v>26</v>
      </c>
      <c r="P386">
        <v>2</v>
      </c>
      <c r="Q386">
        <v>1</v>
      </c>
      <c r="R386">
        <v>1</v>
      </c>
      <c r="S386">
        <v>0</v>
      </c>
      <c r="T386">
        <v>0</v>
      </c>
      <c r="U386">
        <v>8</v>
      </c>
      <c r="V386">
        <v>18</v>
      </c>
      <c r="W386">
        <v>22</v>
      </c>
      <c r="X386">
        <v>21</v>
      </c>
      <c r="Y386">
        <v>17</v>
      </c>
      <c r="Z386">
        <v>4</v>
      </c>
      <c r="AA386">
        <v>3</v>
      </c>
      <c r="AB386">
        <v>3</v>
      </c>
      <c r="AC386">
        <v>3</v>
      </c>
      <c r="AD386">
        <v>10</v>
      </c>
      <c r="AE386">
        <v>18</v>
      </c>
      <c r="AF386">
        <v>3</v>
      </c>
      <c r="AG386">
        <v>7</v>
      </c>
      <c r="AH386">
        <v>1</v>
      </c>
      <c r="AI386">
        <v>1</v>
      </c>
    </row>
    <row r="387" spans="1:35" hidden="1" x14ac:dyDescent="0.25">
      <c r="A387">
        <v>2023</v>
      </c>
      <c r="B387" s="1">
        <v>45157</v>
      </c>
      <c r="C387">
        <v>20</v>
      </c>
      <c r="D387">
        <v>35562</v>
      </c>
      <c r="E387">
        <v>82238</v>
      </c>
      <c r="F387" t="s">
        <v>55</v>
      </c>
      <c r="G387" t="s">
        <v>310</v>
      </c>
      <c r="H387" t="s">
        <v>57</v>
      </c>
      <c r="I387" t="s">
        <v>344</v>
      </c>
      <c r="J387">
        <v>4</v>
      </c>
      <c r="K387">
        <v>20</v>
      </c>
      <c r="L387">
        <v>3775</v>
      </c>
      <c r="M387">
        <v>743</v>
      </c>
      <c r="N387" t="s">
        <v>350</v>
      </c>
      <c r="O387" t="s">
        <v>205</v>
      </c>
      <c r="P387">
        <v>3</v>
      </c>
      <c r="Q387">
        <v>1</v>
      </c>
      <c r="R387">
        <v>0</v>
      </c>
      <c r="S387">
        <v>0</v>
      </c>
      <c r="T387">
        <v>7</v>
      </c>
      <c r="U387">
        <v>1</v>
      </c>
      <c r="V387">
        <v>7</v>
      </c>
      <c r="W387">
        <v>12</v>
      </c>
      <c r="X387">
        <v>11</v>
      </c>
      <c r="Y387">
        <v>7</v>
      </c>
      <c r="Z387">
        <v>2</v>
      </c>
      <c r="AA387">
        <v>1</v>
      </c>
      <c r="AB387">
        <v>3</v>
      </c>
      <c r="AC387">
        <v>0</v>
      </c>
      <c r="AD387">
        <v>19</v>
      </c>
      <c r="AE387">
        <v>13</v>
      </c>
      <c r="AF387">
        <v>9</v>
      </c>
      <c r="AG387">
        <v>7</v>
      </c>
      <c r="AH387">
        <v>2</v>
      </c>
      <c r="AI387">
        <v>1</v>
      </c>
    </row>
    <row r="388" spans="1:35" hidden="1" x14ac:dyDescent="0.25">
      <c r="A388">
        <v>2023</v>
      </c>
      <c r="B388" s="1">
        <v>45256</v>
      </c>
      <c r="C388">
        <v>35</v>
      </c>
      <c r="D388">
        <v>19219</v>
      </c>
      <c r="E388">
        <v>82238</v>
      </c>
      <c r="F388" t="s">
        <v>55</v>
      </c>
      <c r="G388" t="s">
        <v>321</v>
      </c>
      <c r="H388" t="s">
        <v>57</v>
      </c>
      <c r="I388" t="s">
        <v>322</v>
      </c>
      <c r="J388">
        <v>7</v>
      </c>
      <c r="K388">
        <v>19</v>
      </c>
      <c r="L388">
        <v>4435</v>
      </c>
      <c r="M388">
        <v>1480</v>
      </c>
      <c r="N388" t="s">
        <v>144</v>
      </c>
      <c r="O388" t="s">
        <v>217</v>
      </c>
      <c r="P388">
        <v>2</v>
      </c>
      <c r="Q388">
        <v>1</v>
      </c>
      <c r="R388">
        <v>1</v>
      </c>
      <c r="S388">
        <v>0</v>
      </c>
      <c r="T388">
        <v>6</v>
      </c>
      <c r="U388">
        <v>5</v>
      </c>
      <c r="V388">
        <v>15</v>
      </c>
      <c r="W388">
        <v>10</v>
      </c>
      <c r="X388">
        <v>10</v>
      </c>
      <c r="Y388">
        <v>14</v>
      </c>
      <c r="Z388">
        <v>1</v>
      </c>
      <c r="AA388">
        <v>6</v>
      </c>
      <c r="AB388">
        <v>1</v>
      </c>
      <c r="AC388">
        <v>3</v>
      </c>
      <c r="AD388">
        <v>21</v>
      </c>
      <c r="AE388">
        <v>15</v>
      </c>
      <c r="AF388">
        <v>8</v>
      </c>
      <c r="AG388">
        <v>8</v>
      </c>
      <c r="AH388">
        <v>1</v>
      </c>
      <c r="AI388">
        <v>1</v>
      </c>
    </row>
    <row r="389" spans="1:35" hidden="1" x14ac:dyDescent="0.25">
      <c r="A389">
        <v>2023</v>
      </c>
      <c r="B389" s="1">
        <v>45099</v>
      </c>
      <c r="C389">
        <v>11</v>
      </c>
      <c r="D389">
        <v>7788</v>
      </c>
      <c r="E389">
        <v>18238</v>
      </c>
      <c r="F389" t="s">
        <v>55</v>
      </c>
      <c r="G389" t="s">
        <v>89</v>
      </c>
      <c r="H389" t="s">
        <v>57</v>
      </c>
      <c r="I389" t="s">
        <v>336</v>
      </c>
      <c r="J389">
        <v>7</v>
      </c>
      <c r="K389">
        <v>5</v>
      </c>
      <c r="L389">
        <v>3300</v>
      </c>
      <c r="M389">
        <v>4910</v>
      </c>
      <c r="N389">
        <v>31</v>
      </c>
      <c r="O389" t="s">
        <v>296</v>
      </c>
      <c r="P389">
        <v>1</v>
      </c>
      <c r="Q389">
        <v>1</v>
      </c>
      <c r="R389">
        <v>1</v>
      </c>
      <c r="S389">
        <v>1</v>
      </c>
      <c r="T389">
        <v>3</v>
      </c>
      <c r="U389">
        <v>5</v>
      </c>
      <c r="V389">
        <v>20</v>
      </c>
      <c r="W389">
        <v>19</v>
      </c>
      <c r="X389">
        <v>18</v>
      </c>
      <c r="Y389">
        <v>20</v>
      </c>
      <c r="Z389">
        <v>6</v>
      </c>
      <c r="AA389">
        <v>3</v>
      </c>
      <c r="AB389">
        <v>5</v>
      </c>
      <c r="AC389">
        <v>0</v>
      </c>
      <c r="AD389">
        <v>10</v>
      </c>
      <c r="AE389">
        <v>14</v>
      </c>
      <c r="AF389">
        <v>4</v>
      </c>
      <c r="AG389">
        <v>5</v>
      </c>
      <c r="AH389">
        <v>0</v>
      </c>
      <c r="AI389">
        <v>0</v>
      </c>
    </row>
    <row r="390" spans="1:35" hidden="1" x14ac:dyDescent="0.25">
      <c r="A390">
        <v>2023</v>
      </c>
      <c r="B390" s="1">
        <v>45263</v>
      </c>
      <c r="C390">
        <v>37</v>
      </c>
      <c r="D390">
        <v>53856</v>
      </c>
      <c r="E390">
        <v>61000</v>
      </c>
      <c r="F390" t="s">
        <v>89</v>
      </c>
      <c r="G390" t="s">
        <v>62</v>
      </c>
      <c r="H390" t="s">
        <v>336</v>
      </c>
      <c r="I390" t="s">
        <v>315</v>
      </c>
      <c r="J390">
        <v>2</v>
      </c>
      <c r="K390">
        <v>11</v>
      </c>
      <c r="L390">
        <v>4825</v>
      </c>
      <c r="M390">
        <v>3110</v>
      </c>
      <c r="N390" t="s">
        <v>197</v>
      </c>
      <c r="O390" t="s">
        <v>74</v>
      </c>
      <c r="P390">
        <v>2</v>
      </c>
      <c r="Q390">
        <v>1</v>
      </c>
      <c r="R390">
        <v>0</v>
      </c>
      <c r="S390">
        <v>0</v>
      </c>
      <c r="T390">
        <v>3</v>
      </c>
      <c r="U390">
        <v>5</v>
      </c>
      <c r="V390">
        <v>15</v>
      </c>
      <c r="W390">
        <v>9</v>
      </c>
      <c r="X390">
        <v>9</v>
      </c>
      <c r="Y390">
        <v>15</v>
      </c>
      <c r="Z390">
        <v>4</v>
      </c>
      <c r="AA390">
        <v>0</v>
      </c>
      <c r="AB390">
        <v>0</v>
      </c>
      <c r="AC390">
        <v>0</v>
      </c>
      <c r="AD390">
        <v>7</v>
      </c>
      <c r="AE390">
        <v>16</v>
      </c>
      <c r="AF390">
        <v>2</v>
      </c>
      <c r="AG390">
        <v>6</v>
      </c>
      <c r="AH390">
        <v>1</v>
      </c>
      <c r="AI390">
        <v>1</v>
      </c>
    </row>
    <row r="391" spans="1:35" hidden="1" x14ac:dyDescent="0.25">
      <c r="A391">
        <v>2023</v>
      </c>
      <c r="B391" s="1">
        <v>45031</v>
      </c>
      <c r="C391">
        <v>1</v>
      </c>
      <c r="D391">
        <v>11708</v>
      </c>
      <c r="E391">
        <v>46931</v>
      </c>
      <c r="F391" t="s">
        <v>51</v>
      </c>
      <c r="G391" t="s">
        <v>62</v>
      </c>
      <c r="H391" t="s">
        <v>311</v>
      </c>
      <c r="I391" t="s">
        <v>40</v>
      </c>
      <c r="J391">
        <v>6</v>
      </c>
      <c r="K391">
        <v>14</v>
      </c>
      <c r="L391">
        <v>2080</v>
      </c>
      <c r="M391">
        <v>2840</v>
      </c>
      <c r="N391" t="s">
        <v>200</v>
      </c>
      <c r="O391" t="s">
        <v>105</v>
      </c>
      <c r="P391">
        <v>2</v>
      </c>
      <c r="Q391">
        <v>1</v>
      </c>
      <c r="R391">
        <v>1</v>
      </c>
      <c r="S391">
        <v>1</v>
      </c>
      <c r="T391">
        <v>3</v>
      </c>
      <c r="U391">
        <v>7</v>
      </c>
      <c r="V391">
        <v>20</v>
      </c>
      <c r="W391">
        <v>13</v>
      </c>
      <c r="X391">
        <v>10</v>
      </c>
      <c r="Y391">
        <v>20</v>
      </c>
      <c r="Z391">
        <v>7</v>
      </c>
      <c r="AA391">
        <v>1</v>
      </c>
      <c r="AB391">
        <v>2</v>
      </c>
      <c r="AC391">
        <v>1</v>
      </c>
      <c r="AD391">
        <v>12</v>
      </c>
      <c r="AE391">
        <v>16</v>
      </c>
      <c r="AF391">
        <v>5</v>
      </c>
      <c r="AG391">
        <v>6</v>
      </c>
      <c r="AH391">
        <v>1</v>
      </c>
      <c r="AI391">
        <v>1</v>
      </c>
    </row>
    <row r="392" spans="1:35" hidden="1" x14ac:dyDescent="0.25">
      <c r="A392">
        <v>2023</v>
      </c>
      <c r="B392" s="1">
        <v>45137</v>
      </c>
      <c r="C392">
        <v>17</v>
      </c>
      <c r="D392">
        <v>43071</v>
      </c>
      <c r="E392">
        <v>46931</v>
      </c>
      <c r="F392" t="s">
        <v>51</v>
      </c>
      <c r="G392" t="s">
        <v>321</v>
      </c>
      <c r="H392" t="s">
        <v>324</v>
      </c>
      <c r="I392" t="s">
        <v>322</v>
      </c>
      <c r="J392">
        <v>1</v>
      </c>
      <c r="K392">
        <v>18</v>
      </c>
      <c r="L392">
        <v>2290</v>
      </c>
      <c r="M392">
        <v>1835</v>
      </c>
      <c r="N392" t="s">
        <v>205</v>
      </c>
      <c r="O392" t="s">
        <v>114</v>
      </c>
      <c r="P392">
        <v>4</v>
      </c>
      <c r="Q392">
        <v>1</v>
      </c>
      <c r="R392">
        <v>3</v>
      </c>
      <c r="S392">
        <v>1</v>
      </c>
      <c r="T392">
        <v>7</v>
      </c>
      <c r="U392">
        <v>3</v>
      </c>
      <c r="V392">
        <v>14</v>
      </c>
      <c r="W392">
        <v>12</v>
      </c>
      <c r="X392">
        <v>11</v>
      </c>
      <c r="Y392">
        <v>12</v>
      </c>
      <c r="Z392">
        <v>4</v>
      </c>
      <c r="AA392">
        <v>3</v>
      </c>
      <c r="AB392">
        <v>0</v>
      </c>
      <c r="AC392">
        <v>1</v>
      </c>
      <c r="AD392">
        <v>14</v>
      </c>
      <c r="AE392">
        <v>9</v>
      </c>
      <c r="AF392">
        <v>3</v>
      </c>
      <c r="AG392">
        <v>4</v>
      </c>
      <c r="AH392">
        <v>3</v>
      </c>
      <c r="AI392">
        <v>1</v>
      </c>
    </row>
    <row r="393" spans="1:35" hidden="1" x14ac:dyDescent="0.25">
      <c r="A393">
        <v>2023</v>
      </c>
      <c r="B393" s="1">
        <v>45151</v>
      </c>
      <c r="C393">
        <v>19</v>
      </c>
      <c r="D393">
        <v>39598</v>
      </c>
      <c r="E393">
        <v>46931</v>
      </c>
      <c r="F393" t="s">
        <v>51</v>
      </c>
      <c r="G393" t="s">
        <v>37</v>
      </c>
      <c r="H393" t="s">
        <v>324</v>
      </c>
      <c r="I393" t="s">
        <v>39</v>
      </c>
      <c r="J393">
        <v>1</v>
      </c>
      <c r="K393">
        <v>14</v>
      </c>
      <c r="L393">
        <v>2630</v>
      </c>
      <c r="M393">
        <v>4645</v>
      </c>
      <c r="N393" t="s">
        <v>100</v>
      </c>
      <c r="O393" t="s">
        <v>193</v>
      </c>
      <c r="P393">
        <v>3</v>
      </c>
      <c r="Q393">
        <v>1</v>
      </c>
      <c r="R393">
        <v>0</v>
      </c>
      <c r="S393">
        <v>1</v>
      </c>
      <c r="T393">
        <v>7</v>
      </c>
      <c r="U393">
        <v>3</v>
      </c>
      <c r="V393">
        <v>15</v>
      </c>
      <c r="W393">
        <v>10</v>
      </c>
      <c r="X393">
        <v>10</v>
      </c>
      <c r="Y393">
        <v>15</v>
      </c>
      <c r="Z393">
        <v>3</v>
      </c>
      <c r="AA393">
        <v>8</v>
      </c>
      <c r="AB393">
        <v>0</v>
      </c>
      <c r="AC393">
        <v>4</v>
      </c>
      <c r="AD393">
        <v>18</v>
      </c>
      <c r="AE393">
        <v>10</v>
      </c>
      <c r="AF393">
        <v>4</v>
      </c>
      <c r="AG393">
        <v>4</v>
      </c>
      <c r="AH393">
        <v>2</v>
      </c>
      <c r="AI393">
        <v>1</v>
      </c>
    </row>
    <row r="394" spans="1:35" hidden="1" x14ac:dyDescent="0.25">
      <c r="A394">
        <v>2023</v>
      </c>
      <c r="B394" s="1">
        <v>45202</v>
      </c>
      <c r="C394">
        <v>25</v>
      </c>
      <c r="D394">
        <v>34294</v>
      </c>
      <c r="E394">
        <v>46931</v>
      </c>
      <c r="F394" t="s">
        <v>51</v>
      </c>
      <c r="G394" t="s">
        <v>313</v>
      </c>
      <c r="H394" t="s">
        <v>324</v>
      </c>
      <c r="I394" t="s">
        <v>314</v>
      </c>
      <c r="J394">
        <v>1</v>
      </c>
      <c r="K394">
        <v>16</v>
      </c>
      <c r="L394">
        <v>2760</v>
      </c>
      <c r="M394">
        <v>963</v>
      </c>
      <c r="N394" t="s">
        <v>296</v>
      </c>
      <c r="O394" t="s">
        <v>129</v>
      </c>
      <c r="P394">
        <v>1</v>
      </c>
      <c r="Q394">
        <v>1</v>
      </c>
      <c r="R394">
        <v>0</v>
      </c>
      <c r="S394">
        <v>1</v>
      </c>
      <c r="T394">
        <v>8</v>
      </c>
      <c r="U394">
        <v>3</v>
      </c>
      <c r="V394">
        <v>18</v>
      </c>
      <c r="W394">
        <v>16</v>
      </c>
      <c r="X394">
        <v>16</v>
      </c>
      <c r="Y394">
        <v>17</v>
      </c>
      <c r="Z394">
        <v>2</v>
      </c>
      <c r="AA394">
        <v>5</v>
      </c>
      <c r="AB394">
        <v>1</v>
      </c>
      <c r="AC394">
        <v>2</v>
      </c>
      <c r="AD394">
        <v>18</v>
      </c>
      <c r="AE394">
        <v>8</v>
      </c>
      <c r="AF394">
        <v>8</v>
      </c>
      <c r="AG394">
        <v>2</v>
      </c>
      <c r="AH394">
        <v>0</v>
      </c>
      <c r="AI394">
        <v>0</v>
      </c>
    </row>
    <row r="395" spans="1:35" hidden="1" x14ac:dyDescent="0.25">
      <c r="A395">
        <v>2023</v>
      </c>
      <c r="B395" s="1">
        <v>45221</v>
      </c>
      <c r="C395">
        <v>28</v>
      </c>
      <c r="D395">
        <v>36908</v>
      </c>
      <c r="E395">
        <v>46931</v>
      </c>
      <c r="F395" t="s">
        <v>51</v>
      </c>
      <c r="G395" t="s">
        <v>69</v>
      </c>
      <c r="H395" t="s">
        <v>320</v>
      </c>
      <c r="I395" t="s">
        <v>325</v>
      </c>
      <c r="J395">
        <v>1</v>
      </c>
      <c r="K395">
        <v>5</v>
      </c>
      <c r="L395">
        <v>2580</v>
      </c>
      <c r="M395">
        <v>2830</v>
      </c>
      <c r="N395" t="s">
        <v>109</v>
      </c>
      <c r="O395" t="s">
        <v>168</v>
      </c>
      <c r="P395">
        <v>1</v>
      </c>
      <c r="Q395">
        <v>1</v>
      </c>
      <c r="R395">
        <v>1</v>
      </c>
      <c r="S395">
        <v>1</v>
      </c>
      <c r="T395">
        <v>6</v>
      </c>
      <c r="U395">
        <v>3</v>
      </c>
      <c r="V395">
        <v>11</v>
      </c>
      <c r="W395">
        <v>12</v>
      </c>
      <c r="X395">
        <v>12</v>
      </c>
      <c r="Y395">
        <v>11</v>
      </c>
      <c r="Z395">
        <v>1</v>
      </c>
      <c r="AA395">
        <v>4</v>
      </c>
      <c r="AB395">
        <v>1</v>
      </c>
      <c r="AC395">
        <v>4</v>
      </c>
      <c r="AD395">
        <v>10</v>
      </c>
      <c r="AE395">
        <v>10</v>
      </c>
      <c r="AF395">
        <v>3</v>
      </c>
      <c r="AG395">
        <v>7</v>
      </c>
      <c r="AH395">
        <v>0</v>
      </c>
      <c r="AI395">
        <v>0</v>
      </c>
    </row>
    <row r="396" spans="1:35" hidden="1" x14ac:dyDescent="0.25">
      <c r="A396">
        <v>2023</v>
      </c>
      <c r="B396" s="1">
        <v>45229</v>
      </c>
      <c r="C396">
        <v>30</v>
      </c>
      <c r="D396">
        <v>30659</v>
      </c>
      <c r="E396">
        <v>46931</v>
      </c>
      <c r="F396" t="s">
        <v>51</v>
      </c>
      <c r="G396" t="s">
        <v>70</v>
      </c>
      <c r="H396" t="s">
        <v>320</v>
      </c>
      <c r="I396" t="s">
        <v>90</v>
      </c>
      <c r="J396">
        <v>1</v>
      </c>
      <c r="K396">
        <v>10</v>
      </c>
      <c r="L396">
        <v>3000</v>
      </c>
      <c r="M396">
        <v>1035</v>
      </c>
      <c r="N396" t="s">
        <v>200</v>
      </c>
      <c r="O396" t="s">
        <v>73</v>
      </c>
      <c r="P396">
        <v>0</v>
      </c>
      <c r="Q396">
        <v>1</v>
      </c>
      <c r="R396">
        <v>0</v>
      </c>
      <c r="S396">
        <v>0</v>
      </c>
      <c r="T396">
        <v>7</v>
      </c>
      <c r="U396">
        <v>2</v>
      </c>
      <c r="V396">
        <v>12</v>
      </c>
      <c r="W396">
        <v>17</v>
      </c>
      <c r="X396">
        <v>15</v>
      </c>
      <c r="Y396">
        <v>11</v>
      </c>
      <c r="Z396">
        <v>0</v>
      </c>
      <c r="AA396">
        <v>9</v>
      </c>
      <c r="AB396">
        <v>2</v>
      </c>
      <c r="AC396">
        <v>4</v>
      </c>
      <c r="AD396">
        <v>32</v>
      </c>
      <c r="AE396">
        <v>6</v>
      </c>
      <c r="AF396">
        <v>13</v>
      </c>
      <c r="AG396">
        <v>2</v>
      </c>
      <c r="AH396">
        <v>-1</v>
      </c>
      <c r="AI396">
        <v>0</v>
      </c>
    </row>
    <row r="397" spans="1:35" hidden="1" x14ac:dyDescent="0.25">
      <c r="A397">
        <v>2023</v>
      </c>
      <c r="B397" s="1">
        <v>45256</v>
      </c>
      <c r="C397">
        <v>35</v>
      </c>
      <c r="D397">
        <v>29387</v>
      </c>
      <c r="E397">
        <v>46931</v>
      </c>
      <c r="F397" t="s">
        <v>51</v>
      </c>
      <c r="G397" t="s">
        <v>326</v>
      </c>
      <c r="H397" t="s">
        <v>333</v>
      </c>
      <c r="I397" t="s">
        <v>338</v>
      </c>
      <c r="J397">
        <v>3</v>
      </c>
      <c r="K397">
        <v>15</v>
      </c>
      <c r="L397">
        <v>2960</v>
      </c>
      <c r="M397">
        <v>4070</v>
      </c>
      <c r="N397">
        <v>30</v>
      </c>
      <c r="O397" t="s">
        <v>239</v>
      </c>
      <c r="P397">
        <v>1</v>
      </c>
      <c r="Q397">
        <v>1</v>
      </c>
      <c r="R397">
        <v>1</v>
      </c>
      <c r="S397">
        <v>0</v>
      </c>
      <c r="T397">
        <v>4</v>
      </c>
      <c r="U397">
        <v>5</v>
      </c>
      <c r="V397">
        <v>14</v>
      </c>
      <c r="W397">
        <v>15</v>
      </c>
      <c r="X397">
        <v>14</v>
      </c>
      <c r="Y397">
        <v>14</v>
      </c>
      <c r="Z397">
        <v>4</v>
      </c>
      <c r="AA397">
        <v>3</v>
      </c>
      <c r="AB397">
        <v>1</v>
      </c>
      <c r="AC397">
        <v>4</v>
      </c>
      <c r="AD397">
        <v>18</v>
      </c>
      <c r="AE397">
        <v>8</v>
      </c>
      <c r="AF397">
        <v>7</v>
      </c>
      <c r="AG397">
        <v>1</v>
      </c>
      <c r="AH397">
        <v>0</v>
      </c>
      <c r="AI397">
        <v>0</v>
      </c>
    </row>
    <row r="398" spans="1:35" hidden="1" x14ac:dyDescent="0.25">
      <c r="A398">
        <v>2023</v>
      </c>
      <c r="B398" s="1">
        <v>45074</v>
      </c>
      <c r="C398">
        <v>8</v>
      </c>
      <c r="D398">
        <v>45429</v>
      </c>
      <c r="E398">
        <v>72039</v>
      </c>
      <c r="F398" t="s">
        <v>62</v>
      </c>
      <c r="G398" t="s">
        <v>313</v>
      </c>
      <c r="H398" t="s">
        <v>315</v>
      </c>
      <c r="I398" t="s">
        <v>337</v>
      </c>
      <c r="J398">
        <v>3</v>
      </c>
      <c r="K398">
        <v>17</v>
      </c>
      <c r="L398">
        <v>2870</v>
      </c>
      <c r="M398">
        <v>1115</v>
      </c>
      <c r="N398" t="s">
        <v>120</v>
      </c>
      <c r="O398" t="s">
        <v>129</v>
      </c>
      <c r="P398">
        <v>2</v>
      </c>
      <c r="Q398">
        <v>1</v>
      </c>
      <c r="R398">
        <v>0</v>
      </c>
      <c r="S398">
        <v>1</v>
      </c>
      <c r="T398">
        <v>11</v>
      </c>
      <c r="U398">
        <v>5</v>
      </c>
      <c r="V398">
        <v>12</v>
      </c>
      <c r="W398">
        <v>16</v>
      </c>
      <c r="X398">
        <v>14</v>
      </c>
      <c r="Y398">
        <v>10</v>
      </c>
      <c r="Z398">
        <v>3</v>
      </c>
      <c r="AA398">
        <v>4</v>
      </c>
      <c r="AB398">
        <v>3</v>
      </c>
      <c r="AC398">
        <v>1</v>
      </c>
      <c r="AD398">
        <v>16</v>
      </c>
      <c r="AE398">
        <v>8</v>
      </c>
      <c r="AF398">
        <v>7</v>
      </c>
      <c r="AG398">
        <v>2</v>
      </c>
      <c r="AH398">
        <v>1</v>
      </c>
      <c r="AI398">
        <v>1</v>
      </c>
    </row>
    <row r="399" spans="1:35" hidden="1" x14ac:dyDescent="0.25">
      <c r="A399">
        <v>2023</v>
      </c>
      <c r="B399" s="1">
        <v>45099</v>
      </c>
      <c r="C399">
        <v>11</v>
      </c>
      <c r="D399">
        <v>22882</v>
      </c>
      <c r="E399">
        <v>72039</v>
      </c>
      <c r="F399" t="s">
        <v>62</v>
      </c>
      <c r="G399" t="s">
        <v>69</v>
      </c>
      <c r="J399">
        <v>6</v>
      </c>
      <c r="K399">
        <v>11</v>
      </c>
      <c r="L399">
        <v>3110</v>
      </c>
      <c r="M399">
        <v>4425</v>
      </c>
      <c r="N399" t="s">
        <v>73</v>
      </c>
      <c r="O399" t="s">
        <v>80</v>
      </c>
      <c r="P399">
        <v>2</v>
      </c>
      <c r="Q399">
        <v>1</v>
      </c>
      <c r="R399">
        <v>1</v>
      </c>
      <c r="S399">
        <v>1</v>
      </c>
      <c r="T399">
        <v>4</v>
      </c>
      <c r="U399">
        <v>4</v>
      </c>
      <c r="V399">
        <v>15</v>
      </c>
      <c r="W399">
        <v>11</v>
      </c>
      <c r="X399">
        <v>10</v>
      </c>
      <c r="Y399">
        <v>15</v>
      </c>
      <c r="Z399">
        <v>3</v>
      </c>
      <c r="AA399">
        <v>3</v>
      </c>
      <c r="AB399">
        <v>3</v>
      </c>
      <c r="AC399">
        <v>2</v>
      </c>
      <c r="AD399">
        <v>8</v>
      </c>
      <c r="AE399">
        <v>14</v>
      </c>
      <c r="AF399">
        <v>2</v>
      </c>
      <c r="AG399">
        <v>6</v>
      </c>
      <c r="AH399">
        <v>1</v>
      </c>
      <c r="AI399">
        <v>1</v>
      </c>
    </row>
    <row r="400" spans="1:35" hidden="1" x14ac:dyDescent="0.25">
      <c r="A400">
        <v>2023</v>
      </c>
      <c r="B400" s="1">
        <v>45123</v>
      </c>
      <c r="C400">
        <v>15</v>
      </c>
      <c r="D400">
        <v>58127</v>
      </c>
      <c r="E400">
        <v>72039</v>
      </c>
      <c r="F400" t="s">
        <v>62</v>
      </c>
      <c r="G400" t="s">
        <v>326</v>
      </c>
      <c r="H400" t="s">
        <v>315</v>
      </c>
      <c r="I400" t="s">
        <v>308</v>
      </c>
      <c r="J400">
        <v>4</v>
      </c>
      <c r="K400">
        <v>15</v>
      </c>
      <c r="L400">
        <v>2300</v>
      </c>
      <c r="M400">
        <v>3550</v>
      </c>
      <c r="N400" t="s">
        <v>134</v>
      </c>
      <c r="O400">
        <v>27</v>
      </c>
      <c r="P400">
        <v>4</v>
      </c>
      <c r="Q400">
        <v>1</v>
      </c>
      <c r="R400">
        <v>2</v>
      </c>
      <c r="S400">
        <v>0</v>
      </c>
      <c r="T400">
        <v>4</v>
      </c>
      <c r="U400">
        <v>3</v>
      </c>
      <c r="V400">
        <v>21</v>
      </c>
      <c r="W400">
        <v>16</v>
      </c>
      <c r="X400">
        <v>15</v>
      </c>
      <c r="Y400">
        <v>21</v>
      </c>
      <c r="Z400">
        <v>2</v>
      </c>
      <c r="AA400">
        <v>3</v>
      </c>
      <c r="AB400">
        <v>2</v>
      </c>
      <c r="AC400">
        <v>2</v>
      </c>
      <c r="AD400">
        <v>24</v>
      </c>
      <c r="AE400">
        <v>8</v>
      </c>
      <c r="AF400">
        <v>9</v>
      </c>
      <c r="AG400">
        <v>4</v>
      </c>
      <c r="AH400">
        <v>3</v>
      </c>
      <c r="AI400">
        <v>1</v>
      </c>
    </row>
    <row r="401" spans="1:35" hidden="1" x14ac:dyDescent="0.25">
      <c r="A401">
        <v>2023</v>
      </c>
      <c r="B401" s="1">
        <v>45197</v>
      </c>
      <c r="C401">
        <v>22</v>
      </c>
      <c r="D401">
        <v>31720</v>
      </c>
      <c r="E401">
        <v>72039</v>
      </c>
      <c r="F401" t="s">
        <v>62</v>
      </c>
      <c r="G401" t="s">
        <v>321</v>
      </c>
      <c r="H401" t="s">
        <v>315</v>
      </c>
      <c r="I401" t="s">
        <v>322</v>
      </c>
      <c r="J401">
        <v>10</v>
      </c>
      <c r="K401">
        <v>20</v>
      </c>
      <c r="L401">
        <v>2830</v>
      </c>
      <c r="M401">
        <v>1325</v>
      </c>
      <c r="N401" t="s">
        <v>99</v>
      </c>
      <c r="O401" t="s">
        <v>147</v>
      </c>
      <c r="P401">
        <v>2</v>
      </c>
      <c r="Q401">
        <v>1</v>
      </c>
      <c r="R401">
        <v>2</v>
      </c>
      <c r="S401">
        <v>1</v>
      </c>
      <c r="T401">
        <v>4</v>
      </c>
      <c r="U401">
        <v>3</v>
      </c>
      <c r="V401">
        <v>12</v>
      </c>
      <c r="W401">
        <v>12</v>
      </c>
      <c r="X401">
        <v>11</v>
      </c>
      <c r="Y401">
        <v>12</v>
      </c>
      <c r="Z401">
        <v>1</v>
      </c>
      <c r="AA401">
        <v>3</v>
      </c>
      <c r="AB401">
        <v>2</v>
      </c>
      <c r="AC401">
        <v>0</v>
      </c>
      <c r="AD401">
        <v>14</v>
      </c>
      <c r="AE401">
        <v>7</v>
      </c>
      <c r="AF401">
        <v>4</v>
      </c>
      <c r="AG401">
        <v>2</v>
      </c>
      <c r="AH401">
        <v>1</v>
      </c>
      <c r="AI401">
        <v>1</v>
      </c>
    </row>
    <row r="402" spans="1:35" hidden="1" x14ac:dyDescent="0.25">
      <c r="A402">
        <v>2023</v>
      </c>
      <c r="B402" s="1">
        <v>45199</v>
      </c>
      <c r="C402">
        <v>25</v>
      </c>
      <c r="D402">
        <v>56735</v>
      </c>
      <c r="E402">
        <v>72039</v>
      </c>
      <c r="F402" t="s">
        <v>62</v>
      </c>
      <c r="G402" t="s">
        <v>88</v>
      </c>
      <c r="H402" t="s">
        <v>315</v>
      </c>
      <c r="I402" t="s">
        <v>240</v>
      </c>
      <c r="J402">
        <v>10</v>
      </c>
      <c r="K402">
        <v>13</v>
      </c>
      <c r="L402">
        <v>3910</v>
      </c>
      <c r="M402">
        <v>2215</v>
      </c>
      <c r="N402" t="s">
        <v>128</v>
      </c>
      <c r="O402" t="s">
        <v>137</v>
      </c>
      <c r="P402">
        <v>2</v>
      </c>
      <c r="Q402">
        <v>1</v>
      </c>
      <c r="R402">
        <v>2</v>
      </c>
      <c r="S402">
        <v>1</v>
      </c>
      <c r="T402">
        <v>11</v>
      </c>
      <c r="U402">
        <v>4</v>
      </c>
      <c r="V402">
        <v>14</v>
      </c>
      <c r="W402">
        <v>14</v>
      </c>
      <c r="X402">
        <v>14</v>
      </c>
      <c r="Y402">
        <v>11</v>
      </c>
      <c r="Z402">
        <v>1</v>
      </c>
      <c r="AA402">
        <v>6</v>
      </c>
      <c r="AB402">
        <v>2</v>
      </c>
      <c r="AC402">
        <v>1</v>
      </c>
      <c r="AD402">
        <v>22</v>
      </c>
      <c r="AE402">
        <v>6</v>
      </c>
      <c r="AF402">
        <v>7</v>
      </c>
      <c r="AG402">
        <v>2</v>
      </c>
      <c r="AH402">
        <v>1</v>
      </c>
      <c r="AI402">
        <v>1</v>
      </c>
    </row>
    <row r="403" spans="1:35" hidden="1" x14ac:dyDescent="0.25">
      <c r="A403">
        <v>2023</v>
      </c>
      <c r="B403" s="1">
        <v>45067</v>
      </c>
      <c r="C403">
        <v>7</v>
      </c>
      <c r="D403">
        <v>39438</v>
      </c>
      <c r="E403">
        <v>60540</v>
      </c>
      <c r="F403" t="s">
        <v>83</v>
      </c>
      <c r="G403" t="s">
        <v>37</v>
      </c>
      <c r="H403" t="s">
        <v>319</v>
      </c>
      <c r="I403" t="s">
        <v>240</v>
      </c>
      <c r="J403">
        <v>10</v>
      </c>
      <c r="K403">
        <v>15</v>
      </c>
      <c r="L403">
        <v>2850</v>
      </c>
      <c r="M403">
        <v>2155</v>
      </c>
      <c r="N403" t="s">
        <v>296</v>
      </c>
      <c r="O403" t="s">
        <v>123</v>
      </c>
      <c r="P403">
        <v>3</v>
      </c>
      <c r="Q403">
        <v>1</v>
      </c>
      <c r="R403">
        <v>2</v>
      </c>
      <c r="S403">
        <v>0</v>
      </c>
      <c r="T403">
        <v>3</v>
      </c>
      <c r="U403">
        <v>7</v>
      </c>
      <c r="V403">
        <v>14</v>
      </c>
      <c r="W403">
        <v>15</v>
      </c>
      <c r="X403">
        <v>12</v>
      </c>
      <c r="Y403">
        <v>13</v>
      </c>
      <c r="Z403">
        <v>3</v>
      </c>
      <c r="AA403">
        <v>3</v>
      </c>
      <c r="AB403">
        <v>1</v>
      </c>
      <c r="AC403">
        <v>1</v>
      </c>
      <c r="AD403">
        <v>14</v>
      </c>
      <c r="AE403">
        <v>24</v>
      </c>
      <c r="AF403">
        <v>6</v>
      </c>
      <c r="AG403">
        <v>14</v>
      </c>
      <c r="AH403">
        <v>2</v>
      </c>
      <c r="AI403">
        <v>1</v>
      </c>
    </row>
    <row r="404" spans="1:35" hidden="1" x14ac:dyDescent="0.25">
      <c r="A404">
        <v>2023</v>
      </c>
      <c r="B404" s="1">
        <v>45081</v>
      </c>
      <c r="C404">
        <v>9</v>
      </c>
      <c r="D404">
        <v>42207</v>
      </c>
      <c r="E404">
        <v>60540</v>
      </c>
      <c r="F404" t="s">
        <v>83</v>
      </c>
      <c r="G404" t="s">
        <v>62</v>
      </c>
      <c r="H404" t="s">
        <v>319</v>
      </c>
      <c r="I404" t="s">
        <v>315</v>
      </c>
      <c r="J404">
        <v>4</v>
      </c>
      <c r="K404">
        <v>8</v>
      </c>
      <c r="L404">
        <v>2850</v>
      </c>
      <c r="M404">
        <v>2510</v>
      </c>
      <c r="N404" t="s">
        <v>296</v>
      </c>
      <c r="O404" t="s">
        <v>73</v>
      </c>
      <c r="P404">
        <v>2</v>
      </c>
      <c r="Q404">
        <v>1</v>
      </c>
      <c r="R404">
        <v>2</v>
      </c>
      <c r="S404">
        <v>1</v>
      </c>
      <c r="T404">
        <v>6</v>
      </c>
      <c r="U404">
        <v>8</v>
      </c>
      <c r="V404">
        <v>9</v>
      </c>
      <c r="W404">
        <v>13</v>
      </c>
      <c r="X404">
        <v>9</v>
      </c>
      <c r="Y404">
        <v>9</v>
      </c>
      <c r="Z404">
        <v>3</v>
      </c>
      <c r="AA404">
        <v>5</v>
      </c>
      <c r="AB404">
        <v>3</v>
      </c>
      <c r="AC404">
        <v>2</v>
      </c>
      <c r="AD404">
        <v>21</v>
      </c>
      <c r="AE404">
        <v>16</v>
      </c>
      <c r="AF404">
        <v>6</v>
      </c>
      <c r="AG404">
        <v>7</v>
      </c>
      <c r="AH404">
        <v>1</v>
      </c>
      <c r="AI404">
        <v>1</v>
      </c>
    </row>
    <row r="405" spans="1:35" hidden="1" x14ac:dyDescent="0.25">
      <c r="A405">
        <v>2023</v>
      </c>
      <c r="B405" s="1">
        <v>45100</v>
      </c>
      <c r="C405">
        <v>11</v>
      </c>
      <c r="D405">
        <v>15864</v>
      </c>
      <c r="E405">
        <v>60540</v>
      </c>
      <c r="F405" t="s">
        <v>83</v>
      </c>
      <c r="G405" t="s">
        <v>310</v>
      </c>
      <c r="H405" t="s">
        <v>319</v>
      </c>
      <c r="I405" t="s">
        <v>312</v>
      </c>
      <c r="J405">
        <v>3</v>
      </c>
      <c r="K405">
        <v>18</v>
      </c>
      <c r="L405">
        <v>2490</v>
      </c>
      <c r="M405">
        <v>1050</v>
      </c>
      <c r="N405" t="s">
        <v>122</v>
      </c>
      <c r="O405">
        <v>30</v>
      </c>
      <c r="P405">
        <v>3</v>
      </c>
      <c r="Q405">
        <v>1</v>
      </c>
      <c r="R405">
        <v>1</v>
      </c>
      <c r="S405">
        <v>1</v>
      </c>
      <c r="T405">
        <v>10</v>
      </c>
      <c r="U405">
        <v>2</v>
      </c>
      <c r="V405">
        <v>10</v>
      </c>
      <c r="W405">
        <v>11</v>
      </c>
      <c r="X405">
        <v>11</v>
      </c>
      <c r="Y405">
        <v>10</v>
      </c>
      <c r="Z405">
        <v>1</v>
      </c>
      <c r="AA405">
        <v>7</v>
      </c>
      <c r="AB405">
        <v>2</v>
      </c>
      <c r="AC405">
        <v>3</v>
      </c>
      <c r="AD405">
        <v>22</v>
      </c>
      <c r="AE405">
        <v>8</v>
      </c>
      <c r="AF405">
        <v>11</v>
      </c>
      <c r="AG405">
        <v>3</v>
      </c>
      <c r="AH405">
        <v>2</v>
      </c>
      <c r="AI405">
        <v>1</v>
      </c>
    </row>
    <row r="406" spans="1:35" hidden="1" x14ac:dyDescent="0.25">
      <c r="A406">
        <v>2023</v>
      </c>
      <c r="B406" s="1">
        <v>45102</v>
      </c>
      <c r="C406">
        <v>12</v>
      </c>
      <c r="D406">
        <v>37048</v>
      </c>
      <c r="E406">
        <v>60540</v>
      </c>
      <c r="F406" t="s">
        <v>83</v>
      </c>
      <c r="G406" t="s">
        <v>321</v>
      </c>
      <c r="H406" t="s">
        <v>319</v>
      </c>
      <c r="I406" t="s">
        <v>327</v>
      </c>
      <c r="J406">
        <v>2</v>
      </c>
      <c r="K406">
        <v>20</v>
      </c>
      <c r="L406">
        <v>2830</v>
      </c>
      <c r="M406">
        <v>2140</v>
      </c>
      <c r="N406" t="s">
        <v>105</v>
      </c>
      <c r="O406">
        <v>26</v>
      </c>
      <c r="P406">
        <v>5</v>
      </c>
      <c r="Q406">
        <v>1</v>
      </c>
      <c r="R406">
        <v>1</v>
      </c>
      <c r="S406">
        <v>1</v>
      </c>
      <c r="T406">
        <v>8</v>
      </c>
      <c r="U406">
        <v>5</v>
      </c>
      <c r="V406">
        <v>10</v>
      </c>
      <c r="W406">
        <v>17</v>
      </c>
      <c r="X406">
        <v>15</v>
      </c>
      <c r="Y406">
        <v>10</v>
      </c>
      <c r="Z406">
        <v>6</v>
      </c>
      <c r="AA406">
        <v>3</v>
      </c>
      <c r="AB406">
        <v>2</v>
      </c>
      <c r="AC406">
        <v>4</v>
      </c>
      <c r="AD406">
        <v>17</v>
      </c>
      <c r="AE406">
        <v>17</v>
      </c>
      <c r="AF406">
        <v>4</v>
      </c>
      <c r="AG406">
        <v>8</v>
      </c>
      <c r="AH406">
        <v>4</v>
      </c>
      <c r="AI406">
        <v>1</v>
      </c>
    </row>
    <row r="407" spans="1:35" hidden="1" x14ac:dyDescent="0.25">
      <c r="A407">
        <v>2023</v>
      </c>
      <c r="B407" s="1">
        <v>45151</v>
      </c>
      <c r="C407">
        <v>19</v>
      </c>
      <c r="D407">
        <v>38712</v>
      </c>
      <c r="E407">
        <v>60540</v>
      </c>
      <c r="F407" t="s">
        <v>83</v>
      </c>
      <c r="G407" t="s">
        <v>55</v>
      </c>
      <c r="H407" t="s">
        <v>319</v>
      </c>
      <c r="I407" t="s">
        <v>57</v>
      </c>
      <c r="J407">
        <v>2</v>
      </c>
      <c r="K407">
        <v>7</v>
      </c>
      <c r="L407">
        <v>3800</v>
      </c>
      <c r="M407">
        <v>4350</v>
      </c>
      <c r="N407" t="s">
        <v>123</v>
      </c>
      <c r="O407" t="s">
        <v>138</v>
      </c>
      <c r="P407">
        <v>2</v>
      </c>
      <c r="Q407">
        <v>1</v>
      </c>
      <c r="R407">
        <v>2</v>
      </c>
      <c r="S407">
        <v>1</v>
      </c>
      <c r="T407">
        <v>3</v>
      </c>
      <c r="U407">
        <v>8</v>
      </c>
      <c r="V407">
        <v>11</v>
      </c>
      <c r="W407">
        <v>7</v>
      </c>
      <c r="X407">
        <v>7</v>
      </c>
      <c r="Y407">
        <v>11</v>
      </c>
      <c r="Z407">
        <v>6</v>
      </c>
      <c r="AA407">
        <v>3</v>
      </c>
      <c r="AB407">
        <v>3</v>
      </c>
      <c r="AC407">
        <v>2</v>
      </c>
      <c r="AD407">
        <v>13</v>
      </c>
      <c r="AE407">
        <v>19</v>
      </c>
      <c r="AF407">
        <v>6</v>
      </c>
      <c r="AG407">
        <v>9</v>
      </c>
      <c r="AH407">
        <v>1</v>
      </c>
      <c r="AI407">
        <v>1</v>
      </c>
    </row>
    <row r="408" spans="1:35" hidden="1" x14ac:dyDescent="0.25">
      <c r="A408">
        <v>2023</v>
      </c>
      <c r="B408" s="1">
        <v>45242</v>
      </c>
      <c r="C408">
        <v>34</v>
      </c>
      <c r="D408">
        <v>51842</v>
      </c>
      <c r="E408">
        <v>60540</v>
      </c>
      <c r="F408" t="s">
        <v>83</v>
      </c>
      <c r="G408" t="s">
        <v>88</v>
      </c>
      <c r="H408" t="s">
        <v>319</v>
      </c>
      <c r="I408" t="s">
        <v>240</v>
      </c>
      <c r="J408">
        <v>4</v>
      </c>
      <c r="K408">
        <v>12</v>
      </c>
      <c r="L408">
        <v>3120</v>
      </c>
      <c r="M408">
        <v>2730</v>
      </c>
      <c r="N408" t="s">
        <v>100</v>
      </c>
      <c r="O408" t="s">
        <v>86</v>
      </c>
      <c r="P408">
        <v>0</v>
      </c>
      <c r="Q408">
        <v>1</v>
      </c>
      <c r="R408">
        <v>0</v>
      </c>
      <c r="S408">
        <v>1</v>
      </c>
      <c r="T408">
        <v>12</v>
      </c>
      <c r="U408">
        <v>1</v>
      </c>
      <c r="V408">
        <v>15</v>
      </c>
      <c r="W408">
        <v>6</v>
      </c>
      <c r="X408">
        <v>6</v>
      </c>
      <c r="Y408">
        <v>15</v>
      </c>
      <c r="Z408">
        <v>3</v>
      </c>
      <c r="AA408">
        <v>9</v>
      </c>
      <c r="AB408">
        <v>2</v>
      </c>
      <c r="AC408">
        <v>0</v>
      </c>
      <c r="AD408">
        <v>26</v>
      </c>
      <c r="AE408">
        <v>10</v>
      </c>
      <c r="AF408">
        <v>12</v>
      </c>
      <c r="AG408">
        <v>4</v>
      </c>
      <c r="AH408">
        <v>-1</v>
      </c>
      <c r="AI408">
        <v>0</v>
      </c>
    </row>
    <row r="409" spans="1:35" hidden="1" x14ac:dyDescent="0.25">
      <c r="A409">
        <v>2023</v>
      </c>
      <c r="B409" s="1">
        <v>45260</v>
      </c>
      <c r="C409">
        <v>36</v>
      </c>
      <c r="D409">
        <v>38683</v>
      </c>
      <c r="E409">
        <v>60540</v>
      </c>
      <c r="F409" t="s">
        <v>83</v>
      </c>
      <c r="G409" t="s">
        <v>313</v>
      </c>
      <c r="H409" t="s">
        <v>319</v>
      </c>
      <c r="I409" t="s">
        <v>343</v>
      </c>
      <c r="J409">
        <v>5</v>
      </c>
      <c r="K409">
        <v>18</v>
      </c>
      <c r="L409">
        <v>2770</v>
      </c>
      <c r="M409">
        <v>1175</v>
      </c>
      <c r="N409" t="s">
        <v>174</v>
      </c>
      <c r="O409" t="s">
        <v>86</v>
      </c>
      <c r="P409">
        <v>2</v>
      </c>
      <c r="Q409">
        <v>1</v>
      </c>
      <c r="R409">
        <v>0</v>
      </c>
      <c r="S409">
        <v>1</v>
      </c>
      <c r="T409">
        <v>6</v>
      </c>
      <c r="U409">
        <v>3</v>
      </c>
      <c r="V409">
        <v>16</v>
      </c>
      <c r="W409">
        <v>14</v>
      </c>
      <c r="X409">
        <v>13</v>
      </c>
      <c r="Y409">
        <v>16</v>
      </c>
      <c r="Z409">
        <v>5</v>
      </c>
      <c r="AA409">
        <v>5</v>
      </c>
      <c r="AB409">
        <v>0</v>
      </c>
      <c r="AC409">
        <v>1</v>
      </c>
      <c r="AD409">
        <v>13</v>
      </c>
      <c r="AE409">
        <v>14</v>
      </c>
      <c r="AF409">
        <v>1</v>
      </c>
      <c r="AG409">
        <v>6</v>
      </c>
      <c r="AH409">
        <v>1</v>
      </c>
      <c r="AI409">
        <v>1</v>
      </c>
    </row>
    <row r="410" spans="1:35" hidden="1" x14ac:dyDescent="0.25">
      <c r="A410">
        <v>2023</v>
      </c>
      <c r="B410" s="1">
        <v>45053</v>
      </c>
      <c r="C410">
        <v>4</v>
      </c>
      <c r="D410">
        <v>32949</v>
      </c>
      <c r="E410">
        <v>42372</v>
      </c>
      <c r="F410" t="s">
        <v>69</v>
      </c>
      <c r="G410" t="s">
        <v>77</v>
      </c>
      <c r="H410" t="s">
        <v>308</v>
      </c>
      <c r="I410" t="s">
        <v>329</v>
      </c>
      <c r="J410">
        <v>10</v>
      </c>
      <c r="K410">
        <v>17</v>
      </c>
      <c r="L410">
        <v>5510</v>
      </c>
      <c r="M410">
        <v>6865</v>
      </c>
      <c r="N410" t="s">
        <v>252</v>
      </c>
      <c r="O410" t="s">
        <v>116</v>
      </c>
      <c r="P410">
        <v>2</v>
      </c>
      <c r="Q410">
        <v>1</v>
      </c>
      <c r="R410">
        <v>1</v>
      </c>
      <c r="S410">
        <v>1</v>
      </c>
      <c r="T410">
        <v>2</v>
      </c>
      <c r="U410">
        <v>8</v>
      </c>
      <c r="V410">
        <v>15</v>
      </c>
      <c r="W410">
        <v>11</v>
      </c>
      <c r="X410">
        <v>10</v>
      </c>
      <c r="Y410">
        <v>15</v>
      </c>
      <c r="Z410">
        <v>4</v>
      </c>
      <c r="AA410">
        <v>2</v>
      </c>
      <c r="AB410">
        <v>2</v>
      </c>
      <c r="AC410">
        <v>0</v>
      </c>
      <c r="AD410">
        <v>10</v>
      </c>
      <c r="AE410">
        <v>14</v>
      </c>
      <c r="AF410">
        <v>3</v>
      </c>
      <c r="AG410">
        <v>3</v>
      </c>
      <c r="AH410">
        <v>1</v>
      </c>
      <c r="AI410">
        <v>1</v>
      </c>
    </row>
    <row r="411" spans="1:35" hidden="1" x14ac:dyDescent="0.25">
      <c r="A411">
        <v>2023</v>
      </c>
      <c r="B411" s="1">
        <v>45171</v>
      </c>
      <c r="C411">
        <v>22</v>
      </c>
      <c r="D411">
        <v>18009</v>
      </c>
      <c r="E411">
        <v>42372</v>
      </c>
      <c r="F411" t="s">
        <v>69</v>
      </c>
      <c r="G411" t="s">
        <v>89</v>
      </c>
      <c r="H411" t="s">
        <v>325</v>
      </c>
      <c r="I411" t="s">
        <v>336</v>
      </c>
      <c r="J411">
        <v>7</v>
      </c>
      <c r="K411">
        <v>9</v>
      </c>
      <c r="L411">
        <v>4480</v>
      </c>
      <c r="M411">
        <v>4560</v>
      </c>
      <c r="N411" t="s">
        <v>73</v>
      </c>
      <c r="O411" t="s">
        <v>200</v>
      </c>
      <c r="P411">
        <v>1</v>
      </c>
      <c r="Q411">
        <v>1</v>
      </c>
      <c r="R411">
        <v>0</v>
      </c>
      <c r="S411">
        <v>1</v>
      </c>
      <c r="T411">
        <v>12</v>
      </c>
      <c r="U411">
        <v>7</v>
      </c>
      <c r="V411">
        <v>13</v>
      </c>
      <c r="W411">
        <v>13</v>
      </c>
      <c r="X411">
        <v>12</v>
      </c>
      <c r="Y411">
        <v>12</v>
      </c>
      <c r="Z411">
        <v>6</v>
      </c>
      <c r="AA411">
        <v>5</v>
      </c>
      <c r="AB411">
        <v>1</v>
      </c>
      <c r="AC411">
        <v>1</v>
      </c>
      <c r="AD411">
        <v>23</v>
      </c>
      <c r="AE411">
        <v>9</v>
      </c>
      <c r="AF411">
        <v>10</v>
      </c>
      <c r="AG411">
        <v>2</v>
      </c>
      <c r="AH411">
        <v>0</v>
      </c>
      <c r="AI411">
        <v>0</v>
      </c>
    </row>
    <row r="412" spans="1:35" hidden="1" x14ac:dyDescent="0.25">
      <c r="A412">
        <v>2023</v>
      </c>
      <c r="B412" s="1">
        <v>45191</v>
      </c>
      <c r="C412">
        <v>24</v>
      </c>
      <c r="D412">
        <v>25967</v>
      </c>
      <c r="E412">
        <v>42372</v>
      </c>
      <c r="F412" t="s">
        <v>69</v>
      </c>
      <c r="G412" t="s">
        <v>37</v>
      </c>
      <c r="H412" t="s">
        <v>325</v>
      </c>
      <c r="I412" t="s">
        <v>39</v>
      </c>
      <c r="J412">
        <v>6</v>
      </c>
      <c r="K412">
        <v>14</v>
      </c>
      <c r="L412">
        <v>5190</v>
      </c>
      <c r="M412">
        <v>1980</v>
      </c>
      <c r="N412" t="s">
        <v>151</v>
      </c>
      <c r="O412" t="s">
        <v>66</v>
      </c>
      <c r="P412">
        <v>2</v>
      </c>
      <c r="Q412">
        <v>1</v>
      </c>
      <c r="R412">
        <v>1</v>
      </c>
      <c r="S412">
        <v>1</v>
      </c>
      <c r="T412">
        <v>7</v>
      </c>
      <c r="U412">
        <v>5</v>
      </c>
      <c r="V412">
        <v>12</v>
      </c>
      <c r="W412">
        <v>17</v>
      </c>
      <c r="X412">
        <v>16</v>
      </c>
      <c r="Y412">
        <v>12</v>
      </c>
      <c r="Z412">
        <v>3</v>
      </c>
      <c r="AA412">
        <v>4</v>
      </c>
      <c r="AB412">
        <v>1</v>
      </c>
      <c r="AC412">
        <v>1</v>
      </c>
      <c r="AD412">
        <v>15</v>
      </c>
      <c r="AE412">
        <v>13</v>
      </c>
      <c r="AF412">
        <v>7</v>
      </c>
      <c r="AG412">
        <v>5</v>
      </c>
      <c r="AH412">
        <v>1</v>
      </c>
      <c r="AI412">
        <v>1</v>
      </c>
    </row>
    <row r="413" spans="1:35" hidden="1" x14ac:dyDescent="0.25">
      <c r="A413">
        <v>2023</v>
      </c>
      <c r="B413" s="1">
        <v>45207</v>
      </c>
      <c r="C413">
        <v>26</v>
      </c>
      <c r="D413">
        <v>15388</v>
      </c>
      <c r="E413">
        <v>42372</v>
      </c>
      <c r="F413" t="s">
        <v>69</v>
      </c>
      <c r="G413" t="s">
        <v>56</v>
      </c>
      <c r="H413" t="s">
        <v>325</v>
      </c>
      <c r="I413" t="s">
        <v>58</v>
      </c>
      <c r="J413">
        <v>8</v>
      </c>
      <c r="K413">
        <v>2</v>
      </c>
      <c r="L413">
        <v>3160</v>
      </c>
      <c r="M413">
        <v>3490</v>
      </c>
      <c r="N413" t="s">
        <v>80</v>
      </c>
      <c r="O413">
        <v>26</v>
      </c>
      <c r="P413">
        <v>1</v>
      </c>
      <c r="Q413">
        <v>1</v>
      </c>
      <c r="R413">
        <v>1</v>
      </c>
      <c r="S413">
        <v>1</v>
      </c>
      <c r="T413">
        <v>8</v>
      </c>
      <c r="U413">
        <v>7</v>
      </c>
      <c r="V413">
        <v>15</v>
      </c>
      <c r="W413">
        <v>15</v>
      </c>
      <c r="X413">
        <v>14</v>
      </c>
      <c r="Y413">
        <v>14</v>
      </c>
      <c r="Z413">
        <v>2</v>
      </c>
      <c r="AA413">
        <v>4</v>
      </c>
      <c r="AB413">
        <v>6</v>
      </c>
      <c r="AC413">
        <v>0</v>
      </c>
      <c r="AD413">
        <v>23</v>
      </c>
      <c r="AE413">
        <v>12</v>
      </c>
      <c r="AF413">
        <v>13</v>
      </c>
      <c r="AG413">
        <v>4</v>
      </c>
      <c r="AH413">
        <v>0</v>
      </c>
      <c r="AI413">
        <v>0</v>
      </c>
    </row>
    <row r="414" spans="1:35" hidden="1" x14ac:dyDescent="0.25">
      <c r="A414">
        <v>2023</v>
      </c>
      <c r="B414" s="1">
        <v>45228</v>
      </c>
      <c r="C414">
        <v>30</v>
      </c>
      <c r="D414">
        <v>27604</v>
      </c>
      <c r="E414">
        <v>42372</v>
      </c>
      <c r="F414" t="s">
        <v>69</v>
      </c>
      <c r="G414" t="s">
        <v>62</v>
      </c>
      <c r="H414" t="s">
        <v>325</v>
      </c>
      <c r="I414" t="s">
        <v>315</v>
      </c>
      <c r="J414">
        <v>7</v>
      </c>
      <c r="K414">
        <v>12</v>
      </c>
      <c r="L414">
        <v>3220</v>
      </c>
      <c r="M414">
        <v>3100</v>
      </c>
      <c r="N414" t="s">
        <v>80</v>
      </c>
      <c r="O414" t="s">
        <v>122</v>
      </c>
      <c r="P414">
        <v>1</v>
      </c>
      <c r="Q414">
        <v>1</v>
      </c>
      <c r="R414">
        <v>1</v>
      </c>
      <c r="S414">
        <v>1</v>
      </c>
      <c r="T414">
        <v>4</v>
      </c>
      <c r="U414">
        <v>3</v>
      </c>
      <c r="V414">
        <v>13</v>
      </c>
      <c r="W414">
        <v>12</v>
      </c>
      <c r="X414">
        <v>12</v>
      </c>
      <c r="Y414">
        <v>13</v>
      </c>
      <c r="Z414">
        <v>1</v>
      </c>
      <c r="AA414">
        <v>4</v>
      </c>
      <c r="AB414">
        <v>3</v>
      </c>
      <c r="AC414">
        <v>0</v>
      </c>
      <c r="AD414">
        <v>16</v>
      </c>
      <c r="AE414">
        <v>5</v>
      </c>
      <c r="AF414">
        <v>10</v>
      </c>
      <c r="AG414">
        <v>2</v>
      </c>
      <c r="AH414">
        <v>0</v>
      </c>
      <c r="AI414">
        <v>0</v>
      </c>
    </row>
    <row r="415" spans="1:35" hidden="1" x14ac:dyDescent="0.25">
      <c r="A415">
        <v>2023</v>
      </c>
      <c r="B415" s="1">
        <v>45239</v>
      </c>
      <c r="C415">
        <v>33</v>
      </c>
      <c r="D415">
        <v>19831</v>
      </c>
      <c r="E415">
        <v>42372</v>
      </c>
      <c r="F415" t="s">
        <v>69</v>
      </c>
      <c r="G415" t="s">
        <v>63</v>
      </c>
      <c r="H415" t="s">
        <v>325</v>
      </c>
      <c r="I415" t="s">
        <v>65</v>
      </c>
      <c r="J415">
        <v>7</v>
      </c>
      <c r="K415">
        <v>11</v>
      </c>
      <c r="L415">
        <v>2815</v>
      </c>
      <c r="M415">
        <v>965</v>
      </c>
      <c r="N415" t="s">
        <v>163</v>
      </c>
      <c r="O415" t="s">
        <v>67</v>
      </c>
      <c r="P415">
        <v>1</v>
      </c>
      <c r="Q415">
        <v>1</v>
      </c>
      <c r="R415">
        <v>0</v>
      </c>
      <c r="S415">
        <v>0</v>
      </c>
      <c r="T415">
        <v>15</v>
      </c>
      <c r="U415">
        <v>2</v>
      </c>
      <c r="V415">
        <v>20</v>
      </c>
      <c r="W415">
        <v>12</v>
      </c>
      <c r="X415">
        <v>12</v>
      </c>
      <c r="Y415">
        <v>19</v>
      </c>
      <c r="Z415">
        <v>2</v>
      </c>
      <c r="AA415">
        <v>2</v>
      </c>
      <c r="AB415">
        <v>3</v>
      </c>
      <c r="AC415">
        <v>1</v>
      </c>
      <c r="AD415">
        <v>20</v>
      </c>
      <c r="AE415">
        <v>13</v>
      </c>
      <c r="AF415">
        <v>11</v>
      </c>
      <c r="AG415">
        <v>7</v>
      </c>
      <c r="AH415">
        <v>0</v>
      </c>
      <c r="AI415">
        <v>0</v>
      </c>
    </row>
    <row r="416" spans="1:35" hidden="1" x14ac:dyDescent="0.25">
      <c r="A416">
        <v>2023</v>
      </c>
      <c r="B416" s="1">
        <v>45074</v>
      </c>
      <c r="C416">
        <v>8</v>
      </c>
      <c r="D416">
        <v>53236</v>
      </c>
      <c r="E416">
        <v>57483</v>
      </c>
      <c r="F416" t="s">
        <v>89</v>
      </c>
      <c r="G416" t="s">
        <v>95</v>
      </c>
      <c r="H416" t="s">
        <v>39</v>
      </c>
      <c r="I416" t="s">
        <v>97</v>
      </c>
      <c r="J416">
        <v>4</v>
      </c>
      <c r="K416">
        <v>2</v>
      </c>
      <c r="L416">
        <v>4530</v>
      </c>
      <c r="M416">
        <v>7820</v>
      </c>
      <c r="N416" t="s">
        <v>174</v>
      </c>
      <c r="O416" t="s">
        <v>100</v>
      </c>
      <c r="P416">
        <v>1</v>
      </c>
      <c r="Q416">
        <v>1</v>
      </c>
      <c r="R416">
        <v>1</v>
      </c>
      <c r="S416">
        <v>0</v>
      </c>
      <c r="T416">
        <v>3</v>
      </c>
      <c r="U416">
        <v>3</v>
      </c>
      <c r="V416">
        <v>27</v>
      </c>
      <c r="W416">
        <v>15</v>
      </c>
      <c r="X416">
        <v>15</v>
      </c>
      <c r="Y416">
        <v>24</v>
      </c>
      <c r="Z416">
        <v>1</v>
      </c>
      <c r="AA416">
        <v>3</v>
      </c>
      <c r="AB416">
        <v>0</v>
      </c>
      <c r="AC416">
        <v>3</v>
      </c>
      <c r="AD416">
        <v>10</v>
      </c>
      <c r="AE416">
        <v>11</v>
      </c>
      <c r="AF416">
        <v>4</v>
      </c>
      <c r="AG416">
        <v>4</v>
      </c>
      <c r="AH416">
        <v>0</v>
      </c>
      <c r="AI416">
        <v>0</v>
      </c>
    </row>
    <row r="417" spans="1:35" hidden="1" x14ac:dyDescent="0.25">
      <c r="A417">
        <v>2023</v>
      </c>
      <c r="B417" s="1">
        <v>45087</v>
      </c>
      <c r="C417">
        <v>10</v>
      </c>
      <c r="D417">
        <v>28786</v>
      </c>
      <c r="E417">
        <v>57483</v>
      </c>
      <c r="F417" t="s">
        <v>89</v>
      </c>
      <c r="G417" t="s">
        <v>56</v>
      </c>
      <c r="H417" t="s">
        <v>39</v>
      </c>
      <c r="I417" t="s">
        <v>58</v>
      </c>
      <c r="J417">
        <v>4</v>
      </c>
      <c r="K417">
        <v>12</v>
      </c>
      <c r="L417">
        <v>4160</v>
      </c>
      <c r="M417">
        <v>2800</v>
      </c>
      <c r="N417" t="s">
        <v>100</v>
      </c>
      <c r="O417" t="s">
        <v>339</v>
      </c>
      <c r="P417">
        <v>1</v>
      </c>
      <c r="Q417">
        <v>1</v>
      </c>
      <c r="R417">
        <v>1</v>
      </c>
      <c r="S417">
        <v>1</v>
      </c>
      <c r="T417">
        <v>7</v>
      </c>
      <c r="U417">
        <v>2</v>
      </c>
      <c r="V417">
        <v>8</v>
      </c>
      <c r="W417">
        <v>14</v>
      </c>
      <c r="X417">
        <v>13</v>
      </c>
      <c r="Y417">
        <v>7</v>
      </c>
      <c r="Z417">
        <v>2</v>
      </c>
      <c r="AA417">
        <v>5</v>
      </c>
      <c r="AB417">
        <v>5</v>
      </c>
      <c r="AC417">
        <v>1</v>
      </c>
      <c r="AD417">
        <v>16</v>
      </c>
      <c r="AE417">
        <v>7</v>
      </c>
      <c r="AF417">
        <v>3</v>
      </c>
      <c r="AG417">
        <v>1</v>
      </c>
      <c r="AH417">
        <v>0</v>
      </c>
      <c r="AI417">
        <v>0</v>
      </c>
    </row>
    <row r="418" spans="1:35" hidden="1" x14ac:dyDescent="0.25">
      <c r="A418">
        <v>2023</v>
      </c>
      <c r="B418" s="1">
        <v>45115</v>
      </c>
      <c r="C418">
        <v>14</v>
      </c>
      <c r="D418">
        <v>21086</v>
      </c>
      <c r="E418">
        <v>57483</v>
      </c>
      <c r="F418" t="s">
        <v>89</v>
      </c>
      <c r="G418" t="s">
        <v>88</v>
      </c>
      <c r="H418" t="s">
        <v>336</v>
      </c>
      <c r="I418" t="s">
        <v>317</v>
      </c>
      <c r="J418">
        <v>12</v>
      </c>
      <c r="K418">
        <v>15</v>
      </c>
      <c r="L418">
        <v>3830</v>
      </c>
      <c r="M418">
        <v>4370</v>
      </c>
      <c r="N418">
        <v>30</v>
      </c>
      <c r="O418" t="s">
        <v>120</v>
      </c>
      <c r="P418">
        <v>0</v>
      </c>
      <c r="Q418">
        <v>1</v>
      </c>
      <c r="R418">
        <v>0</v>
      </c>
      <c r="S418">
        <v>1</v>
      </c>
      <c r="T418">
        <v>10</v>
      </c>
      <c r="U418">
        <v>2</v>
      </c>
      <c r="V418">
        <v>15</v>
      </c>
      <c r="W418">
        <v>7</v>
      </c>
      <c r="X418">
        <v>6</v>
      </c>
      <c r="Y418">
        <v>14</v>
      </c>
      <c r="Z418">
        <v>1</v>
      </c>
      <c r="AA418">
        <v>6</v>
      </c>
      <c r="AB418">
        <v>0</v>
      </c>
      <c r="AC418">
        <v>0</v>
      </c>
      <c r="AD418">
        <v>27</v>
      </c>
      <c r="AE418">
        <v>8</v>
      </c>
      <c r="AF418">
        <v>8</v>
      </c>
      <c r="AG418">
        <v>3</v>
      </c>
      <c r="AH418">
        <v>-1</v>
      </c>
      <c r="AI418">
        <v>0</v>
      </c>
    </row>
    <row r="419" spans="1:35" hidden="1" x14ac:dyDescent="0.25">
      <c r="A419">
        <v>2023</v>
      </c>
      <c r="B419" s="1">
        <v>45080</v>
      </c>
      <c r="C419">
        <v>9</v>
      </c>
      <c r="D419">
        <v>34344</v>
      </c>
      <c r="E419">
        <v>54927</v>
      </c>
      <c r="F419" t="s">
        <v>50</v>
      </c>
      <c r="G419" t="s">
        <v>89</v>
      </c>
      <c r="H419" t="s">
        <v>335</v>
      </c>
      <c r="I419" t="s">
        <v>39</v>
      </c>
      <c r="J419">
        <v>10</v>
      </c>
      <c r="K419">
        <v>3</v>
      </c>
      <c r="L419">
        <v>1830</v>
      </c>
      <c r="M419">
        <v>3950</v>
      </c>
      <c r="N419" t="s">
        <v>134</v>
      </c>
      <c r="O419" t="s">
        <v>296</v>
      </c>
      <c r="P419">
        <v>0</v>
      </c>
      <c r="Q419">
        <v>1</v>
      </c>
      <c r="R419">
        <v>0</v>
      </c>
      <c r="S419">
        <v>1</v>
      </c>
      <c r="T419">
        <v>12</v>
      </c>
      <c r="U419">
        <v>4</v>
      </c>
      <c r="V419">
        <v>19</v>
      </c>
      <c r="W419">
        <v>21</v>
      </c>
      <c r="X419">
        <v>20</v>
      </c>
      <c r="Y419">
        <v>18</v>
      </c>
      <c r="Z419">
        <v>2</v>
      </c>
      <c r="AA419">
        <v>6</v>
      </c>
      <c r="AB419">
        <v>3</v>
      </c>
      <c r="AC419">
        <v>5</v>
      </c>
      <c r="AD419">
        <v>19</v>
      </c>
      <c r="AE419">
        <v>7</v>
      </c>
      <c r="AF419">
        <v>7</v>
      </c>
      <c r="AG419">
        <v>3</v>
      </c>
      <c r="AH419">
        <v>-1</v>
      </c>
      <c r="AI419">
        <v>0</v>
      </c>
    </row>
    <row r="420" spans="1:35" hidden="1" x14ac:dyDescent="0.25">
      <c r="A420">
        <v>2023</v>
      </c>
      <c r="B420" s="1">
        <v>45081</v>
      </c>
      <c r="C420">
        <v>9</v>
      </c>
      <c r="D420">
        <v>9600</v>
      </c>
      <c r="E420">
        <v>20120</v>
      </c>
      <c r="F420" t="s">
        <v>326</v>
      </c>
      <c r="G420" t="s">
        <v>37</v>
      </c>
      <c r="H420" t="s">
        <v>328</v>
      </c>
      <c r="I420" t="s">
        <v>240</v>
      </c>
      <c r="J420">
        <v>12</v>
      </c>
      <c r="K420">
        <v>13</v>
      </c>
      <c r="L420">
        <v>2140</v>
      </c>
      <c r="M420">
        <v>3880</v>
      </c>
      <c r="N420">
        <v>27</v>
      </c>
      <c r="O420" t="s">
        <v>135</v>
      </c>
      <c r="P420">
        <v>1</v>
      </c>
      <c r="Q420">
        <v>1</v>
      </c>
      <c r="R420">
        <v>1</v>
      </c>
      <c r="S420">
        <v>1</v>
      </c>
      <c r="T420">
        <v>5</v>
      </c>
      <c r="U420">
        <v>5</v>
      </c>
      <c r="V420">
        <v>19</v>
      </c>
      <c r="W420">
        <v>12</v>
      </c>
      <c r="X420">
        <v>12</v>
      </c>
      <c r="Y420">
        <v>17</v>
      </c>
      <c r="Z420">
        <v>2</v>
      </c>
      <c r="AA420">
        <v>3</v>
      </c>
      <c r="AB420">
        <v>0</v>
      </c>
      <c r="AC420">
        <v>0</v>
      </c>
      <c r="AD420">
        <v>17</v>
      </c>
      <c r="AE420">
        <v>8</v>
      </c>
      <c r="AF420">
        <v>12</v>
      </c>
      <c r="AG420">
        <v>3</v>
      </c>
      <c r="AH420">
        <v>0</v>
      </c>
      <c r="AI420">
        <v>0</v>
      </c>
    </row>
    <row r="421" spans="1:35" hidden="1" x14ac:dyDescent="0.25">
      <c r="A421">
        <v>2023</v>
      </c>
      <c r="B421" s="1">
        <v>45143</v>
      </c>
      <c r="C421">
        <v>18</v>
      </c>
      <c r="D421">
        <v>0</v>
      </c>
      <c r="E421">
        <v>20120</v>
      </c>
      <c r="F421" t="s">
        <v>326</v>
      </c>
      <c r="G421" t="s">
        <v>69</v>
      </c>
      <c r="H421" t="s">
        <v>308</v>
      </c>
      <c r="I421" t="s">
        <v>325</v>
      </c>
      <c r="J421">
        <v>17</v>
      </c>
      <c r="K421">
        <v>7</v>
      </c>
      <c r="L421">
        <v>3600</v>
      </c>
      <c r="M421">
        <v>2365</v>
      </c>
      <c r="N421" t="s">
        <v>41</v>
      </c>
      <c r="O421" t="s">
        <v>135</v>
      </c>
      <c r="P421">
        <v>1</v>
      </c>
      <c r="Q421">
        <v>1</v>
      </c>
      <c r="R421">
        <v>0</v>
      </c>
      <c r="S421">
        <v>1</v>
      </c>
      <c r="T421">
        <v>3</v>
      </c>
      <c r="U421">
        <v>3</v>
      </c>
      <c r="V421">
        <v>19</v>
      </c>
      <c r="W421">
        <v>27</v>
      </c>
      <c r="X421">
        <v>25</v>
      </c>
      <c r="Y421">
        <v>19</v>
      </c>
      <c r="Z421">
        <v>1</v>
      </c>
      <c r="AA421">
        <v>2</v>
      </c>
      <c r="AB421">
        <v>2</v>
      </c>
      <c r="AC421">
        <v>2</v>
      </c>
      <c r="AD421">
        <v>8</v>
      </c>
      <c r="AE421">
        <v>3</v>
      </c>
      <c r="AF421">
        <v>2</v>
      </c>
      <c r="AG421">
        <v>1</v>
      </c>
      <c r="AH421">
        <v>0</v>
      </c>
      <c r="AI421">
        <v>0</v>
      </c>
    </row>
    <row r="422" spans="1:35" hidden="1" x14ac:dyDescent="0.25">
      <c r="A422">
        <v>2023</v>
      </c>
      <c r="B422" s="1">
        <v>45158</v>
      </c>
      <c r="C422">
        <v>20</v>
      </c>
      <c r="D422">
        <v>12933</v>
      </c>
      <c r="E422">
        <v>20120</v>
      </c>
      <c r="F422" t="s">
        <v>326</v>
      </c>
      <c r="G422" t="s">
        <v>83</v>
      </c>
      <c r="H422" t="s">
        <v>342</v>
      </c>
      <c r="I422" t="s">
        <v>319</v>
      </c>
      <c r="J422">
        <v>17</v>
      </c>
      <c r="K422">
        <v>5</v>
      </c>
      <c r="L422">
        <v>3740</v>
      </c>
      <c r="M422">
        <v>4000</v>
      </c>
      <c r="N422" t="s">
        <v>168</v>
      </c>
      <c r="O422" t="s">
        <v>129</v>
      </c>
      <c r="P422">
        <v>2</v>
      </c>
      <c r="Q422">
        <v>1</v>
      </c>
      <c r="R422">
        <v>0</v>
      </c>
      <c r="S422">
        <v>0</v>
      </c>
      <c r="T422">
        <v>9</v>
      </c>
      <c r="U422">
        <v>4</v>
      </c>
      <c r="V422">
        <v>16</v>
      </c>
      <c r="W422">
        <v>21</v>
      </c>
      <c r="X422">
        <v>21</v>
      </c>
      <c r="Y422">
        <v>16</v>
      </c>
      <c r="Z422">
        <v>2</v>
      </c>
      <c r="AA422">
        <v>5</v>
      </c>
      <c r="AB422">
        <v>0</v>
      </c>
      <c r="AC422">
        <v>2</v>
      </c>
      <c r="AD422">
        <v>19</v>
      </c>
      <c r="AE422">
        <v>9</v>
      </c>
      <c r="AF422">
        <v>8</v>
      </c>
      <c r="AG422">
        <v>2</v>
      </c>
      <c r="AH422">
        <v>1</v>
      </c>
      <c r="AI422">
        <v>1</v>
      </c>
    </row>
    <row r="423" spans="1:35" hidden="1" x14ac:dyDescent="0.25">
      <c r="A423">
        <v>2023</v>
      </c>
      <c r="B423" s="1">
        <v>45200</v>
      </c>
      <c r="C423">
        <v>25</v>
      </c>
      <c r="D423">
        <v>8342</v>
      </c>
      <c r="E423">
        <v>20120</v>
      </c>
      <c r="F423" t="s">
        <v>326</v>
      </c>
      <c r="G423" t="s">
        <v>82</v>
      </c>
      <c r="H423" t="s">
        <v>338</v>
      </c>
      <c r="I423" t="s">
        <v>84</v>
      </c>
      <c r="J423">
        <v>15</v>
      </c>
      <c r="K423">
        <v>17</v>
      </c>
      <c r="L423">
        <v>4060</v>
      </c>
      <c r="M423">
        <v>3230</v>
      </c>
      <c r="N423" t="s">
        <v>168</v>
      </c>
      <c r="O423" t="s">
        <v>104</v>
      </c>
      <c r="P423">
        <v>4</v>
      </c>
      <c r="Q423">
        <v>1</v>
      </c>
      <c r="R423">
        <v>3</v>
      </c>
      <c r="S423">
        <v>1</v>
      </c>
      <c r="T423">
        <v>5</v>
      </c>
      <c r="U423">
        <v>11</v>
      </c>
      <c r="V423">
        <v>19</v>
      </c>
      <c r="W423">
        <v>12</v>
      </c>
      <c r="X423">
        <v>12</v>
      </c>
      <c r="Y423">
        <v>19</v>
      </c>
      <c r="Z423">
        <v>4</v>
      </c>
      <c r="AA423">
        <v>1</v>
      </c>
      <c r="AB423">
        <v>4</v>
      </c>
      <c r="AC423">
        <v>2</v>
      </c>
      <c r="AD423">
        <v>17</v>
      </c>
      <c r="AE423">
        <v>13</v>
      </c>
      <c r="AF423">
        <v>5</v>
      </c>
      <c r="AG423">
        <v>6</v>
      </c>
      <c r="AH423">
        <v>3</v>
      </c>
      <c r="AI423">
        <v>1</v>
      </c>
    </row>
    <row r="424" spans="1:35" hidden="1" x14ac:dyDescent="0.25">
      <c r="A424">
        <v>2023</v>
      </c>
      <c r="B424" s="1">
        <v>45226</v>
      </c>
      <c r="C424">
        <v>29</v>
      </c>
      <c r="D424">
        <v>12205</v>
      </c>
      <c r="E424">
        <v>20120</v>
      </c>
      <c r="F424" t="s">
        <v>326</v>
      </c>
      <c r="G424" t="s">
        <v>321</v>
      </c>
      <c r="H424" t="s">
        <v>338</v>
      </c>
      <c r="I424" t="s">
        <v>322</v>
      </c>
      <c r="J424">
        <v>16</v>
      </c>
      <c r="K424">
        <v>19</v>
      </c>
      <c r="L424">
        <v>4060</v>
      </c>
      <c r="M424">
        <v>1625</v>
      </c>
      <c r="N424" t="s">
        <v>168</v>
      </c>
      <c r="O424" t="s">
        <v>174</v>
      </c>
      <c r="P424">
        <v>2</v>
      </c>
      <c r="Q424">
        <v>1</v>
      </c>
      <c r="R424">
        <v>1</v>
      </c>
      <c r="S424">
        <v>1</v>
      </c>
      <c r="T424">
        <v>11</v>
      </c>
      <c r="U424">
        <v>2</v>
      </c>
      <c r="V424">
        <v>15</v>
      </c>
      <c r="W424">
        <v>21</v>
      </c>
      <c r="X424">
        <v>20</v>
      </c>
      <c r="Y424">
        <v>14</v>
      </c>
      <c r="Z424">
        <v>1</v>
      </c>
      <c r="AA424">
        <v>5</v>
      </c>
      <c r="AB424">
        <v>1</v>
      </c>
      <c r="AC424">
        <v>2</v>
      </c>
      <c r="AD424">
        <v>24</v>
      </c>
      <c r="AE424">
        <v>3</v>
      </c>
      <c r="AF424">
        <v>13</v>
      </c>
      <c r="AG424">
        <v>1</v>
      </c>
      <c r="AH424">
        <v>1</v>
      </c>
      <c r="AI424">
        <v>1</v>
      </c>
    </row>
    <row r="425" spans="1:35" hidden="1" x14ac:dyDescent="0.25">
      <c r="A425">
        <v>2023</v>
      </c>
      <c r="B425" s="1">
        <v>45031</v>
      </c>
      <c r="C425">
        <v>1</v>
      </c>
      <c r="D425">
        <v>3368</v>
      </c>
      <c r="E425">
        <v>13212</v>
      </c>
      <c r="F425" t="s">
        <v>56</v>
      </c>
      <c r="G425" t="s">
        <v>38</v>
      </c>
      <c r="H425" t="s">
        <v>58</v>
      </c>
      <c r="I425" t="s">
        <v>316</v>
      </c>
      <c r="J425">
        <v>5</v>
      </c>
      <c r="K425">
        <v>12</v>
      </c>
      <c r="L425">
        <v>2210</v>
      </c>
      <c r="M425">
        <v>1945</v>
      </c>
      <c r="N425" t="s">
        <v>351</v>
      </c>
      <c r="O425" t="s">
        <v>122</v>
      </c>
      <c r="P425">
        <v>2</v>
      </c>
      <c r="Q425">
        <v>1</v>
      </c>
      <c r="R425">
        <v>0</v>
      </c>
      <c r="S425">
        <v>1</v>
      </c>
      <c r="T425">
        <v>4</v>
      </c>
      <c r="U425">
        <v>7</v>
      </c>
      <c r="V425">
        <v>20</v>
      </c>
      <c r="W425">
        <v>13</v>
      </c>
      <c r="X425">
        <v>13</v>
      </c>
      <c r="Y425">
        <v>20</v>
      </c>
      <c r="Z425">
        <v>2</v>
      </c>
      <c r="AA425">
        <v>5</v>
      </c>
      <c r="AB425">
        <v>2</v>
      </c>
      <c r="AC425">
        <v>3</v>
      </c>
      <c r="AD425">
        <v>13</v>
      </c>
      <c r="AE425">
        <v>9</v>
      </c>
      <c r="AF425">
        <v>4</v>
      </c>
      <c r="AG425">
        <v>5</v>
      </c>
      <c r="AH425">
        <v>1</v>
      </c>
      <c r="AI425">
        <v>1</v>
      </c>
    </row>
    <row r="426" spans="1:35" hidden="1" x14ac:dyDescent="0.25">
      <c r="A426">
        <v>2023</v>
      </c>
      <c r="B426" s="1">
        <v>45153</v>
      </c>
      <c r="C426">
        <v>19</v>
      </c>
      <c r="D426">
        <v>5553</v>
      </c>
      <c r="E426">
        <v>13212</v>
      </c>
      <c r="F426" t="s">
        <v>56</v>
      </c>
      <c r="G426" t="s">
        <v>82</v>
      </c>
      <c r="H426" t="s">
        <v>58</v>
      </c>
      <c r="I426" t="s">
        <v>84</v>
      </c>
      <c r="J426">
        <v>5</v>
      </c>
      <c r="K426">
        <v>18</v>
      </c>
      <c r="L426">
        <v>3210</v>
      </c>
      <c r="M426">
        <v>3030</v>
      </c>
      <c r="N426" t="s">
        <v>171</v>
      </c>
      <c r="O426" t="s">
        <v>104</v>
      </c>
      <c r="P426">
        <v>1</v>
      </c>
      <c r="Q426">
        <v>1</v>
      </c>
      <c r="R426">
        <v>1</v>
      </c>
      <c r="S426">
        <v>1</v>
      </c>
      <c r="T426">
        <v>7</v>
      </c>
      <c r="U426">
        <v>6</v>
      </c>
      <c r="V426">
        <v>12</v>
      </c>
      <c r="W426">
        <v>17</v>
      </c>
      <c r="X426">
        <v>16</v>
      </c>
      <c r="Y426">
        <v>12</v>
      </c>
      <c r="Z426">
        <v>3</v>
      </c>
      <c r="AA426">
        <v>6</v>
      </c>
      <c r="AB426">
        <v>0</v>
      </c>
      <c r="AC426">
        <v>3</v>
      </c>
      <c r="AD426">
        <v>24</v>
      </c>
      <c r="AE426">
        <v>8</v>
      </c>
      <c r="AF426">
        <v>11</v>
      </c>
      <c r="AG426">
        <v>2</v>
      </c>
      <c r="AH426">
        <v>0</v>
      </c>
      <c r="AI426">
        <v>0</v>
      </c>
    </row>
    <row r="427" spans="1:35" hidden="1" x14ac:dyDescent="0.25">
      <c r="A427">
        <v>2023</v>
      </c>
      <c r="B427" s="1">
        <v>45200</v>
      </c>
      <c r="C427">
        <v>25</v>
      </c>
      <c r="D427">
        <v>9093</v>
      </c>
      <c r="E427">
        <v>13212</v>
      </c>
      <c r="F427" t="s">
        <v>56</v>
      </c>
      <c r="G427" t="s">
        <v>95</v>
      </c>
      <c r="H427" t="s">
        <v>58</v>
      </c>
      <c r="I427" t="s">
        <v>97</v>
      </c>
      <c r="J427">
        <v>2</v>
      </c>
      <c r="K427">
        <v>4</v>
      </c>
      <c r="L427">
        <v>3440</v>
      </c>
      <c r="M427">
        <v>5180</v>
      </c>
      <c r="N427" t="s">
        <v>122</v>
      </c>
      <c r="O427" t="s">
        <v>352</v>
      </c>
      <c r="P427">
        <v>2</v>
      </c>
      <c r="Q427">
        <v>1</v>
      </c>
      <c r="R427">
        <v>0</v>
      </c>
      <c r="S427">
        <v>1</v>
      </c>
      <c r="T427">
        <v>6</v>
      </c>
      <c r="U427">
        <v>4</v>
      </c>
      <c r="V427">
        <v>14</v>
      </c>
      <c r="W427">
        <v>20</v>
      </c>
      <c r="X427">
        <v>19</v>
      </c>
      <c r="Y427">
        <v>12</v>
      </c>
      <c r="Z427">
        <v>2</v>
      </c>
      <c r="AA427">
        <v>6</v>
      </c>
      <c r="AB427">
        <v>0</v>
      </c>
      <c r="AC427">
        <v>3</v>
      </c>
      <c r="AD427">
        <v>22</v>
      </c>
      <c r="AE427">
        <v>10</v>
      </c>
      <c r="AF427">
        <v>8</v>
      </c>
      <c r="AG427">
        <v>6</v>
      </c>
      <c r="AH427">
        <v>1</v>
      </c>
      <c r="AI427">
        <v>1</v>
      </c>
    </row>
    <row r="428" spans="1:35" hidden="1" x14ac:dyDescent="0.25">
      <c r="A428">
        <v>2023</v>
      </c>
      <c r="B428" s="1">
        <v>45157</v>
      </c>
      <c r="C428">
        <v>20</v>
      </c>
      <c r="D428">
        <v>21134</v>
      </c>
      <c r="E428">
        <v>50848</v>
      </c>
      <c r="F428" t="s">
        <v>37</v>
      </c>
      <c r="G428" t="s">
        <v>63</v>
      </c>
      <c r="H428" t="s">
        <v>39</v>
      </c>
      <c r="I428" t="s">
        <v>65</v>
      </c>
      <c r="J428">
        <v>14</v>
      </c>
      <c r="K428">
        <v>8</v>
      </c>
      <c r="L428">
        <v>2680</v>
      </c>
      <c r="M428">
        <v>1525</v>
      </c>
      <c r="N428" t="s">
        <v>66</v>
      </c>
      <c r="O428" t="s">
        <v>92</v>
      </c>
      <c r="P428">
        <v>0</v>
      </c>
      <c r="Q428">
        <v>1</v>
      </c>
      <c r="R428">
        <v>0</v>
      </c>
      <c r="S428">
        <v>1</v>
      </c>
      <c r="T428">
        <v>10</v>
      </c>
      <c r="U428">
        <v>6</v>
      </c>
      <c r="V428">
        <v>14</v>
      </c>
      <c r="W428">
        <v>12</v>
      </c>
      <c r="X428">
        <v>11</v>
      </c>
      <c r="Y428">
        <v>14</v>
      </c>
      <c r="Z428">
        <v>1</v>
      </c>
      <c r="AA428">
        <v>5</v>
      </c>
      <c r="AB428">
        <v>1</v>
      </c>
      <c r="AC428">
        <v>1</v>
      </c>
      <c r="AD428">
        <v>19</v>
      </c>
      <c r="AE428">
        <v>8</v>
      </c>
      <c r="AF428">
        <v>10</v>
      </c>
      <c r="AG428">
        <v>4</v>
      </c>
      <c r="AH428">
        <v>-1</v>
      </c>
      <c r="AI428">
        <v>0</v>
      </c>
    </row>
    <row r="429" spans="1:35" hidden="1" x14ac:dyDescent="0.25">
      <c r="A429">
        <v>2023</v>
      </c>
      <c r="B429" s="1">
        <v>45183</v>
      </c>
      <c r="C429">
        <v>23</v>
      </c>
      <c r="D429">
        <v>20763</v>
      </c>
      <c r="E429">
        <v>50848</v>
      </c>
      <c r="F429" t="s">
        <v>37</v>
      </c>
      <c r="G429" t="s">
        <v>62</v>
      </c>
      <c r="H429" t="s">
        <v>39</v>
      </c>
      <c r="I429" t="s">
        <v>315</v>
      </c>
      <c r="J429">
        <v>13</v>
      </c>
      <c r="K429">
        <v>10</v>
      </c>
      <c r="L429">
        <v>3455</v>
      </c>
      <c r="M429">
        <v>3460</v>
      </c>
      <c r="N429" t="s">
        <v>174</v>
      </c>
      <c r="O429" t="s">
        <v>123</v>
      </c>
      <c r="P429">
        <v>2</v>
      </c>
      <c r="Q429">
        <v>1</v>
      </c>
      <c r="R429">
        <v>0</v>
      </c>
      <c r="S429">
        <v>1</v>
      </c>
      <c r="T429">
        <v>4</v>
      </c>
      <c r="U429">
        <v>7</v>
      </c>
      <c r="V429">
        <v>17</v>
      </c>
      <c r="W429">
        <v>14</v>
      </c>
      <c r="X429">
        <v>13</v>
      </c>
      <c r="Y429">
        <v>17</v>
      </c>
      <c r="Z429">
        <v>2</v>
      </c>
      <c r="AA429">
        <v>3</v>
      </c>
      <c r="AB429">
        <v>0</v>
      </c>
      <c r="AC429">
        <v>0</v>
      </c>
      <c r="AD429">
        <v>15</v>
      </c>
      <c r="AE429">
        <v>11</v>
      </c>
      <c r="AF429">
        <v>6</v>
      </c>
      <c r="AG429">
        <v>7</v>
      </c>
      <c r="AH429">
        <v>1</v>
      </c>
      <c r="AI429">
        <v>1</v>
      </c>
    </row>
    <row r="430" spans="1:35" hidden="1" x14ac:dyDescent="0.25">
      <c r="A430">
        <v>2023</v>
      </c>
      <c r="B430" s="1">
        <v>45221</v>
      </c>
      <c r="C430">
        <v>28</v>
      </c>
      <c r="D430">
        <v>36584</v>
      </c>
      <c r="E430">
        <v>50848</v>
      </c>
      <c r="F430" t="s">
        <v>37</v>
      </c>
      <c r="G430" t="s">
        <v>326</v>
      </c>
      <c r="H430" t="s">
        <v>39</v>
      </c>
      <c r="I430" t="s">
        <v>338</v>
      </c>
      <c r="J430">
        <v>12</v>
      </c>
      <c r="K430">
        <v>18</v>
      </c>
      <c r="L430">
        <v>4945</v>
      </c>
      <c r="M430">
        <v>2570</v>
      </c>
      <c r="N430" t="s">
        <v>111</v>
      </c>
      <c r="O430" t="s">
        <v>100</v>
      </c>
      <c r="P430">
        <v>7</v>
      </c>
      <c r="Q430">
        <v>1</v>
      </c>
      <c r="R430">
        <v>4</v>
      </c>
      <c r="S430">
        <v>0</v>
      </c>
      <c r="T430">
        <v>3</v>
      </c>
      <c r="U430">
        <v>6</v>
      </c>
      <c r="V430">
        <v>18</v>
      </c>
      <c r="W430">
        <v>9</v>
      </c>
      <c r="X430">
        <v>9</v>
      </c>
      <c r="Y430">
        <v>17</v>
      </c>
      <c r="Z430">
        <v>2</v>
      </c>
      <c r="AA430">
        <v>1</v>
      </c>
      <c r="AB430">
        <v>2</v>
      </c>
      <c r="AC430">
        <v>0</v>
      </c>
      <c r="AD430">
        <v>13</v>
      </c>
      <c r="AE430">
        <v>9</v>
      </c>
      <c r="AF430">
        <v>3</v>
      </c>
      <c r="AG430">
        <v>6</v>
      </c>
      <c r="AH430">
        <v>6</v>
      </c>
      <c r="AI430">
        <v>1</v>
      </c>
    </row>
    <row r="431" spans="1:35" hidden="1" x14ac:dyDescent="0.25">
      <c r="A431">
        <v>2023</v>
      </c>
      <c r="B431" s="1">
        <v>45231</v>
      </c>
      <c r="C431">
        <v>31</v>
      </c>
      <c r="D431">
        <v>14961</v>
      </c>
      <c r="E431">
        <v>50848</v>
      </c>
      <c r="F431" t="s">
        <v>37</v>
      </c>
      <c r="G431" t="s">
        <v>310</v>
      </c>
      <c r="H431" t="s">
        <v>39</v>
      </c>
      <c r="I431" t="s">
        <v>344</v>
      </c>
      <c r="J431">
        <v>14</v>
      </c>
      <c r="K431">
        <v>20</v>
      </c>
      <c r="L431">
        <v>3295</v>
      </c>
      <c r="M431">
        <v>815</v>
      </c>
      <c r="N431">
        <v>30</v>
      </c>
      <c r="O431" t="s">
        <v>193</v>
      </c>
      <c r="P431">
        <v>1</v>
      </c>
      <c r="Q431">
        <v>1</v>
      </c>
      <c r="R431">
        <v>1</v>
      </c>
      <c r="S431">
        <v>0</v>
      </c>
      <c r="T431">
        <v>3</v>
      </c>
      <c r="U431">
        <v>5</v>
      </c>
      <c r="V431">
        <v>15</v>
      </c>
      <c r="W431">
        <v>14</v>
      </c>
      <c r="X431">
        <v>13</v>
      </c>
      <c r="Y431">
        <v>14</v>
      </c>
      <c r="Z431">
        <v>1</v>
      </c>
      <c r="AA431">
        <v>3</v>
      </c>
      <c r="AB431">
        <v>0</v>
      </c>
      <c r="AC431">
        <v>2</v>
      </c>
      <c r="AD431">
        <v>15</v>
      </c>
      <c r="AE431">
        <v>11</v>
      </c>
      <c r="AF431">
        <v>9</v>
      </c>
      <c r="AG431">
        <v>6</v>
      </c>
      <c r="AH431">
        <v>0</v>
      </c>
      <c r="AI431">
        <v>0</v>
      </c>
    </row>
    <row r="432" spans="1:35" hidden="1" x14ac:dyDescent="0.25">
      <c r="A432">
        <v>2023</v>
      </c>
      <c r="B432" s="1">
        <v>45267</v>
      </c>
      <c r="C432">
        <v>38</v>
      </c>
      <c r="D432">
        <v>27365</v>
      </c>
      <c r="E432">
        <v>50848</v>
      </c>
      <c r="F432" t="s">
        <v>37</v>
      </c>
      <c r="G432" t="s">
        <v>51</v>
      </c>
      <c r="H432" t="s">
        <v>39</v>
      </c>
      <c r="I432" t="s">
        <v>333</v>
      </c>
      <c r="J432">
        <v>9</v>
      </c>
      <c r="K432">
        <v>5</v>
      </c>
      <c r="L432">
        <v>2905</v>
      </c>
      <c r="M432">
        <v>2430</v>
      </c>
      <c r="N432" t="s">
        <v>200</v>
      </c>
      <c r="O432" t="s">
        <v>120</v>
      </c>
      <c r="P432">
        <v>3</v>
      </c>
      <c r="Q432">
        <v>1</v>
      </c>
      <c r="R432">
        <v>1</v>
      </c>
      <c r="S432">
        <v>0</v>
      </c>
      <c r="T432">
        <v>1</v>
      </c>
      <c r="U432">
        <v>5</v>
      </c>
      <c r="V432">
        <v>10</v>
      </c>
      <c r="W432">
        <v>10</v>
      </c>
      <c r="X432">
        <v>10</v>
      </c>
      <c r="Y432">
        <v>10</v>
      </c>
      <c r="Z432">
        <v>4</v>
      </c>
      <c r="AA432">
        <v>0</v>
      </c>
      <c r="AB432">
        <v>2</v>
      </c>
      <c r="AC432">
        <v>3</v>
      </c>
      <c r="AD432">
        <v>7</v>
      </c>
      <c r="AE432">
        <v>9</v>
      </c>
      <c r="AF432">
        <v>3</v>
      </c>
      <c r="AG432">
        <v>2</v>
      </c>
      <c r="AH432">
        <v>2</v>
      </c>
      <c r="AI432">
        <v>1</v>
      </c>
    </row>
    <row r="433" spans="1:35" hidden="1" x14ac:dyDescent="0.25">
      <c r="A433">
        <v>2023</v>
      </c>
      <c r="B433" s="1">
        <v>45046</v>
      </c>
      <c r="C433">
        <v>3</v>
      </c>
      <c r="D433">
        <v>15037</v>
      </c>
      <c r="E433">
        <v>24483</v>
      </c>
      <c r="F433" t="s">
        <v>89</v>
      </c>
      <c r="G433" t="s">
        <v>69</v>
      </c>
      <c r="H433" t="s">
        <v>39</v>
      </c>
      <c r="I433" t="s">
        <v>308</v>
      </c>
      <c r="J433">
        <v>10</v>
      </c>
      <c r="K433">
        <v>15</v>
      </c>
      <c r="L433">
        <v>4450</v>
      </c>
      <c r="M433">
        <v>5130</v>
      </c>
      <c r="N433" t="s">
        <v>105</v>
      </c>
      <c r="O433">
        <v>25</v>
      </c>
      <c r="P433">
        <v>2</v>
      </c>
      <c r="Q433">
        <v>1</v>
      </c>
      <c r="R433">
        <v>1</v>
      </c>
      <c r="S433">
        <v>0</v>
      </c>
      <c r="T433">
        <v>1</v>
      </c>
      <c r="U433">
        <v>5</v>
      </c>
      <c r="V433">
        <v>18</v>
      </c>
      <c r="W433">
        <v>11</v>
      </c>
      <c r="X433">
        <v>11</v>
      </c>
      <c r="Y433">
        <v>18</v>
      </c>
      <c r="Z433">
        <v>2</v>
      </c>
      <c r="AA433">
        <v>4</v>
      </c>
      <c r="AB433">
        <v>2</v>
      </c>
      <c r="AC433">
        <v>3</v>
      </c>
      <c r="AD433">
        <v>16</v>
      </c>
      <c r="AE433">
        <v>8</v>
      </c>
      <c r="AF433">
        <v>9</v>
      </c>
      <c r="AG433">
        <v>1</v>
      </c>
      <c r="AH433">
        <v>1</v>
      </c>
      <c r="AI433">
        <v>1</v>
      </c>
    </row>
    <row r="434" spans="1:35" hidden="1" x14ac:dyDescent="0.25">
      <c r="A434">
        <v>2023</v>
      </c>
      <c r="B434" s="1">
        <v>45031</v>
      </c>
      <c r="C434">
        <v>1</v>
      </c>
      <c r="D434">
        <v>30191</v>
      </c>
      <c r="E434">
        <v>60326</v>
      </c>
      <c r="F434" t="s">
        <v>63</v>
      </c>
      <c r="G434" t="s">
        <v>37</v>
      </c>
      <c r="H434" t="s">
        <v>65</v>
      </c>
      <c r="I434" t="s">
        <v>240</v>
      </c>
      <c r="J434">
        <v>11</v>
      </c>
      <c r="K434">
        <v>10</v>
      </c>
      <c r="L434">
        <v>1280</v>
      </c>
      <c r="M434">
        <v>3280</v>
      </c>
      <c r="N434" t="s">
        <v>309</v>
      </c>
      <c r="O434" t="s">
        <v>41</v>
      </c>
      <c r="P434">
        <v>1</v>
      </c>
      <c r="Q434">
        <v>1</v>
      </c>
      <c r="R434">
        <v>0</v>
      </c>
      <c r="S434">
        <v>0</v>
      </c>
      <c r="T434">
        <v>5</v>
      </c>
      <c r="U434">
        <v>1</v>
      </c>
      <c r="V434">
        <v>18</v>
      </c>
      <c r="W434">
        <v>13</v>
      </c>
      <c r="X434">
        <v>13</v>
      </c>
      <c r="Y434">
        <v>16</v>
      </c>
      <c r="Z434">
        <v>5</v>
      </c>
      <c r="AA434">
        <v>5</v>
      </c>
      <c r="AB434">
        <v>0</v>
      </c>
      <c r="AC434">
        <v>2</v>
      </c>
      <c r="AD434">
        <v>24</v>
      </c>
      <c r="AE434">
        <v>11</v>
      </c>
      <c r="AF434">
        <v>7</v>
      </c>
      <c r="AG434">
        <v>5</v>
      </c>
      <c r="AH434">
        <v>0</v>
      </c>
      <c r="AI434">
        <v>0</v>
      </c>
    </row>
    <row r="435" spans="1:35" hidden="1" x14ac:dyDescent="0.25">
      <c r="A435">
        <v>2023</v>
      </c>
      <c r="B435" s="1">
        <v>45101</v>
      </c>
      <c r="C435">
        <v>12</v>
      </c>
      <c r="D435">
        <v>27109</v>
      </c>
      <c r="E435">
        <v>60326</v>
      </c>
      <c r="F435" t="s">
        <v>63</v>
      </c>
      <c r="G435" t="s">
        <v>89</v>
      </c>
      <c r="H435" t="s">
        <v>65</v>
      </c>
      <c r="I435" t="s">
        <v>336</v>
      </c>
      <c r="J435">
        <v>8</v>
      </c>
      <c r="K435">
        <v>10</v>
      </c>
      <c r="L435">
        <v>1490</v>
      </c>
      <c r="M435">
        <v>5130</v>
      </c>
      <c r="N435">
        <v>30</v>
      </c>
      <c r="O435">
        <v>29</v>
      </c>
      <c r="P435">
        <v>2</v>
      </c>
      <c r="Q435">
        <v>1</v>
      </c>
      <c r="R435">
        <v>0</v>
      </c>
      <c r="S435">
        <v>0</v>
      </c>
      <c r="T435">
        <v>3</v>
      </c>
      <c r="U435">
        <v>8</v>
      </c>
      <c r="V435">
        <v>10</v>
      </c>
      <c r="W435">
        <v>13</v>
      </c>
      <c r="X435">
        <v>13</v>
      </c>
      <c r="Y435">
        <v>8</v>
      </c>
      <c r="Z435">
        <v>3</v>
      </c>
      <c r="AA435">
        <v>1</v>
      </c>
      <c r="AB435">
        <v>1</v>
      </c>
      <c r="AC435">
        <v>1</v>
      </c>
      <c r="AD435">
        <v>9</v>
      </c>
      <c r="AE435">
        <v>18</v>
      </c>
      <c r="AF435">
        <v>2</v>
      </c>
      <c r="AG435">
        <v>9</v>
      </c>
      <c r="AH435">
        <v>1</v>
      </c>
      <c r="AI435">
        <v>1</v>
      </c>
    </row>
    <row r="436" spans="1:35" hidden="1" x14ac:dyDescent="0.25">
      <c r="A436">
        <v>2023</v>
      </c>
      <c r="B436" s="1">
        <v>45123</v>
      </c>
      <c r="C436">
        <v>15</v>
      </c>
      <c r="D436">
        <v>43048</v>
      </c>
      <c r="E436">
        <v>60326</v>
      </c>
      <c r="F436" t="s">
        <v>63</v>
      </c>
      <c r="G436" t="s">
        <v>70</v>
      </c>
      <c r="H436" t="s">
        <v>65</v>
      </c>
      <c r="I436" t="s">
        <v>90</v>
      </c>
      <c r="J436">
        <v>9</v>
      </c>
      <c r="K436">
        <v>13</v>
      </c>
      <c r="L436">
        <v>1420</v>
      </c>
      <c r="M436">
        <v>850</v>
      </c>
      <c r="N436" t="s">
        <v>197</v>
      </c>
      <c r="O436" t="s">
        <v>105</v>
      </c>
      <c r="P436">
        <v>0</v>
      </c>
      <c r="Q436">
        <v>1</v>
      </c>
      <c r="R436">
        <v>0</v>
      </c>
      <c r="S436">
        <v>1</v>
      </c>
      <c r="T436">
        <v>10</v>
      </c>
      <c r="U436">
        <v>0</v>
      </c>
      <c r="V436">
        <v>17</v>
      </c>
      <c r="W436">
        <v>17</v>
      </c>
      <c r="X436">
        <v>16</v>
      </c>
      <c r="Y436">
        <v>17</v>
      </c>
      <c r="Z436">
        <v>0</v>
      </c>
      <c r="AA436">
        <v>6</v>
      </c>
      <c r="AB436">
        <v>2</v>
      </c>
      <c r="AC436">
        <v>2</v>
      </c>
      <c r="AD436">
        <v>21</v>
      </c>
      <c r="AE436">
        <v>7</v>
      </c>
      <c r="AF436">
        <v>9</v>
      </c>
      <c r="AG436">
        <v>5</v>
      </c>
      <c r="AH436">
        <v>-1</v>
      </c>
      <c r="AI436">
        <v>0</v>
      </c>
    </row>
    <row r="437" spans="1:35" hidden="1" x14ac:dyDescent="0.25">
      <c r="A437">
        <v>2023</v>
      </c>
      <c r="B437" s="1">
        <v>45199</v>
      </c>
      <c r="C437">
        <v>25</v>
      </c>
      <c r="D437">
        <v>23634</v>
      </c>
      <c r="E437">
        <v>60326</v>
      </c>
      <c r="F437" t="s">
        <v>63</v>
      </c>
      <c r="G437" t="s">
        <v>83</v>
      </c>
      <c r="H437" t="s">
        <v>65</v>
      </c>
      <c r="I437" t="s">
        <v>319</v>
      </c>
      <c r="J437">
        <v>9</v>
      </c>
      <c r="K437">
        <v>3</v>
      </c>
      <c r="L437">
        <v>1450</v>
      </c>
      <c r="M437">
        <v>3135</v>
      </c>
      <c r="N437" t="s">
        <v>166</v>
      </c>
      <c r="O437" t="s">
        <v>193</v>
      </c>
      <c r="P437">
        <v>1</v>
      </c>
      <c r="Q437">
        <v>1</v>
      </c>
      <c r="R437">
        <v>1</v>
      </c>
      <c r="S437">
        <v>0</v>
      </c>
      <c r="T437">
        <v>3</v>
      </c>
      <c r="U437">
        <v>7</v>
      </c>
      <c r="V437">
        <v>10</v>
      </c>
      <c r="W437">
        <v>12</v>
      </c>
      <c r="X437">
        <v>10</v>
      </c>
      <c r="Y437">
        <v>10</v>
      </c>
      <c r="Z437">
        <v>3</v>
      </c>
      <c r="AA437">
        <v>5</v>
      </c>
      <c r="AB437">
        <v>1</v>
      </c>
      <c r="AC437">
        <v>1</v>
      </c>
      <c r="AD437">
        <v>18</v>
      </c>
      <c r="AE437">
        <v>15</v>
      </c>
      <c r="AF437">
        <v>10</v>
      </c>
      <c r="AG437">
        <v>8</v>
      </c>
      <c r="AH437">
        <v>0</v>
      </c>
      <c r="AI437">
        <v>0</v>
      </c>
    </row>
    <row r="438" spans="1:35" hidden="1" x14ac:dyDescent="0.25">
      <c r="A438">
        <v>2023</v>
      </c>
      <c r="B438" s="1">
        <v>45248</v>
      </c>
      <c r="C438">
        <v>30</v>
      </c>
      <c r="D438">
        <v>30804</v>
      </c>
      <c r="E438">
        <v>60326</v>
      </c>
      <c r="F438" t="s">
        <v>63</v>
      </c>
      <c r="G438" t="s">
        <v>50</v>
      </c>
      <c r="H438" t="s">
        <v>65</v>
      </c>
      <c r="I438" t="s">
        <v>334</v>
      </c>
      <c r="J438">
        <v>9</v>
      </c>
      <c r="K438">
        <v>11</v>
      </c>
      <c r="L438">
        <v>1385</v>
      </c>
      <c r="M438">
        <v>2135</v>
      </c>
      <c r="N438" t="s">
        <v>200</v>
      </c>
      <c r="O438">
        <v>28</v>
      </c>
      <c r="P438">
        <v>0</v>
      </c>
      <c r="Q438">
        <v>1</v>
      </c>
      <c r="R438">
        <v>0</v>
      </c>
      <c r="S438">
        <v>0</v>
      </c>
      <c r="T438">
        <v>11</v>
      </c>
      <c r="U438">
        <v>1</v>
      </c>
      <c r="V438">
        <v>16</v>
      </c>
      <c r="W438">
        <v>14</v>
      </c>
      <c r="X438">
        <v>14</v>
      </c>
      <c r="Y438">
        <v>15</v>
      </c>
      <c r="Z438">
        <v>1</v>
      </c>
      <c r="AA438">
        <v>7</v>
      </c>
      <c r="AB438">
        <v>6</v>
      </c>
      <c r="AC438">
        <v>0</v>
      </c>
      <c r="AD438">
        <v>18</v>
      </c>
      <c r="AE438">
        <v>7</v>
      </c>
      <c r="AF438">
        <v>7</v>
      </c>
      <c r="AG438">
        <v>4</v>
      </c>
      <c r="AH438">
        <v>-1</v>
      </c>
      <c r="AI438">
        <v>0</v>
      </c>
    </row>
    <row r="439" spans="1:35" hidden="1" x14ac:dyDescent="0.25">
      <c r="A439">
        <v>2023</v>
      </c>
      <c r="B439" s="1">
        <v>45052</v>
      </c>
      <c r="C439">
        <v>4</v>
      </c>
      <c r="D439">
        <v>21191</v>
      </c>
      <c r="E439">
        <v>25000</v>
      </c>
      <c r="F439" t="s">
        <v>50</v>
      </c>
      <c r="G439" t="s">
        <v>326</v>
      </c>
      <c r="H439" t="s">
        <v>335</v>
      </c>
      <c r="I439" t="s">
        <v>328</v>
      </c>
      <c r="J439">
        <v>3</v>
      </c>
      <c r="K439">
        <v>14</v>
      </c>
      <c r="L439">
        <v>1515</v>
      </c>
      <c r="M439">
        <v>3440</v>
      </c>
      <c r="N439" t="s">
        <v>123</v>
      </c>
      <c r="O439" t="s">
        <v>116</v>
      </c>
      <c r="P439">
        <v>2</v>
      </c>
      <c r="Q439">
        <v>1</v>
      </c>
      <c r="R439">
        <v>1</v>
      </c>
      <c r="S439">
        <v>0</v>
      </c>
      <c r="T439">
        <v>4</v>
      </c>
      <c r="U439">
        <v>4</v>
      </c>
      <c r="V439">
        <v>17</v>
      </c>
      <c r="W439">
        <v>15</v>
      </c>
      <c r="X439">
        <v>14</v>
      </c>
      <c r="Y439">
        <v>16</v>
      </c>
      <c r="Z439">
        <v>3</v>
      </c>
      <c r="AA439">
        <v>1</v>
      </c>
      <c r="AB439">
        <v>0</v>
      </c>
      <c r="AC439">
        <v>5</v>
      </c>
      <c r="AD439">
        <v>10</v>
      </c>
      <c r="AE439">
        <v>9</v>
      </c>
      <c r="AF439">
        <v>6</v>
      </c>
      <c r="AG439">
        <v>4</v>
      </c>
      <c r="AH439">
        <v>1</v>
      </c>
      <c r="AI439">
        <v>1</v>
      </c>
    </row>
    <row r="440" spans="1:35" hidden="1" x14ac:dyDescent="0.25">
      <c r="A440">
        <v>2023</v>
      </c>
      <c r="B440" s="1">
        <v>45066</v>
      </c>
      <c r="C440">
        <v>7</v>
      </c>
      <c r="D440">
        <v>2488</v>
      </c>
      <c r="E440">
        <v>25000</v>
      </c>
      <c r="F440" t="s">
        <v>310</v>
      </c>
      <c r="G440" t="s">
        <v>63</v>
      </c>
      <c r="H440" t="s">
        <v>312</v>
      </c>
      <c r="I440" t="s">
        <v>65</v>
      </c>
      <c r="J440">
        <v>19</v>
      </c>
      <c r="K440">
        <v>11</v>
      </c>
      <c r="L440">
        <v>890</v>
      </c>
      <c r="M440">
        <v>1600</v>
      </c>
      <c r="N440" t="s">
        <v>137</v>
      </c>
      <c r="O440" t="s">
        <v>137</v>
      </c>
      <c r="P440">
        <v>2</v>
      </c>
      <c r="Q440">
        <v>1</v>
      </c>
      <c r="R440">
        <v>2</v>
      </c>
      <c r="S440">
        <v>1</v>
      </c>
      <c r="T440">
        <v>1</v>
      </c>
      <c r="U440">
        <v>2</v>
      </c>
      <c r="V440">
        <v>14</v>
      </c>
      <c r="W440">
        <v>8</v>
      </c>
      <c r="X440">
        <v>6</v>
      </c>
      <c r="Y440">
        <v>14</v>
      </c>
      <c r="Z440">
        <v>4</v>
      </c>
      <c r="AA440">
        <v>1</v>
      </c>
      <c r="AB440">
        <v>0</v>
      </c>
      <c r="AC440">
        <v>1</v>
      </c>
      <c r="AD440">
        <v>9</v>
      </c>
      <c r="AE440">
        <v>16</v>
      </c>
      <c r="AF440">
        <v>5</v>
      </c>
      <c r="AG440">
        <v>5</v>
      </c>
      <c r="AH440">
        <v>1</v>
      </c>
      <c r="AI440">
        <v>1</v>
      </c>
    </row>
    <row r="441" spans="1:35" hidden="1" x14ac:dyDescent="0.25">
      <c r="A441">
        <v>2023</v>
      </c>
      <c r="B441" s="1">
        <v>45195</v>
      </c>
      <c r="C441">
        <v>15</v>
      </c>
      <c r="D441">
        <v>8498</v>
      </c>
      <c r="E441">
        <v>25000</v>
      </c>
      <c r="F441" t="s">
        <v>310</v>
      </c>
      <c r="G441" t="s">
        <v>82</v>
      </c>
      <c r="H441" t="s">
        <v>344</v>
      </c>
      <c r="I441" t="s">
        <v>84</v>
      </c>
      <c r="J441">
        <v>20</v>
      </c>
      <c r="K441">
        <v>17</v>
      </c>
      <c r="L441">
        <v>840</v>
      </c>
      <c r="M441">
        <v>2800</v>
      </c>
      <c r="N441" t="s">
        <v>166</v>
      </c>
      <c r="O441" t="s">
        <v>123</v>
      </c>
      <c r="P441">
        <v>0</v>
      </c>
      <c r="Q441">
        <v>1</v>
      </c>
      <c r="R441">
        <v>0</v>
      </c>
      <c r="S441">
        <v>0</v>
      </c>
      <c r="T441">
        <v>3</v>
      </c>
      <c r="U441">
        <v>8</v>
      </c>
      <c r="V441">
        <v>16</v>
      </c>
      <c r="W441">
        <v>15</v>
      </c>
      <c r="X441">
        <v>15</v>
      </c>
      <c r="Y441">
        <v>16</v>
      </c>
      <c r="Z441">
        <v>2</v>
      </c>
      <c r="AA441">
        <v>7</v>
      </c>
      <c r="AB441">
        <v>1</v>
      </c>
      <c r="AC441">
        <v>2</v>
      </c>
      <c r="AD441">
        <v>18</v>
      </c>
      <c r="AE441">
        <v>15</v>
      </c>
      <c r="AF441">
        <v>8</v>
      </c>
      <c r="AG441">
        <v>7</v>
      </c>
      <c r="AH441">
        <v>-1</v>
      </c>
      <c r="AI441">
        <v>0</v>
      </c>
    </row>
    <row r="442" spans="1:35" hidden="1" x14ac:dyDescent="0.25">
      <c r="A442">
        <v>2023</v>
      </c>
      <c r="B442" s="1">
        <v>45130</v>
      </c>
      <c r="C442">
        <v>16</v>
      </c>
      <c r="D442">
        <v>21688</v>
      </c>
      <c r="E442">
        <v>25000</v>
      </c>
      <c r="F442" t="s">
        <v>50</v>
      </c>
      <c r="G442" t="s">
        <v>313</v>
      </c>
      <c r="H442" t="s">
        <v>335</v>
      </c>
      <c r="I442" t="s">
        <v>314</v>
      </c>
      <c r="J442">
        <v>11</v>
      </c>
      <c r="K442">
        <v>16</v>
      </c>
      <c r="L442">
        <v>1950</v>
      </c>
      <c r="M442">
        <v>1023</v>
      </c>
      <c r="N442" t="s">
        <v>134</v>
      </c>
      <c r="O442" t="s">
        <v>105</v>
      </c>
      <c r="P442">
        <v>0</v>
      </c>
      <c r="Q442">
        <v>1</v>
      </c>
      <c r="R442">
        <v>0</v>
      </c>
      <c r="S442">
        <v>1</v>
      </c>
      <c r="T442">
        <v>13</v>
      </c>
      <c r="U442">
        <v>1</v>
      </c>
      <c r="V442">
        <v>8</v>
      </c>
      <c r="W442">
        <v>21</v>
      </c>
      <c r="X442">
        <v>20</v>
      </c>
      <c r="Y442">
        <v>8</v>
      </c>
      <c r="Z442">
        <v>1</v>
      </c>
      <c r="AA442">
        <v>1</v>
      </c>
      <c r="AB442">
        <v>2</v>
      </c>
      <c r="AC442">
        <v>2</v>
      </c>
      <c r="AD442">
        <v>16</v>
      </c>
      <c r="AE442">
        <v>7</v>
      </c>
      <c r="AF442">
        <v>8</v>
      </c>
      <c r="AG442">
        <v>4</v>
      </c>
      <c r="AH442">
        <v>-1</v>
      </c>
      <c r="AI442">
        <v>0</v>
      </c>
    </row>
    <row r="443" spans="1:35" hidden="1" x14ac:dyDescent="0.25">
      <c r="A443">
        <v>2023</v>
      </c>
      <c r="B443" s="1">
        <v>45151</v>
      </c>
      <c r="C443">
        <v>19</v>
      </c>
      <c r="D443">
        <v>2888</v>
      </c>
      <c r="E443">
        <v>25000</v>
      </c>
      <c r="F443" t="s">
        <v>310</v>
      </c>
      <c r="G443" t="s">
        <v>313</v>
      </c>
      <c r="H443" t="s">
        <v>344</v>
      </c>
      <c r="I443" t="s">
        <v>314</v>
      </c>
      <c r="J443">
        <v>20</v>
      </c>
      <c r="K443">
        <v>15</v>
      </c>
      <c r="L443">
        <v>800</v>
      </c>
      <c r="M443">
        <v>963</v>
      </c>
      <c r="N443" t="s">
        <v>98</v>
      </c>
      <c r="O443" t="s">
        <v>66</v>
      </c>
      <c r="P443">
        <v>0</v>
      </c>
      <c r="Q443">
        <v>1</v>
      </c>
      <c r="R443">
        <v>0</v>
      </c>
      <c r="S443">
        <v>1</v>
      </c>
      <c r="T443">
        <v>7</v>
      </c>
      <c r="U443">
        <v>3</v>
      </c>
      <c r="V443">
        <v>12</v>
      </c>
      <c r="W443">
        <v>12</v>
      </c>
      <c r="X443">
        <v>12</v>
      </c>
      <c r="Y443">
        <v>12</v>
      </c>
      <c r="Z443">
        <v>2</v>
      </c>
      <c r="AA443">
        <v>2</v>
      </c>
      <c r="AB443">
        <v>2</v>
      </c>
      <c r="AC443">
        <v>1</v>
      </c>
      <c r="AD443">
        <v>15</v>
      </c>
      <c r="AE443">
        <v>9</v>
      </c>
      <c r="AF443">
        <v>5</v>
      </c>
      <c r="AG443">
        <v>5</v>
      </c>
      <c r="AH443">
        <v>-1</v>
      </c>
      <c r="AI443">
        <v>0</v>
      </c>
    </row>
    <row r="444" spans="1:35" hidden="1" x14ac:dyDescent="0.25">
      <c r="A444">
        <v>2023</v>
      </c>
      <c r="B444" s="1">
        <v>45165</v>
      </c>
      <c r="C444">
        <v>21</v>
      </c>
      <c r="D444">
        <v>5105</v>
      </c>
      <c r="E444">
        <v>25000</v>
      </c>
      <c r="F444" t="s">
        <v>310</v>
      </c>
      <c r="G444" t="s">
        <v>62</v>
      </c>
      <c r="H444" t="s">
        <v>344</v>
      </c>
      <c r="I444" t="s">
        <v>315</v>
      </c>
      <c r="J444">
        <v>20</v>
      </c>
      <c r="K444">
        <v>11</v>
      </c>
      <c r="L444">
        <v>800</v>
      </c>
      <c r="M444">
        <v>2620</v>
      </c>
      <c r="N444" t="s">
        <v>197</v>
      </c>
      <c r="O444" t="s">
        <v>332</v>
      </c>
      <c r="P444">
        <v>2</v>
      </c>
      <c r="Q444">
        <v>1</v>
      </c>
      <c r="R444">
        <v>0</v>
      </c>
      <c r="S444">
        <v>0</v>
      </c>
      <c r="T444">
        <v>4</v>
      </c>
      <c r="U444">
        <v>6</v>
      </c>
      <c r="V444">
        <v>21</v>
      </c>
      <c r="W444">
        <v>9</v>
      </c>
      <c r="X444">
        <v>9</v>
      </c>
      <c r="Y444">
        <v>21</v>
      </c>
      <c r="Z444">
        <v>4</v>
      </c>
      <c r="AA444">
        <v>2</v>
      </c>
      <c r="AB444">
        <v>2</v>
      </c>
      <c r="AC444">
        <v>0</v>
      </c>
      <c r="AD444">
        <v>9</v>
      </c>
      <c r="AE444">
        <v>13</v>
      </c>
      <c r="AF444">
        <v>3</v>
      </c>
      <c r="AG444">
        <v>4</v>
      </c>
      <c r="AH444">
        <v>1</v>
      </c>
      <c r="AI444">
        <v>1</v>
      </c>
    </row>
    <row r="445" spans="1:35" hidden="1" x14ac:dyDescent="0.25">
      <c r="A445">
        <v>2023</v>
      </c>
      <c r="B445" s="1">
        <v>45221</v>
      </c>
      <c r="C445">
        <v>28</v>
      </c>
      <c r="D445">
        <v>42058</v>
      </c>
      <c r="E445">
        <v>46000</v>
      </c>
      <c r="F445" t="s">
        <v>89</v>
      </c>
      <c r="G445" t="s">
        <v>50</v>
      </c>
      <c r="H445" t="s">
        <v>336</v>
      </c>
      <c r="I445" t="s">
        <v>323</v>
      </c>
      <c r="J445">
        <v>7</v>
      </c>
      <c r="K445">
        <v>14</v>
      </c>
      <c r="L445">
        <v>5200</v>
      </c>
      <c r="M445">
        <v>2055</v>
      </c>
      <c r="N445">
        <v>28</v>
      </c>
      <c r="O445" t="s">
        <v>129</v>
      </c>
      <c r="P445">
        <v>0</v>
      </c>
      <c r="Q445">
        <v>1</v>
      </c>
      <c r="R445">
        <v>0</v>
      </c>
      <c r="S445">
        <v>0</v>
      </c>
      <c r="T445">
        <v>1</v>
      </c>
      <c r="U445">
        <v>7</v>
      </c>
      <c r="V445">
        <v>24</v>
      </c>
      <c r="W445">
        <v>15</v>
      </c>
      <c r="X445">
        <v>13</v>
      </c>
      <c r="Y445">
        <v>23</v>
      </c>
      <c r="Z445">
        <v>4</v>
      </c>
      <c r="AA445">
        <v>1</v>
      </c>
      <c r="AB445">
        <v>0</v>
      </c>
      <c r="AC445">
        <v>3</v>
      </c>
      <c r="AD445">
        <v>9</v>
      </c>
      <c r="AE445">
        <v>14</v>
      </c>
      <c r="AF445">
        <v>7</v>
      </c>
      <c r="AG445">
        <v>6</v>
      </c>
      <c r="AH445">
        <v>-1</v>
      </c>
      <c r="AI445">
        <v>0</v>
      </c>
    </row>
    <row r="446" spans="1:35" hidden="1" x14ac:dyDescent="0.25">
      <c r="A446">
        <v>2023</v>
      </c>
      <c r="B446" s="1">
        <v>45232</v>
      </c>
      <c r="C446">
        <v>31</v>
      </c>
      <c r="D446">
        <v>28898</v>
      </c>
      <c r="E446">
        <v>46000</v>
      </c>
      <c r="F446" t="s">
        <v>89</v>
      </c>
      <c r="G446" t="s">
        <v>63</v>
      </c>
      <c r="H446" t="s">
        <v>336</v>
      </c>
      <c r="I446" t="s">
        <v>65</v>
      </c>
      <c r="J446">
        <v>6</v>
      </c>
      <c r="K446">
        <v>9</v>
      </c>
      <c r="L446">
        <v>5090</v>
      </c>
      <c r="M446">
        <v>1485</v>
      </c>
      <c r="N446" t="s">
        <v>137</v>
      </c>
      <c r="O446" t="s">
        <v>200</v>
      </c>
      <c r="P446">
        <v>3</v>
      </c>
      <c r="Q446">
        <v>1</v>
      </c>
      <c r="R446">
        <v>1</v>
      </c>
      <c r="S446">
        <v>1</v>
      </c>
      <c r="T446">
        <v>0</v>
      </c>
      <c r="U446">
        <v>4</v>
      </c>
      <c r="V446">
        <v>10</v>
      </c>
      <c r="W446">
        <v>14</v>
      </c>
      <c r="X446">
        <v>14</v>
      </c>
      <c r="Y446">
        <v>10</v>
      </c>
      <c r="Z446">
        <v>1</v>
      </c>
      <c r="AA446">
        <v>1</v>
      </c>
      <c r="AB446">
        <v>1</v>
      </c>
      <c r="AC446">
        <v>1</v>
      </c>
      <c r="AD446">
        <v>11</v>
      </c>
      <c r="AE446">
        <v>8</v>
      </c>
      <c r="AF446">
        <v>4</v>
      </c>
      <c r="AG446">
        <v>4</v>
      </c>
      <c r="AH446">
        <v>2</v>
      </c>
      <c r="AI446">
        <v>1</v>
      </c>
    </row>
    <row r="447" spans="1:35" hidden="1" x14ac:dyDescent="0.25">
      <c r="A447">
        <v>2023</v>
      </c>
      <c r="B447" s="1">
        <v>45242</v>
      </c>
      <c r="C447">
        <v>34</v>
      </c>
      <c r="D447">
        <v>29173</v>
      </c>
      <c r="E447">
        <v>46000</v>
      </c>
      <c r="F447" t="s">
        <v>89</v>
      </c>
      <c r="G447" t="s">
        <v>313</v>
      </c>
      <c r="H447" t="s">
        <v>336</v>
      </c>
      <c r="I447" t="s">
        <v>314</v>
      </c>
      <c r="J447">
        <v>6</v>
      </c>
      <c r="K447">
        <v>18</v>
      </c>
      <c r="L447">
        <v>5195</v>
      </c>
      <c r="M447">
        <v>1020</v>
      </c>
      <c r="N447" t="s">
        <v>114</v>
      </c>
      <c r="O447" t="s">
        <v>100</v>
      </c>
      <c r="P447">
        <v>2</v>
      </c>
      <c r="Q447">
        <v>1</v>
      </c>
      <c r="R447">
        <v>1</v>
      </c>
      <c r="S447">
        <v>0</v>
      </c>
      <c r="T447">
        <v>3</v>
      </c>
      <c r="U447">
        <v>7</v>
      </c>
      <c r="V447">
        <v>17</v>
      </c>
      <c r="W447">
        <v>16</v>
      </c>
      <c r="X447">
        <v>15</v>
      </c>
      <c r="Y447">
        <v>16</v>
      </c>
      <c r="Z447">
        <v>4</v>
      </c>
      <c r="AA447">
        <v>2</v>
      </c>
      <c r="AB447">
        <v>1</v>
      </c>
      <c r="AC447">
        <v>3</v>
      </c>
      <c r="AD447">
        <v>8</v>
      </c>
      <c r="AE447">
        <v>21</v>
      </c>
      <c r="AF447">
        <v>2</v>
      </c>
      <c r="AG447">
        <v>7</v>
      </c>
      <c r="AH447">
        <v>1</v>
      </c>
      <c r="AI447">
        <v>1</v>
      </c>
    </row>
    <row r="448" spans="1:35" hidden="1" x14ac:dyDescent="0.25">
      <c r="A448">
        <v>2023</v>
      </c>
      <c r="B448" s="1">
        <v>45040</v>
      </c>
      <c r="C448">
        <v>2</v>
      </c>
      <c r="D448">
        <v>10162</v>
      </c>
      <c r="E448">
        <v>14525</v>
      </c>
      <c r="F448" t="s">
        <v>313</v>
      </c>
      <c r="G448" t="s">
        <v>88</v>
      </c>
      <c r="H448" t="s">
        <v>337</v>
      </c>
      <c r="I448" t="s">
        <v>71</v>
      </c>
      <c r="J448">
        <v>10</v>
      </c>
      <c r="K448">
        <v>14</v>
      </c>
      <c r="L448">
        <v>1175</v>
      </c>
      <c r="M448">
        <v>5470</v>
      </c>
      <c r="N448" t="s">
        <v>135</v>
      </c>
      <c r="O448" t="s">
        <v>134</v>
      </c>
      <c r="P448">
        <v>3</v>
      </c>
      <c r="Q448">
        <v>1</v>
      </c>
      <c r="R448">
        <v>1</v>
      </c>
      <c r="S448">
        <v>1</v>
      </c>
      <c r="T448">
        <v>5</v>
      </c>
      <c r="U448">
        <v>8</v>
      </c>
      <c r="V448">
        <v>21</v>
      </c>
      <c r="W448">
        <v>23</v>
      </c>
      <c r="X448">
        <v>21</v>
      </c>
      <c r="Y448">
        <v>20</v>
      </c>
      <c r="Z448">
        <v>1</v>
      </c>
      <c r="AA448">
        <v>4</v>
      </c>
      <c r="AB448">
        <v>4</v>
      </c>
      <c r="AC448">
        <v>1</v>
      </c>
      <c r="AD448">
        <v>18</v>
      </c>
      <c r="AE448">
        <v>10</v>
      </c>
      <c r="AF448">
        <v>6</v>
      </c>
      <c r="AG448">
        <v>4</v>
      </c>
      <c r="AH448">
        <v>2</v>
      </c>
      <c r="AI448">
        <v>1</v>
      </c>
    </row>
    <row r="449" spans="1:35" hidden="1" x14ac:dyDescent="0.25">
      <c r="A449">
        <v>2023</v>
      </c>
      <c r="B449" s="1">
        <v>45060</v>
      </c>
      <c r="C449">
        <v>6</v>
      </c>
      <c r="D449">
        <v>9092</v>
      </c>
      <c r="E449">
        <v>14525</v>
      </c>
      <c r="F449" t="s">
        <v>313</v>
      </c>
      <c r="G449" t="s">
        <v>51</v>
      </c>
      <c r="H449" t="s">
        <v>337</v>
      </c>
      <c r="I449" t="s">
        <v>311</v>
      </c>
      <c r="J449">
        <v>15</v>
      </c>
      <c r="K449">
        <v>1</v>
      </c>
      <c r="L449">
        <v>905</v>
      </c>
      <c r="M449">
        <v>2270</v>
      </c>
      <c r="N449" t="s">
        <v>134</v>
      </c>
      <c r="O449" t="s">
        <v>174</v>
      </c>
      <c r="P449">
        <v>2</v>
      </c>
      <c r="Q449">
        <v>1</v>
      </c>
      <c r="R449">
        <v>1</v>
      </c>
      <c r="S449">
        <v>1</v>
      </c>
      <c r="T449">
        <v>4</v>
      </c>
      <c r="U449">
        <v>7</v>
      </c>
      <c r="V449">
        <v>23</v>
      </c>
      <c r="W449">
        <v>18</v>
      </c>
      <c r="X449">
        <v>18</v>
      </c>
      <c r="Y449">
        <v>20</v>
      </c>
      <c r="Z449">
        <v>1</v>
      </c>
      <c r="AA449">
        <v>2</v>
      </c>
      <c r="AB449">
        <v>2</v>
      </c>
      <c r="AC449">
        <v>2</v>
      </c>
      <c r="AD449">
        <v>7</v>
      </c>
      <c r="AE449">
        <v>17</v>
      </c>
      <c r="AF449">
        <v>2</v>
      </c>
      <c r="AG449">
        <v>10</v>
      </c>
      <c r="AH449">
        <v>1</v>
      </c>
      <c r="AI449">
        <v>1</v>
      </c>
    </row>
    <row r="450" spans="1:35" hidden="1" x14ac:dyDescent="0.25">
      <c r="A450">
        <v>2023</v>
      </c>
      <c r="B450" s="1">
        <v>45081</v>
      </c>
      <c r="C450">
        <v>9</v>
      </c>
      <c r="D450">
        <v>6987</v>
      </c>
      <c r="E450">
        <v>14525</v>
      </c>
      <c r="F450" t="s">
        <v>313</v>
      </c>
      <c r="G450" t="s">
        <v>70</v>
      </c>
      <c r="H450" t="s">
        <v>337</v>
      </c>
      <c r="I450" t="s">
        <v>90</v>
      </c>
      <c r="J450">
        <v>17</v>
      </c>
      <c r="K450">
        <v>14</v>
      </c>
      <c r="L450">
        <v>910</v>
      </c>
      <c r="M450">
        <v>780</v>
      </c>
      <c r="N450" t="s">
        <v>86</v>
      </c>
      <c r="O450" t="s">
        <v>66</v>
      </c>
      <c r="P450">
        <v>0</v>
      </c>
      <c r="Q450">
        <v>1</v>
      </c>
      <c r="R450">
        <v>0</v>
      </c>
      <c r="S450">
        <v>0</v>
      </c>
      <c r="T450">
        <v>4</v>
      </c>
      <c r="U450">
        <v>5</v>
      </c>
      <c r="V450">
        <v>19</v>
      </c>
      <c r="W450">
        <v>14</v>
      </c>
      <c r="X450">
        <v>14</v>
      </c>
      <c r="Y450">
        <v>18</v>
      </c>
      <c r="Z450">
        <v>7</v>
      </c>
      <c r="AA450">
        <v>3</v>
      </c>
      <c r="AB450">
        <v>2</v>
      </c>
      <c r="AC450">
        <v>1</v>
      </c>
      <c r="AD450">
        <v>11</v>
      </c>
      <c r="AE450">
        <v>15</v>
      </c>
      <c r="AF450">
        <v>7</v>
      </c>
      <c r="AG450">
        <v>2</v>
      </c>
      <c r="AH450">
        <v>-1</v>
      </c>
      <c r="AI450">
        <v>0</v>
      </c>
    </row>
    <row r="451" spans="1:35" hidden="1" x14ac:dyDescent="0.25">
      <c r="A451">
        <v>2023</v>
      </c>
      <c r="B451" s="1">
        <v>45137</v>
      </c>
      <c r="C451">
        <v>17</v>
      </c>
      <c r="D451">
        <v>12311</v>
      </c>
      <c r="E451">
        <v>14525</v>
      </c>
      <c r="F451" t="s">
        <v>313</v>
      </c>
      <c r="G451" t="s">
        <v>83</v>
      </c>
      <c r="H451" t="s">
        <v>314</v>
      </c>
      <c r="I451" t="s">
        <v>319</v>
      </c>
      <c r="J451">
        <v>16</v>
      </c>
      <c r="K451">
        <v>3</v>
      </c>
      <c r="L451">
        <v>993</v>
      </c>
      <c r="M451">
        <v>2700</v>
      </c>
      <c r="N451" t="s">
        <v>105</v>
      </c>
      <c r="O451" t="s">
        <v>149</v>
      </c>
      <c r="P451">
        <v>1</v>
      </c>
      <c r="Q451">
        <v>1</v>
      </c>
      <c r="R451">
        <v>0</v>
      </c>
      <c r="S451">
        <v>0</v>
      </c>
      <c r="T451">
        <v>6</v>
      </c>
      <c r="U451">
        <v>5</v>
      </c>
      <c r="V451">
        <v>20</v>
      </c>
      <c r="W451">
        <v>11</v>
      </c>
      <c r="X451">
        <v>11</v>
      </c>
      <c r="Y451">
        <v>19</v>
      </c>
      <c r="Z451">
        <v>1</v>
      </c>
      <c r="AA451">
        <v>1</v>
      </c>
      <c r="AB451">
        <v>2</v>
      </c>
      <c r="AC451">
        <v>1</v>
      </c>
      <c r="AD451">
        <v>16</v>
      </c>
      <c r="AE451">
        <v>9</v>
      </c>
      <c r="AF451">
        <v>8</v>
      </c>
      <c r="AG451">
        <v>4</v>
      </c>
      <c r="AH451">
        <v>0</v>
      </c>
      <c r="AI451">
        <v>0</v>
      </c>
    </row>
    <row r="452" spans="1:35" hidden="1" x14ac:dyDescent="0.25">
      <c r="A452">
        <v>2023</v>
      </c>
      <c r="B452" s="1">
        <v>45160</v>
      </c>
      <c r="C452">
        <v>20</v>
      </c>
      <c r="D452">
        <v>8325</v>
      </c>
      <c r="E452">
        <v>14525</v>
      </c>
      <c r="F452" t="s">
        <v>313</v>
      </c>
      <c r="G452" t="s">
        <v>69</v>
      </c>
      <c r="H452" t="s">
        <v>314</v>
      </c>
      <c r="I452" t="s">
        <v>325</v>
      </c>
      <c r="J452">
        <v>15</v>
      </c>
      <c r="K452">
        <v>6</v>
      </c>
      <c r="L452">
        <v>713</v>
      </c>
      <c r="M452">
        <v>6540</v>
      </c>
      <c r="N452" t="s">
        <v>66</v>
      </c>
      <c r="O452" t="s">
        <v>99</v>
      </c>
      <c r="P452">
        <v>1</v>
      </c>
      <c r="Q452">
        <v>1</v>
      </c>
      <c r="R452">
        <v>0</v>
      </c>
      <c r="S452">
        <v>1</v>
      </c>
      <c r="T452">
        <v>4</v>
      </c>
      <c r="U452">
        <v>7</v>
      </c>
      <c r="V452">
        <v>15</v>
      </c>
      <c r="W452">
        <v>16</v>
      </c>
      <c r="X452">
        <v>14</v>
      </c>
      <c r="Y452">
        <v>15</v>
      </c>
      <c r="Z452">
        <v>4</v>
      </c>
      <c r="AA452">
        <v>2</v>
      </c>
      <c r="AB452">
        <v>2</v>
      </c>
      <c r="AC452">
        <v>2</v>
      </c>
      <c r="AD452">
        <v>13</v>
      </c>
      <c r="AE452">
        <v>14</v>
      </c>
      <c r="AF452">
        <v>8</v>
      </c>
      <c r="AG452">
        <v>6</v>
      </c>
      <c r="AH452">
        <v>0</v>
      </c>
      <c r="AI452">
        <v>0</v>
      </c>
    </row>
    <row r="453" spans="1:35" hidden="1" x14ac:dyDescent="0.25">
      <c r="A453">
        <v>2023</v>
      </c>
      <c r="B453" s="1">
        <v>45228</v>
      </c>
      <c r="C453">
        <v>30</v>
      </c>
      <c r="D453">
        <v>12904</v>
      </c>
      <c r="E453">
        <v>14525</v>
      </c>
      <c r="F453" t="s">
        <v>313</v>
      </c>
      <c r="G453" t="s">
        <v>82</v>
      </c>
      <c r="H453" t="s">
        <v>314</v>
      </c>
      <c r="I453" t="s">
        <v>84</v>
      </c>
      <c r="J453">
        <v>17</v>
      </c>
      <c r="K453">
        <v>18</v>
      </c>
      <c r="L453">
        <v>983</v>
      </c>
      <c r="M453">
        <v>2545</v>
      </c>
      <c r="N453" t="s">
        <v>129</v>
      </c>
      <c r="O453" t="s">
        <v>166</v>
      </c>
      <c r="P453">
        <v>1</v>
      </c>
      <c r="Q453">
        <v>1</v>
      </c>
      <c r="R453">
        <v>0</v>
      </c>
      <c r="S453">
        <v>0</v>
      </c>
      <c r="T453">
        <v>7</v>
      </c>
      <c r="U453">
        <v>2</v>
      </c>
      <c r="V453">
        <v>17</v>
      </c>
      <c r="W453">
        <v>12</v>
      </c>
      <c r="X453">
        <v>11</v>
      </c>
      <c r="Y453">
        <v>17</v>
      </c>
      <c r="Z453">
        <v>1</v>
      </c>
      <c r="AA453">
        <v>6</v>
      </c>
      <c r="AB453">
        <v>0</v>
      </c>
      <c r="AC453">
        <v>1</v>
      </c>
      <c r="AD453">
        <v>18</v>
      </c>
      <c r="AE453">
        <v>5</v>
      </c>
      <c r="AF453">
        <v>3</v>
      </c>
      <c r="AG453">
        <v>2</v>
      </c>
      <c r="AH453">
        <v>0</v>
      </c>
      <c r="AI453">
        <v>0</v>
      </c>
    </row>
    <row r="454" spans="1:35" hidden="1" x14ac:dyDescent="0.25">
      <c r="A454">
        <v>2023</v>
      </c>
      <c r="B454" s="1">
        <v>45239</v>
      </c>
      <c r="C454">
        <v>33</v>
      </c>
      <c r="D454">
        <v>11836</v>
      </c>
      <c r="E454">
        <v>14525</v>
      </c>
      <c r="F454" t="s">
        <v>313</v>
      </c>
      <c r="G454" t="s">
        <v>326</v>
      </c>
      <c r="H454" t="s">
        <v>314</v>
      </c>
      <c r="I454" t="s">
        <v>338</v>
      </c>
      <c r="J454">
        <v>18</v>
      </c>
      <c r="K454">
        <v>13</v>
      </c>
      <c r="L454">
        <v>1105</v>
      </c>
      <c r="M454">
        <v>3700</v>
      </c>
      <c r="N454" t="s">
        <v>137</v>
      </c>
      <c r="O454" t="s">
        <v>149</v>
      </c>
      <c r="P454">
        <v>0</v>
      </c>
      <c r="Q454">
        <v>1</v>
      </c>
      <c r="R454">
        <v>0</v>
      </c>
      <c r="S454">
        <v>0</v>
      </c>
      <c r="T454">
        <v>5</v>
      </c>
      <c r="U454">
        <v>6</v>
      </c>
      <c r="V454">
        <v>19</v>
      </c>
      <c r="W454">
        <v>13</v>
      </c>
      <c r="X454">
        <v>12</v>
      </c>
      <c r="Y454">
        <v>19</v>
      </c>
      <c r="Z454">
        <v>3</v>
      </c>
      <c r="AA454">
        <v>3</v>
      </c>
      <c r="AB454">
        <v>2</v>
      </c>
      <c r="AC454">
        <v>1</v>
      </c>
      <c r="AD454">
        <v>13</v>
      </c>
      <c r="AE454">
        <v>15</v>
      </c>
      <c r="AF454">
        <v>6</v>
      </c>
      <c r="AG454">
        <v>6</v>
      </c>
      <c r="AH454">
        <v>-1</v>
      </c>
      <c r="AI454">
        <v>0</v>
      </c>
    </row>
    <row r="455" spans="1:35" hidden="1" x14ac:dyDescent="0.25">
      <c r="A455">
        <v>2023</v>
      </c>
      <c r="B455" s="1">
        <v>45258</v>
      </c>
      <c r="C455">
        <v>35</v>
      </c>
      <c r="D455">
        <v>9143</v>
      </c>
      <c r="E455">
        <v>14525</v>
      </c>
      <c r="F455" t="s">
        <v>313</v>
      </c>
      <c r="G455" t="s">
        <v>50</v>
      </c>
      <c r="H455" t="s">
        <v>343</v>
      </c>
      <c r="I455" t="s">
        <v>334</v>
      </c>
      <c r="J455">
        <v>18</v>
      </c>
      <c r="K455">
        <v>13</v>
      </c>
      <c r="L455">
        <v>1355</v>
      </c>
      <c r="M455">
        <v>2705</v>
      </c>
      <c r="N455" t="s">
        <v>105</v>
      </c>
      <c r="O455">
        <v>28</v>
      </c>
      <c r="P455">
        <v>0</v>
      </c>
      <c r="Q455">
        <v>1</v>
      </c>
      <c r="R455">
        <v>0</v>
      </c>
      <c r="S455">
        <v>0</v>
      </c>
      <c r="T455">
        <v>4</v>
      </c>
      <c r="U455">
        <v>5</v>
      </c>
      <c r="V455">
        <v>18</v>
      </c>
      <c r="W455">
        <v>17</v>
      </c>
      <c r="X455">
        <v>17</v>
      </c>
      <c r="Y455">
        <v>17</v>
      </c>
      <c r="Z455">
        <v>6</v>
      </c>
      <c r="AA455">
        <v>3</v>
      </c>
      <c r="AB455">
        <v>0</v>
      </c>
      <c r="AC455">
        <v>3</v>
      </c>
      <c r="AD455">
        <v>10</v>
      </c>
      <c r="AE455">
        <v>12</v>
      </c>
      <c r="AF455">
        <v>6</v>
      </c>
      <c r="AG455">
        <v>5</v>
      </c>
      <c r="AH455">
        <v>-1</v>
      </c>
      <c r="AI455">
        <v>0</v>
      </c>
    </row>
    <row r="456" spans="1:35" hidden="1" x14ac:dyDescent="0.25">
      <c r="A456">
        <v>2023</v>
      </c>
      <c r="B456" s="1">
        <v>45039</v>
      </c>
      <c r="C456">
        <v>2</v>
      </c>
      <c r="D456">
        <v>45751</v>
      </c>
      <c r="E456">
        <v>56000</v>
      </c>
      <c r="F456" t="s">
        <v>37</v>
      </c>
      <c r="G456" t="s">
        <v>77</v>
      </c>
      <c r="H456" t="s">
        <v>240</v>
      </c>
      <c r="I456" t="s">
        <v>329</v>
      </c>
      <c r="J456">
        <v>6</v>
      </c>
      <c r="K456">
        <v>8</v>
      </c>
      <c r="L456">
        <v>3355</v>
      </c>
      <c r="M456">
        <v>8685</v>
      </c>
      <c r="N456" t="s">
        <v>107</v>
      </c>
      <c r="O456">
        <v>28</v>
      </c>
      <c r="P456">
        <v>2</v>
      </c>
      <c r="Q456">
        <v>1</v>
      </c>
      <c r="R456">
        <v>0</v>
      </c>
      <c r="S456">
        <v>0</v>
      </c>
      <c r="T456">
        <v>6</v>
      </c>
      <c r="U456">
        <v>2</v>
      </c>
      <c r="V456">
        <v>14</v>
      </c>
      <c r="W456">
        <v>13</v>
      </c>
      <c r="X456">
        <v>13</v>
      </c>
      <c r="Y456">
        <v>14</v>
      </c>
      <c r="Z456">
        <v>3</v>
      </c>
      <c r="AA456">
        <v>2</v>
      </c>
      <c r="AB456">
        <v>2</v>
      </c>
      <c r="AC456">
        <v>3</v>
      </c>
      <c r="AD456">
        <v>16</v>
      </c>
      <c r="AE456">
        <v>16</v>
      </c>
      <c r="AF456">
        <v>5</v>
      </c>
      <c r="AG456">
        <v>8</v>
      </c>
      <c r="AH456">
        <v>1</v>
      </c>
      <c r="AI456">
        <v>1</v>
      </c>
    </row>
    <row r="457" spans="1:35" hidden="1" x14ac:dyDescent="0.25">
      <c r="A457">
        <v>2023</v>
      </c>
      <c r="B457" s="1">
        <v>45088</v>
      </c>
      <c r="C457">
        <v>10</v>
      </c>
      <c r="D457">
        <v>18044</v>
      </c>
      <c r="E457">
        <v>56000</v>
      </c>
      <c r="F457" t="s">
        <v>37</v>
      </c>
      <c r="G457" t="s">
        <v>82</v>
      </c>
      <c r="H457" t="s">
        <v>240</v>
      </c>
      <c r="I457" t="s">
        <v>341</v>
      </c>
      <c r="J457">
        <v>10</v>
      </c>
      <c r="K457">
        <v>19</v>
      </c>
      <c r="L457">
        <v>3400</v>
      </c>
      <c r="M457">
        <v>2850</v>
      </c>
      <c r="N457">
        <v>29</v>
      </c>
      <c r="O457" t="s">
        <v>176</v>
      </c>
      <c r="P457">
        <v>2</v>
      </c>
      <c r="Q457">
        <v>1</v>
      </c>
      <c r="R457">
        <v>2</v>
      </c>
      <c r="S457">
        <v>1</v>
      </c>
      <c r="T457">
        <v>7</v>
      </c>
      <c r="U457">
        <v>6</v>
      </c>
      <c r="V457">
        <v>13</v>
      </c>
      <c r="W457">
        <v>21</v>
      </c>
      <c r="X457">
        <v>20</v>
      </c>
      <c r="Y457">
        <v>12</v>
      </c>
      <c r="Z457">
        <v>4</v>
      </c>
      <c r="AA457">
        <v>1</v>
      </c>
      <c r="AB457">
        <v>0</v>
      </c>
      <c r="AC457">
        <v>4</v>
      </c>
      <c r="AD457">
        <v>11</v>
      </c>
      <c r="AE457">
        <v>14</v>
      </c>
      <c r="AF457">
        <v>5</v>
      </c>
      <c r="AG457">
        <v>6</v>
      </c>
      <c r="AH457">
        <v>1</v>
      </c>
      <c r="AI457">
        <v>1</v>
      </c>
    </row>
    <row r="458" spans="1:35" hidden="1" x14ac:dyDescent="0.25">
      <c r="A458">
        <v>2023</v>
      </c>
      <c r="B458" s="1">
        <v>45045</v>
      </c>
      <c r="C458">
        <v>3</v>
      </c>
      <c r="D458">
        <v>41457</v>
      </c>
      <c r="E458">
        <v>43713</v>
      </c>
      <c r="F458" t="s">
        <v>95</v>
      </c>
      <c r="G458" t="s">
        <v>88</v>
      </c>
      <c r="H458" t="s">
        <v>97</v>
      </c>
      <c r="I458" t="s">
        <v>353</v>
      </c>
      <c r="J458">
        <v>3</v>
      </c>
      <c r="K458">
        <v>17</v>
      </c>
      <c r="L458">
        <v>8950</v>
      </c>
      <c r="M458">
        <v>5650</v>
      </c>
      <c r="N458" t="s">
        <v>66</v>
      </c>
      <c r="O458" t="s">
        <v>239</v>
      </c>
      <c r="P458">
        <v>2</v>
      </c>
      <c r="Q458">
        <v>1</v>
      </c>
      <c r="R458">
        <v>2</v>
      </c>
      <c r="S458">
        <v>0</v>
      </c>
      <c r="T458">
        <v>12</v>
      </c>
      <c r="U458">
        <v>3</v>
      </c>
      <c r="V458">
        <v>20</v>
      </c>
      <c r="W458">
        <v>15</v>
      </c>
      <c r="X458">
        <v>15</v>
      </c>
      <c r="Y458">
        <v>18</v>
      </c>
      <c r="Z458">
        <v>2</v>
      </c>
      <c r="AA458">
        <v>4</v>
      </c>
      <c r="AB458">
        <v>0</v>
      </c>
      <c r="AC458">
        <v>1</v>
      </c>
      <c r="AD458">
        <v>21</v>
      </c>
      <c r="AE458">
        <v>9</v>
      </c>
      <c r="AF458">
        <v>7</v>
      </c>
      <c r="AG458">
        <v>2</v>
      </c>
      <c r="AH458">
        <v>1</v>
      </c>
      <c r="AI458">
        <v>1</v>
      </c>
    </row>
    <row r="459" spans="1:35" hidden="1" x14ac:dyDescent="0.25">
      <c r="A459">
        <v>2023</v>
      </c>
      <c r="B459" s="1">
        <v>45057</v>
      </c>
      <c r="C459">
        <v>5</v>
      </c>
      <c r="D459">
        <v>37532</v>
      </c>
      <c r="E459">
        <v>43713</v>
      </c>
      <c r="F459" t="s">
        <v>95</v>
      </c>
      <c r="G459" t="s">
        <v>83</v>
      </c>
      <c r="H459" t="s">
        <v>97</v>
      </c>
      <c r="I459" t="s">
        <v>319</v>
      </c>
      <c r="J459">
        <v>2</v>
      </c>
      <c r="K459">
        <v>10</v>
      </c>
      <c r="L459">
        <v>8350</v>
      </c>
      <c r="M459">
        <v>2460</v>
      </c>
      <c r="N459" t="s">
        <v>100</v>
      </c>
      <c r="O459" t="s">
        <v>128</v>
      </c>
      <c r="P459">
        <v>4</v>
      </c>
      <c r="Q459">
        <v>1</v>
      </c>
      <c r="R459">
        <v>1</v>
      </c>
      <c r="S459">
        <v>1</v>
      </c>
      <c r="T459">
        <v>7</v>
      </c>
      <c r="U459">
        <v>4</v>
      </c>
      <c r="V459">
        <v>10</v>
      </c>
      <c r="W459">
        <v>13</v>
      </c>
      <c r="X459">
        <v>12</v>
      </c>
      <c r="Y459">
        <v>9</v>
      </c>
      <c r="Z459">
        <v>1</v>
      </c>
      <c r="AA459">
        <v>6</v>
      </c>
      <c r="AB459">
        <v>2</v>
      </c>
      <c r="AC459">
        <v>0</v>
      </c>
      <c r="AD459">
        <v>28</v>
      </c>
      <c r="AE459">
        <v>3</v>
      </c>
      <c r="AF459">
        <v>15</v>
      </c>
      <c r="AG459">
        <v>1</v>
      </c>
      <c r="AH459">
        <v>3</v>
      </c>
      <c r="AI459">
        <v>1</v>
      </c>
    </row>
    <row r="460" spans="1:35" hidden="1" x14ac:dyDescent="0.25">
      <c r="A460">
        <v>2023</v>
      </c>
      <c r="B460" s="1">
        <v>45059</v>
      </c>
      <c r="C460">
        <v>6</v>
      </c>
      <c r="D460">
        <v>39488</v>
      </c>
      <c r="E460">
        <v>43713</v>
      </c>
      <c r="F460" t="s">
        <v>95</v>
      </c>
      <c r="G460" t="s">
        <v>56</v>
      </c>
      <c r="H460" t="s">
        <v>97</v>
      </c>
      <c r="I460" t="s">
        <v>58</v>
      </c>
      <c r="J460">
        <v>2</v>
      </c>
      <c r="K460">
        <v>13</v>
      </c>
      <c r="L460">
        <v>7450</v>
      </c>
      <c r="M460">
        <v>3300</v>
      </c>
      <c r="N460" t="s">
        <v>120</v>
      </c>
      <c r="O460" t="s">
        <v>171</v>
      </c>
      <c r="P460">
        <v>1</v>
      </c>
      <c r="Q460">
        <v>1</v>
      </c>
      <c r="R460">
        <v>0</v>
      </c>
      <c r="S460">
        <v>0</v>
      </c>
      <c r="T460">
        <v>15</v>
      </c>
      <c r="U460">
        <v>6</v>
      </c>
      <c r="V460">
        <v>12</v>
      </c>
      <c r="W460">
        <v>19</v>
      </c>
      <c r="X460">
        <v>19</v>
      </c>
      <c r="Y460">
        <v>10</v>
      </c>
      <c r="Z460">
        <v>2</v>
      </c>
      <c r="AA460">
        <v>5</v>
      </c>
      <c r="AB460">
        <v>3</v>
      </c>
      <c r="AC460">
        <v>2</v>
      </c>
      <c r="AD460">
        <v>22</v>
      </c>
      <c r="AE460">
        <v>8</v>
      </c>
      <c r="AF460">
        <v>9</v>
      </c>
      <c r="AG460">
        <v>4</v>
      </c>
      <c r="AH460">
        <v>0</v>
      </c>
      <c r="AI460">
        <v>0</v>
      </c>
    </row>
    <row r="461" spans="1:35" hidden="1" x14ac:dyDescent="0.25">
      <c r="A461">
        <v>2023</v>
      </c>
      <c r="B461" s="1">
        <v>45081</v>
      </c>
      <c r="C461">
        <v>9</v>
      </c>
      <c r="D461">
        <v>33570</v>
      </c>
      <c r="E461">
        <v>43713</v>
      </c>
      <c r="F461" t="s">
        <v>95</v>
      </c>
      <c r="G461" t="s">
        <v>321</v>
      </c>
      <c r="H461" t="s">
        <v>97</v>
      </c>
      <c r="I461" t="s">
        <v>327</v>
      </c>
      <c r="J461">
        <v>2</v>
      </c>
      <c r="K461">
        <v>20</v>
      </c>
      <c r="L461">
        <v>7250</v>
      </c>
      <c r="M461">
        <v>1740</v>
      </c>
      <c r="N461" t="s">
        <v>98</v>
      </c>
      <c r="O461" t="s">
        <v>98</v>
      </c>
      <c r="P461">
        <v>3</v>
      </c>
      <c r="Q461">
        <v>1</v>
      </c>
      <c r="R461">
        <v>2</v>
      </c>
      <c r="S461">
        <v>0</v>
      </c>
      <c r="T461">
        <v>11</v>
      </c>
      <c r="U461">
        <v>5</v>
      </c>
      <c r="V461">
        <v>15</v>
      </c>
      <c r="W461">
        <v>13</v>
      </c>
      <c r="X461">
        <v>10</v>
      </c>
      <c r="Y461">
        <v>15</v>
      </c>
      <c r="Z461">
        <v>3</v>
      </c>
      <c r="AA461">
        <v>5</v>
      </c>
      <c r="AB461">
        <v>3</v>
      </c>
      <c r="AC461">
        <v>0</v>
      </c>
      <c r="AD461">
        <v>23</v>
      </c>
      <c r="AE461">
        <v>7</v>
      </c>
      <c r="AF461">
        <v>6</v>
      </c>
      <c r="AG461">
        <v>2</v>
      </c>
      <c r="AH461">
        <v>2</v>
      </c>
      <c r="AI461">
        <v>1</v>
      </c>
    </row>
    <row r="462" spans="1:35" hidden="1" x14ac:dyDescent="0.25">
      <c r="A462">
        <v>2023</v>
      </c>
      <c r="B462" s="1">
        <v>45102</v>
      </c>
      <c r="C462">
        <v>12</v>
      </c>
      <c r="D462">
        <v>38877</v>
      </c>
      <c r="E462">
        <v>43713</v>
      </c>
      <c r="F462" t="s">
        <v>95</v>
      </c>
      <c r="G462" t="s">
        <v>51</v>
      </c>
      <c r="H462" t="s">
        <v>97</v>
      </c>
      <c r="I462" t="s">
        <v>311</v>
      </c>
      <c r="J462">
        <v>4</v>
      </c>
      <c r="K462">
        <v>1</v>
      </c>
      <c r="L462">
        <v>7650</v>
      </c>
      <c r="M462">
        <v>2150</v>
      </c>
      <c r="N462" t="s">
        <v>86</v>
      </c>
      <c r="O462" t="s">
        <v>174</v>
      </c>
      <c r="P462">
        <v>0</v>
      </c>
      <c r="Q462">
        <v>1</v>
      </c>
      <c r="R462">
        <v>0</v>
      </c>
      <c r="S462">
        <v>1</v>
      </c>
      <c r="T462">
        <v>12</v>
      </c>
      <c r="U462">
        <v>1</v>
      </c>
      <c r="V462">
        <v>17</v>
      </c>
      <c r="W462">
        <v>14</v>
      </c>
      <c r="X462">
        <v>14</v>
      </c>
      <c r="Y462">
        <v>17</v>
      </c>
      <c r="Z462">
        <v>1</v>
      </c>
      <c r="AA462">
        <v>4</v>
      </c>
      <c r="AB462">
        <v>4</v>
      </c>
      <c r="AC462">
        <v>0</v>
      </c>
      <c r="AD462">
        <v>15</v>
      </c>
      <c r="AE462">
        <v>6</v>
      </c>
      <c r="AF462">
        <v>7</v>
      </c>
      <c r="AG462">
        <v>3</v>
      </c>
      <c r="AH462">
        <v>-1</v>
      </c>
      <c r="AI462">
        <v>0</v>
      </c>
    </row>
    <row r="463" spans="1:35" hidden="1" x14ac:dyDescent="0.25">
      <c r="A463">
        <v>2023</v>
      </c>
      <c r="B463" s="1">
        <v>45116</v>
      </c>
      <c r="C463">
        <v>14</v>
      </c>
      <c r="D463">
        <v>40229</v>
      </c>
      <c r="E463">
        <v>43713</v>
      </c>
      <c r="F463" t="s">
        <v>95</v>
      </c>
      <c r="G463" t="s">
        <v>77</v>
      </c>
      <c r="H463" t="s">
        <v>97</v>
      </c>
      <c r="I463" t="s">
        <v>329</v>
      </c>
      <c r="J463">
        <v>5</v>
      </c>
      <c r="K463">
        <v>2</v>
      </c>
      <c r="L463">
        <v>7950</v>
      </c>
      <c r="M463">
        <v>7570</v>
      </c>
      <c r="N463" t="s">
        <v>107</v>
      </c>
      <c r="O463" t="s">
        <v>252</v>
      </c>
      <c r="P463">
        <v>1</v>
      </c>
      <c r="Q463">
        <v>1</v>
      </c>
      <c r="R463">
        <v>1</v>
      </c>
      <c r="S463">
        <v>0</v>
      </c>
      <c r="T463">
        <v>4</v>
      </c>
      <c r="U463">
        <v>7</v>
      </c>
      <c r="V463">
        <v>13</v>
      </c>
      <c r="W463">
        <v>16</v>
      </c>
      <c r="X463">
        <v>16</v>
      </c>
      <c r="Y463">
        <v>13</v>
      </c>
      <c r="Z463">
        <v>3</v>
      </c>
      <c r="AA463">
        <v>3</v>
      </c>
      <c r="AB463">
        <v>5</v>
      </c>
      <c r="AC463">
        <v>3</v>
      </c>
      <c r="AD463">
        <v>11</v>
      </c>
      <c r="AE463">
        <v>10</v>
      </c>
      <c r="AF463">
        <v>4</v>
      </c>
      <c r="AG463">
        <v>3</v>
      </c>
      <c r="AH463">
        <v>0</v>
      </c>
      <c r="AI463">
        <v>0</v>
      </c>
    </row>
    <row r="464" spans="1:35" hidden="1" x14ac:dyDescent="0.25">
      <c r="A464">
        <v>2023</v>
      </c>
      <c r="B464" s="1">
        <v>45038</v>
      </c>
      <c r="C464">
        <v>2</v>
      </c>
      <c r="D464">
        <v>9267</v>
      </c>
      <c r="E464">
        <v>42968</v>
      </c>
      <c r="F464" t="s">
        <v>70</v>
      </c>
      <c r="G464" t="s">
        <v>56</v>
      </c>
      <c r="H464" t="s">
        <v>347</v>
      </c>
      <c r="I464" t="s">
        <v>58</v>
      </c>
      <c r="J464">
        <v>15</v>
      </c>
      <c r="K464">
        <v>7</v>
      </c>
      <c r="L464">
        <v>588</v>
      </c>
      <c r="M464">
        <v>2470</v>
      </c>
      <c r="N464" t="s">
        <v>134</v>
      </c>
      <c r="O464" t="s">
        <v>176</v>
      </c>
      <c r="P464">
        <v>1</v>
      </c>
      <c r="Q464">
        <v>1</v>
      </c>
      <c r="R464">
        <v>0</v>
      </c>
      <c r="S464">
        <v>0</v>
      </c>
      <c r="T464">
        <v>4</v>
      </c>
      <c r="U464">
        <v>5</v>
      </c>
      <c r="V464">
        <v>17</v>
      </c>
      <c r="W464">
        <v>21</v>
      </c>
      <c r="X464">
        <v>21</v>
      </c>
      <c r="Y464">
        <v>16</v>
      </c>
      <c r="Z464">
        <v>1</v>
      </c>
      <c r="AA464">
        <v>2</v>
      </c>
      <c r="AB464">
        <v>3</v>
      </c>
      <c r="AC464">
        <v>2</v>
      </c>
      <c r="AD464">
        <v>14</v>
      </c>
      <c r="AE464">
        <v>7</v>
      </c>
      <c r="AF464">
        <v>8</v>
      </c>
      <c r="AG464">
        <v>4</v>
      </c>
      <c r="AH464">
        <v>0</v>
      </c>
      <c r="AI464">
        <v>0</v>
      </c>
    </row>
    <row r="465" spans="1:35" hidden="1" x14ac:dyDescent="0.25">
      <c r="A465">
        <v>2023</v>
      </c>
      <c r="B465" s="1">
        <v>45073</v>
      </c>
      <c r="C465">
        <v>8</v>
      </c>
      <c r="D465">
        <v>8660</v>
      </c>
      <c r="E465">
        <v>42968</v>
      </c>
      <c r="F465" t="s">
        <v>70</v>
      </c>
      <c r="G465" t="s">
        <v>321</v>
      </c>
      <c r="H465" t="s">
        <v>90</v>
      </c>
      <c r="I465" t="s">
        <v>327</v>
      </c>
      <c r="J465">
        <v>15</v>
      </c>
      <c r="K465">
        <v>20</v>
      </c>
      <c r="L465">
        <v>820</v>
      </c>
      <c r="M465">
        <v>1660</v>
      </c>
      <c r="N465" t="s">
        <v>100</v>
      </c>
      <c r="O465" t="s">
        <v>117</v>
      </c>
      <c r="P465">
        <v>1</v>
      </c>
      <c r="Q465">
        <v>1</v>
      </c>
      <c r="R465">
        <v>1</v>
      </c>
      <c r="S465">
        <v>0</v>
      </c>
      <c r="T465">
        <v>2</v>
      </c>
      <c r="U465">
        <v>6</v>
      </c>
      <c r="V465">
        <v>8</v>
      </c>
      <c r="W465">
        <v>13</v>
      </c>
      <c r="X465">
        <v>13</v>
      </c>
      <c r="Y465">
        <v>8</v>
      </c>
      <c r="Z465">
        <v>1</v>
      </c>
      <c r="AA465">
        <v>2</v>
      </c>
      <c r="AB465">
        <v>0</v>
      </c>
      <c r="AC465">
        <v>3</v>
      </c>
      <c r="AD465">
        <v>10</v>
      </c>
      <c r="AE465">
        <v>8</v>
      </c>
      <c r="AF465">
        <v>5</v>
      </c>
      <c r="AG465">
        <v>5</v>
      </c>
      <c r="AH465">
        <v>0</v>
      </c>
      <c r="AI465">
        <v>0</v>
      </c>
    </row>
    <row r="466" spans="1:35" hidden="1" x14ac:dyDescent="0.25">
      <c r="A466">
        <v>2023</v>
      </c>
      <c r="B466" s="1">
        <v>45100</v>
      </c>
      <c r="C466">
        <v>11</v>
      </c>
      <c r="D466">
        <v>13981</v>
      </c>
      <c r="E466">
        <v>42968</v>
      </c>
      <c r="F466" t="s">
        <v>70</v>
      </c>
      <c r="G466" t="s">
        <v>51</v>
      </c>
      <c r="H466" t="s">
        <v>90</v>
      </c>
      <c r="I466" t="s">
        <v>311</v>
      </c>
      <c r="J466">
        <v>16</v>
      </c>
      <c r="K466">
        <v>1</v>
      </c>
      <c r="L466">
        <v>930</v>
      </c>
      <c r="M466">
        <v>2250</v>
      </c>
      <c r="N466" t="s">
        <v>41</v>
      </c>
      <c r="O466" t="s">
        <v>123</v>
      </c>
      <c r="P466">
        <v>0</v>
      </c>
      <c r="Q466">
        <v>1</v>
      </c>
      <c r="R466">
        <v>0</v>
      </c>
      <c r="S466">
        <v>0</v>
      </c>
      <c r="T466">
        <v>6</v>
      </c>
      <c r="U466">
        <v>2</v>
      </c>
      <c r="V466">
        <v>11</v>
      </c>
      <c r="W466">
        <v>13</v>
      </c>
      <c r="X466">
        <v>11</v>
      </c>
      <c r="Y466">
        <v>10</v>
      </c>
      <c r="Z466">
        <v>2</v>
      </c>
      <c r="AA466">
        <v>9</v>
      </c>
      <c r="AB466">
        <v>2</v>
      </c>
      <c r="AC466">
        <v>2</v>
      </c>
      <c r="AD466">
        <v>23</v>
      </c>
      <c r="AE466">
        <v>5</v>
      </c>
      <c r="AF466">
        <v>8</v>
      </c>
      <c r="AG466">
        <v>1</v>
      </c>
      <c r="AH466">
        <v>-1</v>
      </c>
      <c r="AI466">
        <v>0</v>
      </c>
    </row>
    <row r="467" spans="1:35" hidden="1" x14ac:dyDescent="0.25">
      <c r="A467">
        <v>2023</v>
      </c>
      <c r="B467" s="1">
        <v>45115</v>
      </c>
      <c r="C467">
        <v>14</v>
      </c>
      <c r="D467">
        <v>10149</v>
      </c>
      <c r="E467">
        <v>42968</v>
      </c>
      <c r="F467" t="s">
        <v>70</v>
      </c>
      <c r="G467" t="s">
        <v>38</v>
      </c>
      <c r="H467" t="s">
        <v>90</v>
      </c>
      <c r="I467" t="s">
        <v>316</v>
      </c>
      <c r="J467">
        <v>14</v>
      </c>
      <c r="K467">
        <v>16</v>
      </c>
      <c r="L467">
        <v>685</v>
      </c>
      <c r="M467">
        <v>2810</v>
      </c>
      <c r="N467" t="s">
        <v>129</v>
      </c>
      <c r="O467" t="s">
        <v>176</v>
      </c>
      <c r="P467">
        <v>1</v>
      </c>
      <c r="Q467">
        <v>1</v>
      </c>
      <c r="R467">
        <v>1</v>
      </c>
      <c r="S467">
        <v>0</v>
      </c>
      <c r="T467">
        <v>5</v>
      </c>
      <c r="U467">
        <v>5</v>
      </c>
      <c r="V467">
        <v>12</v>
      </c>
      <c r="W467">
        <v>13</v>
      </c>
      <c r="X467">
        <v>13</v>
      </c>
      <c r="Y467">
        <v>12</v>
      </c>
      <c r="Z467">
        <v>2</v>
      </c>
      <c r="AA467">
        <v>5</v>
      </c>
      <c r="AB467">
        <v>9</v>
      </c>
      <c r="AC467">
        <v>0</v>
      </c>
      <c r="AD467">
        <v>10</v>
      </c>
      <c r="AE467">
        <v>6</v>
      </c>
      <c r="AF467">
        <v>2</v>
      </c>
      <c r="AG467">
        <v>1</v>
      </c>
      <c r="AH467">
        <v>0</v>
      </c>
      <c r="AI467">
        <v>0</v>
      </c>
    </row>
    <row r="468" spans="1:35" hidden="1" x14ac:dyDescent="0.25">
      <c r="A468">
        <v>2023</v>
      </c>
      <c r="B468" s="1">
        <v>45220</v>
      </c>
      <c r="C468">
        <v>28</v>
      </c>
      <c r="D468">
        <v>14956</v>
      </c>
      <c r="E468">
        <v>42968</v>
      </c>
      <c r="F468" t="s">
        <v>70</v>
      </c>
      <c r="G468" t="s">
        <v>313</v>
      </c>
      <c r="H468" t="s">
        <v>90</v>
      </c>
      <c r="I468" t="s">
        <v>314</v>
      </c>
      <c r="J468">
        <v>11</v>
      </c>
      <c r="K468">
        <v>16</v>
      </c>
      <c r="L468">
        <v>975</v>
      </c>
      <c r="M468">
        <v>808</v>
      </c>
      <c r="N468" t="s">
        <v>107</v>
      </c>
      <c r="O468" t="s">
        <v>105</v>
      </c>
      <c r="P468">
        <v>1</v>
      </c>
      <c r="Q468">
        <v>1</v>
      </c>
      <c r="R468">
        <v>0</v>
      </c>
      <c r="S468">
        <v>1</v>
      </c>
      <c r="T468">
        <v>13</v>
      </c>
      <c r="U468">
        <v>2</v>
      </c>
      <c r="V468">
        <v>13</v>
      </c>
      <c r="W468">
        <v>17</v>
      </c>
      <c r="X468">
        <v>16</v>
      </c>
      <c r="Y468">
        <v>11</v>
      </c>
      <c r="Z468">
        <v>2</v>
      </c>
      <c r="AA468">
        <v>4</v>
      </c>
      <c r="AB468">
        <v>4</v>
      </c>
      <c r="AC468">
        <v>5</v>
      </c>
      <c r="AD468">
        <v>16</v>
      </c>
      <c r="AE468">
        <v>10</v>
      </c>
      <c r="AF468">
        <v>8</v>
      </c>
      <c r="AG468">
        <v>4</v>
      </c>
      <c r="AH468">
        <v>0</v>
      </c>
      <c r="AI468">
        <v>0</v>
      </c>
    </row>
    <row r="469" spans="1:35" hidden="1" x14ac:dyDescent="0.25">
      <c r="A469">
        <v>2023</v>
      </c>
      <c r="B469" s="1">
        <v>45225</v>
      </c>
      <c r="C469">
        <v>29</v>
      </c>
      <c r="D469">
        <v>36620</v>
      </c>
      <c r="E469">
        <v>42968</v>
      </c>
      <c r="F469" t="s">
        <v>70</v>
      </c>
      <c r="G469" t="s">
        <v>88</v>
      </c>
      <c r="H469" t="s">
        <v>90</v>
      </c>
      <c r="I469" t="s">
        <v>240</v>
      </c>
      <c r="J469">
        <v>12</v>
      </c>
      <c r="K469">
        <v>14</v>
      </c>
      <c r="L469">
        <v>1175</v>
      </c>
      <c r="M469">
        <v>4460</v>
      </c>
      <c r="N469" t="s">
        <v>66</v>
      </c>
      <c r="O469" t="s">
        <v>109</v>
      </c>
      <c r="P469">
        <v>0</v>
      </c>
      <c r="Q469">
        <v>1</v>
      </c>
      <c r="R469">
        <v>0</v>
      </c>
      <c r="S469">
        <v>0</v>
      </c>
      <c r="T469">
        <v>6</v>
      </c>
      <c r="U469">
        <v>5</v>
      </c>
      <c r="V469">
        <v>11</v>
      </c>
      <c r="W469">
        <v>13</v>
      </c>
      <c r="X469">
        <v>13</v>
      </c>
      <c r="Y469">
        <v>10</v>
      </c>
      <c r="Z469">
        <v>4</v>
      </c>
      <c r="AA469">
        <v>2</v>
      </c>
      <c r="AB469">
        <v>2</v>
      </c>
      <c r="AC469">
        <v>0</v>
      </c>
      <c r="AD469">
        <v>18</v>
      </c>
      <c r="AE469">
        <v>9</v>
      </c>
      <c r="AF469">
        <v>10</v>
      </c>
      <c r="AG469">
        <v>3</v>
      </c>
      <c r="AH469">
        <v>-1</v>
      </c>
      <c r="AI469">
        <v>0</v>
      </c>
    </row>
    <row r="470" spans="1:35" hidden="1" x14ac:dyDescent="0.25">
      <c r="A470">
        <v>2023</v>
      </c>
      <c r="B470" s="1">
        <v>45242</v>
      </c>
      <c r="C470">
        <v>34</v>
      </c>
      <c r="D470">
        <v>14728</v>
      </c>
      <c r="E470">
        <v>42968</v>
      </c>
      <c r="F470" t="s">
        <v>70</v>
      </c>
      <c r="G470" t="s">
        <v>63</v>
      </c>
      <c r="H470" t="s">
        <v>90</v>
      </c>
      <c r="I470" t="s">
        <v>65</v>
      </c>
      <c r="J470">
        <v>9</v>
      </c>
      <c r="K470">
        <v>11</v>
      </c>
      <c r="L470">
        <v>638</v>
      </c>
      <c r="M470">
        <v>935</v>
      </c>
      <c r="N470" t="s">
        <v>166</v>
      </c>
      <c r="O470" t="s">
        <v>47</v>
      </c>
      <c r="P470">
        <v>2</v>
      </c>
      <c r="Q470">
        <v>1</v>
      </c>
      <c r="R470">
        <v>1</v>
      </c>
      <c r="S470">
        <v>0</v>
      </c>
      <c r="T470">
        <v>2</v>
      </c>
      <c r="U470">
        <v>9</v>
      </c>
      <c r="V470">
        <v>7</v>
      </c>
      <c r="W470">
        <v>15</v>
      </c>
      <c r="X470">
        <v>15</v>
      </c>
      <c r="Y470">
        <v>7</v>
      </c>
      <c r="Z470">
        <v>2</v>
      </c>
      <c r="AA470">
        <v>2</v>
      </c>
      <c r="AB470">
        <v>2</v>
      </c>
      <c r="AC470">
        <v>2</v>
      </c>
      <c r="AD470">
        <v>7</v>
      </c>
      <c r="AE470">
        <v>13</v>
      </c>
      <c r="AF470">
        <v>3</v>
      </c>
      <c r="AG470">
        <v>4</v>
      </c>
      <c r="AH470">
        <v>1</v>
      </c>
      <c r="AI470">
        <v>1</v>
      </c>
    </row>
    <row r="471" spans="1:35" hidden="1" x14ac:dyDescent="0.25">
      <c r="A471">
        <v>2023</v>
      </c>
      <c r="B471" s="1">
        <v>45069</v>
      </c>
      <c r="C471">
        <v>7</v>
      </c>
      <c r="D471">
        <v>15722</v>
      </c>
      <c r="E471">
        <v>40927</v>
      </c>
      <c r="F471" t="s">
        <v>50</v>
      </c>
      <c r="G471" t="s">
        <v>70</v>
      </c>
      <c r="H471" t="s">
        <v>335</v>
      </c>
      <c r="I471" t="s">
        <v>72</v>
      </c>
      <c r="J471">
        <v>5</v>
      </c>
      <c r="K471">
        <v>14</v>
      </c>
      <c r="L471">
        <v>1710</v>
      </c>
      <c r="M471">
        <v>780</v>
      </c>
      <c r="N471" t="s">
        <v>123</v>
      </c>
      <c r="O471" t="s">
        <v>66</v>
      </c>
      <c r="P471">
        <v>0</v>
      </c>
      <c r="Q471">
        <v>1</v>
      </c>
      <c r="R471">
        <v>0</v>
      </c>
      <c r="S471">
        <v>1</v>
      </c>
      <c r="T471">
        <v>6</v>
      </c>
      <c r="U471">
        <v>2</v>
      </c>
      <c r="V471">
        <v>16</v>
      </c>
      <c r="W471">
        <v>15</v>
      </c>
      <c r="X471">
        <v>14</v>
      </c>
      <c r="Y471">
        <v>16</v>
      </c>
      <c r="Z471">
        <v>1</v>
      </c>
      <c r="AA471">
        <v>8</v>
      </c>
      <c r="AB471">
        <v>5</v>
      </c>
      <c r="AC471">
        <v>2</v>
      </c>
      <c r="AD471">
        <v>15</v>
      </c>
      <c r="AE471">
        <v>15</v>
      </c>
      <c r="AF471">
        <v>6</v>
      </c>
      <c r="AG471">
        <v>9</v>
      </c>
      <c r="AH471">
        <v>-1</v>
      </c>
      <c r="AI471">
        <v>0</v>
      </c>
    </row>
    <row r="472" spans="1:35" hidden="1" x14ac:dyDescent="0.25">
      <c r="A472">
        <v>2023</v>
      </c>
      <c r="B472" s="1">
        <v>45099</v>
      </c>
      <c r="C472">
        <v>11</v>
      </c>
      <c r="D472">
        <v>28494</v>
      </c>
      <c r="E472">
        <v>61927</v>
      </c>
      <c r="F472" t="s">
        <v>50</v>
      </c>
      <c r="G472" t="s">
        <v>63</v>
      </c>
      <c r="H472" t="s">
        <v>335</v>
      </c>
      <c r="I472" t="s">
        <v>65</v>
      </c>
      <c r="J472">
        <v>12</v>
      </c>
      <c r="K472">
        <v>10</v>
      </c>
      <c r="L472">
        <v>1910</v>
      </c>
      <c r="M472">
        <v>1220</v>
      </c>
      <c r="N472" t="s">
        <v>129</v>
      </c>
      <c r="O472" t="s">
        <v>142</v>
      </c>
      <c r="P472">
        <v>0</v>
      </c>
      <c r="Q472">
        <v>1</v>
      </c>
      <c r="R472">
        <v>0</v>
      </c>
      <c r="S472">
        <v>0</v>
      </c>
      <c r="T472">
        <v>5</v>
      </c>
      <c r="U472">
        <v>2</v>
      </c>
      <c r="V472">
        <v>9</v>
      </c>
      <c r="W472">
        <v>12</v>
      </c>
      <c r="X472">
        <v>11</v>
      </c>
      <c r="Y472">
        <v>9</v>
      </c>
      <c r="Z472">
        <v>1</v>
      </c>
      <c r="AA472">
        <v>3</v>
      </c>
      <c r="AB472">
        <v>1</v>
      </c>
      <c r="AC472">
        <v>7</v>
      </c>
      <c r="AD472">
        <v>12</v>
      </c>
      <c r="AE472">
        <v>10</v>
      </c>
      <c r="AF472">
        <v>5</v>
      </c>
      <c r="AG472">
        <v>4</v>
      </c>
      <c r="AH472">
        <v>-1</v>
      </c>
      <c r="AI472">
        <v>0</v>
      </c>
    </row>
    <row r="473" spans="1:35" hidden="1" x14ac:dyDescent="0.25">
      <c r="A473">
        <v>2023</v>
      </c>
      <c r="B473" s="1">
        <v>45158</v>
      </c>
      <c r="C473">
        <v>20</v>
      </c>
      <c r="D473">
        <v>36202</v>
      </c>
      <c r="E473">
        <v>61927</v>
      </c>
      <c r="F473" t="s">
        <v>50</v>
      </c>
      <c r="G473" t="s">
        <v>88</v>
      </c>
      <c r="H473" t="s">
        <v>335</v>
      </c>
      <c r="I473" t="s">
        <v>317</v>
      </c>
      <c r="J473">
        <v>12</v>
      </c>
      <c r="K473">
        <v>13</v>
      </c>
      <c r="L473">
        <v>2275</v>
      </c>
      <c r="M473">
        <v>3065</v>
      </c>
      <c r="N473" t="s">
        <v>129</v>
      </c>
      <c r="O473" t="s">
        <v>202</v>
      </c>
      <c r="P473">
        <v>1</v>
      </c>
      <c r="Q473">
        <v>1</v>
      </c>
      <c r="R473">
        <v>1</v>
      </c>
      <c r="S473">
        <v>0</v>
      </c>
      <c r="T473">
        <v>10</v>
      </c>
      <c r="U473">
        <v>3</v>
      </c>
      <c r="V473">
        <v>17</v>
      </c>
      <c r="W473">
        <v>13</v>
      </c>
      <c r="X473">
        <v>13</v>
      </c>
      <c r="Y473">
        <v>16</v>
      </c>
      <c r="Z473">
        <v>1</v>
      </c>
      <c r="AA473">
        <v>7</v>
      </c>
      <c r="AB473">
        <v>1</v>
      </c>
      <c r="AC473">
        <v>1</v>
      </c>
      <c r="AD473">
        <v>19</v>
      </c>
      <c r="AE473">
        <v>5</v>
      </c>
      <c r="AF473">
        <v>8</v>
      </c>
      <c r="AG473">
        <v>2</v>
      </c>
      <c r="AH473">
        <v>0</v>
      </c>
      <c r="AI473">
        <v>0</v>
      </c>
    </row>
    <row r="474" spans="1:35" hidden="1" x14ac:dyDescent="0.25">
      <c r="A474">
        <v>2023</v>
      </c>
      <c r="B474" s="1">
        <v>45200</v>
      </c>
      <c r="C474">
        <v>25</v>
      </c>
      <c r="D474">
        <v>44279</v>
      </c>
      <c r="E474">
        <v>61927</v>
      </c>
      <c r="F474" t="s">
        <v>50</v>
      </c>
      <c r="G474" t="s">
        <v>310</v>
      </c>
      <c r="H474" t="s">
        <v>323</v>
      </c>
      <c r="I474" t="s">
        <v>344</v>
      </c>
      <c r="J474">
        <v>12</v>
      </c>
      <c r="K474">
        <v>19</v>
      </c>
      <c r="L474">
        <v>2305</v>
      </c>
      <c r="M474">
        <v>875</v>
      </c>
      <c r="N474">
        <v>29</v>
      </c>
      <c r="O474" t="s">
        <v>166</v>
      </c>
      <c r="P474">
        <v>1</v>
      </c>
      <c r="Q474">
        <v>1</v>
      </c>
      <c r="R474">
        <v>1</v>
      </c>
      <c r="S474">
        <v>1</v>
      </c>
      <c r="T474">
        <v>9</v>
      </c>
      <c r="U474">
        <v>7</v>
      </c>
      <c r="V474">
        <v>15</v>
      </c>
      <c r="W474">
        <v>10</v>
      </c>
      <c r="X474">
        <v>10</v>
      </c>
      <c r="Y474">
        <v>15</v>
      </c>
      <c r="Z474">
        <v>6</v>
      </c>
      <c r="AA474">
        <v>1</v>
      </c>
      <c r="AB474">
        <v>1</v>
      </c>
      <c r="AC474">
        <v>1</v>
      </c>
      <c r="AD474">
        <v>18</v>
      </c>
      <c r="AE474">
        <v>18</v>
      </c>
      <c r="AF474">
        <v>8</v>
      </c>
      <c r="AG474">
        <v>7</v>
      </c>
      <c r="AH474">
        <v>0</v>
      </c>
      <c r="AI474">
        <v>0</v>
      </c>
    </row>
    <row r="475" spans="1:35" hidden="1" x14ac:dyDescent="0.25">
      <c r="A475">
        <v>2023</v>
      </c>
      <c r="B475" s="1">
        <v>45261</v>
      </c>
      <c r="C475">
        <v>36</v>
      </c>
      <c r="D475">
        <v>36696</v>
      </c>
      <c r="E475">
        <v>61927</v>
      </c>
      <c r="F475" t="s">
        <v>50</v>
      </c>
      <c r="G475" t="s">
        <v>69</v>
      </c>
      <c r="H475" t="s">
        <v>334</v>
      </c>
      <c r="I475" t="s">
        <v>325</v>
      </c>
      <c r="J475">
        <v>14</v>
      </c>
      <c r="K475">
        <v>8</v>
      </c>
      <c r="L475">
        <v>2155</v>
      </c>
      <c r="M475">
        <v>3340</v>
      </c>
      <c r="N475" t="s">
        <v>120</v>
      </c>
      <c r="O475" t="s">
        <v>128</v>
      </c>
      <c r="P475">
        <v>1</v>
      </c>
      <c r="Q475">
        <v>1</v>
      </c>
      <c r="R475">
        <v>0</v>
      </c>
      <c r="S475">
        <v>0</v>
      </c>
      <c r="T475">
        <v>2</v>
      </c>
      <c r="U475">
        <v>3</v>
      </c>
      <c r="V475">
        <v>10</v>
      </c>
      <c r="W475">
        <v>13</v>
      </c>
      <c r="X475">
        <v>13</v>
      </c>
      <c r="Y475">
        <v>10</v>
      </c>
      <c r="Z475">
        <v>2</v>
      </c>
      <c r="AA475">
        <v>7</v>
      </c>
      <c r="AB475">
        <v>1</v>
      </c>
      <c r="AC475">
        <v>1</v>
      </c>
      <c r="AD475">
        <v>26</v>
      </c>
      <c r="AE475">
        <v>6</v>
      </c>
      <c r="AF475">
        <v>13</v>
      </c>
      <c r="AG475">
        <v>2</v>
      </c>
      <c r="AH475">
        <v>0</v>
      </c>
      <c r="AI475">
        <v>0</v>
      </c>
    </row>
    <row r="476" spans="1:35" hidden="1" x14ac:dyDescent="0.25">
      <c r="A476">
        <v>2023</v>
      </c>
      <c r="B476" s="1">
        <v>45267</v>
      </c>
      <c r="C476">
        <v>38</v>
      </c>
      <c r="D476">
        <v>44190</v>
      </c>
      <c r="E476">
        <v>61927</v>
      </c>
      <c r="F476" t="s">
        <v>50</v>
      </c>
      <c r="G476" t="s">
        <v>95</v>
      </c>
      <c r="H476" t="s">
        <v>334</v>
      </c>
      <c r="I476" t="s">
        <v>97</v>
      </c>
      <c r="J476">
        <v>14</v>
      </c>
      <c r="K476">
        <v>1</v>
      </c>
      <c r="L476">
        <v>2135</v>
      </c>
      <c r="M476">
        <v>7600</v>
      </c>
      <c r="N476" t="s">
        <v>163</v>
      </c>
      <c r="O476">
        <v>28</v>
      </c>
      <c r="P476">
        <v>1</v>
      </c>
      <c r="Q476">
        <v>1</v>
      </c>
      <c r="R476">
        <v>0</v>
      </c>
      <c r="S476">
        <v>1</v>
      </c>
      <c r="T476">
        <v>3</v>
      </c>
      <c r="U476">
        <v>4</v>
      </c>
      <c r="V476">
        <v>9</v>
      </c>
      <c r="W476">
        <v>19</v>
      </c>
      <c r="X476">
        <v>19</v>
      </c>
      <c r="Y476">
        <v>9</v>
      </c>
      <c r="Z476">
        <v>4</v>
      </c>
      <c r="AA476">
        <v>5</v>
      </c>
      <c r="AB476">
        <v>0</v>
      </c>
      <c r="AC476">
        <v>0</v>
      </c>
      <c r="AD476">
        <v>14</v>
      </c>
      <c r="AE476">
        <v>8</v>
      </c>
      <c r="AF476">
        <v>7</v>
      </c>
      <c r="AG476">
        <v>1</v>
      </c>
      <c r="AH476">
        <v>0</v>
      </c>
      <c r="AI476">
        <v>0</v>
      </c>
    </row>
    <row r="477" spans="1:35" hidden="1" x14ac:dyDescent="0.25">
      <c r="A477">
        <v>2023</v>
      </c>
      <c r="B477" s="1">
        <v>45073</v>
      </c>
      <c r="C477">
        <v>8</v>
      </c>
      <c r="D477">
        <v>65270</v>
      </c>
      <c r="E477">
        <v>78838</v>
      </c>
      <c r="F477" t="s">
        <v>77</v>
      </c>
      <c r="G477" t="s">
        <v>50</v>
      </c>
      <c r="H477" t="s">
        <v>329</v>
      </c>
      <c r="I477" t="s">
        <v>335</v>
      </c>
      <c r="J477">
        <v>7</v>
      </c>
      <c r="K477">
        <v>6</v>
      </c>
      <c r="L477">
        <v>9010</v>
      </c>
      <c r="M477">
        <v>1530</v>
      </c>
      <c r="N477" t="s">
        <v>176</v>
      </c>
      <c r="O477" t="s">
        <v>128</v>
      </c>
      <c r="P477">
        <v>1</v>
      </c>
      <c r="Q477">
        <v>1</v>
      </c>
      <c r="R477">
        <v>1</v>
      </c>
      <c r="S477">
        <v>1</v>
      </c>
      <c r="T477">
        <v>2</v>
      </c>
      <c r="U477">
        <v>1</v>
      </c>
      <c r="V477">
        <v>12</v>
      </c>
      <c r="W477">
        <v>18</v>
      </c>
      <c r="X477">
        <v>17</v>
      </c>
      <c r="Y477">
        <v>11</v>
      </c>
      <c r="Z477">
        <v>5</v>
      </c>
      <c r="AA477">
        <v>2</v>
      </c>
      <c r="AB477">
        <v>5</v>
      </c>
      <c r="AC477">
        <v>3</v>
      </c>
      <c r="AD477">
        <v>14</v>
      </c>
      <c r="AE477">
        <v>18</v>
      </c>
      <c r="AF477">
        <v>8</v>
      </c>
      <c r="AG477">
        <v>9</v>
      </c>
      <c r="AH477">
        <v>0</v>
      </c>
      <c r="AI477">
        <v>0</v>
      </c>
    </row>
    <row r="478" spans="1:35" hidden="1" x14ac:dyDescent="0.25">
      <c r="A478">
        <v>2023</v>
      </c>
      <c r="B478" s="1">
        <v>45151</v>
      </c>
      <c r="C478">
        <v>19</v>
      </c>
      <c r="D478">
        <v>62018</v>
      </c>
      <c r="E478">
        <v>78838</v>
      </c>
      <c r="F478" t="s">
        <v>77</v>
      </c>
      <c r="G478" t="s">
        <v>62</v>
      </c>
      <c r="H478" t="s">
        <v>329</v>
      </c>
      <c r="I478" t="s">
        <v>315</v>
      </c>
      <c r="J478">
        <v>4</v>
      </c>
      <c r="K478">
        <v>9</v>
      </c>
      <c r="L478">
        <v>7700</v>
      </c>
      <c r="M478">
        <v>2300</v>
      </c>
      <c r="N478" t="s">
        <v>233</v>
      </c>
      <c r="O478" t="s">
        <v>117</v>
      </c>
      <c r="P478">
        <v>1</v>
      </c>
      <c r="Q478">
        <v>1</v>
      </c>
      <c r="R478">
        <v>0</v>
      </c>
      <c r="S478">
        <v>1</v>
      </c>
      <c r="T478">
        <v>8</v>
      </c>
      <c r="U478">
        <v>2</v>
      </c>
      <c r="V478">
        <v>13</v>
      </c>
      <c r="W478">
        <v>15</v>
      </c>
      <c r="X478">
        <v>15</v>
      </c>
      <c r="Y478">
        <v>13</v>
      </c>
      <c r="Z478">
        <v>0</v>
      </c>
      <c r="AA478">
        <v>6</v>
      </c>
      <c r="AB478">
        <v>3</v>
      </c>
      <c r="AC478">
        <v>4</v>
      </c>
      <c r="AD478">
        <v>19</v>
      </c>
      <c r="AE478">
        <v>8</v>
      </c>
      <c r="AF478">
        <v>7</v>
      </c>
      <c r="AG478">
        <v>5</v>
      </c>
      <c r="AH478">
        <v>0</v>
      </c>
      <c r="AI478">
        <v>0</v>
      </c>
    </row>
    <row r="479" spans="1:35" hidden="1" x14ac:dyDescent="0.25">
      <c r="A479">
        <v>2023</v>
      </c>
      <c r="B479" s="1">
        <v>45241</v>
      </c>
      <c r="C479">
        <v>34</v>
      </c>
      <c r="D479">
        <v>64399</v>
      </c>
      <c r="E479">
        <v>78838</v>
      </c>
      <c r="F479" t="s">
        <v>77</v>
      </c>
      <c r="G479" t="s">
        <v>55</v>
      </c>
      <c r="H479" t="s">
        <v>79</v>
      </c>
      <c r="I479" t="s">
        <v>57</v>
      </c>
      <c r="J479">
        <v>3</v>
      </c>
      <c r="K479">
        <v>8</v>
      </c>
      <c r="L479">
        <v>9430</v>
      </c>
      <c r="M479">
        <v>4930</v>
      </c>
      <c r="N479" t="s">
        <v>137</v>
      </c>
      <c r="O479" t="s">
        <v>166</v>
      </c>
      <c r="P479">
        <v>1</v>
      </c>
      <c r="Q479">
        <v>1</v>
      </c>
      <c r="R479">
        <v>1</v>
      </c>
      <c r="S479">
        <v>0</v>
      </c>
      <c r="T479">
        <v>5</v>
      </c>
      <c r="U479">
        <v>2</v>
      </c>
      <c r="V479">
        <v>13</v>
      </c>
      <c r="W479">
        <v>17</v>
      </c>
      <c r="X479">
        <v>16</v>
      </c>
      <c r="Y479">
        <v>10</v>
      </c>
      <c r="Z479">
        <v>3</v>
      </c>
      <c r="AA479">
        <v>6</v>
      </c>
      <c r="AB479">
        <v>3</v>
      </c>
      <c r="AC479">
        <v>2</v>
      </c>
      <c r="AD479">
        <v>11</v>
      </c>
      <c r="AE479">
        <v>13</v>
      </c>
      <c r="AF479">
        <v>1</v>
      </c>
      <c r="AG479">
        <v>4</v>
      </c>
      <c r="AH479">
        <v>0</v>
      </c>
      <c r="AI479">
        <v>0</v>
      </c>
    </row>
    <row r="480" spans="1:35" hidden="1" x14ac:dyDescent="0.25">
      <c r="A480">
        <v>2023</v>
      </c>
      <c r="B480" s="1">
        <v>45263</v>
      </c>
      <c r="C480">
        <v>37</v>
      </c>
      <c r="D480">
        <v>63148</v>
      </c>
      <c r="E480">
        <v>78838</v>
      </c>
      <c r="F480" t="s">
        <v>77</v>
      </c>
      <c r="G480" t="s">
        <v>70</v>
      </c>
      <c r="H480" t="s">
        <v>79</v>
      </c>
      <c r="I480" t="s">
        <v>90</v>
      </c>
      <c r="J480">
        <v>3</v>
      </c>
      <c r="K480">
        <v>12</v>
      </c>
      <c r="L480">
        <v>9030</v>
      </c>
      <c r="M480">
        <v>708</v>
      </c>
      <c r="N480" t="s">
        <v>74</v>
      </c>
      <c r="O480">
        <v>29</v>
      </c>
      <c r="P480">
        <v>2</v>
      </c>
      <c r="Q480">
        <v>1</v>
      </c>
      <c r="R480">
        <v>2</v>
      </c>
      <c r="S480">
        <v>0</v>
      </c>
      <c r="T480">
        <v>6</v>
      </c>
      <c r="U480">
        <v>2</v>
      </c>
      <c r="V480">
        <v>13</v>
      </c>
      <c r="W480">
        <v>9</v>
      </c>
      <c r="X480">
        <v>9</v>
      </c>
      <c r="Y480">
        <v>13</v>
      </c>
      <c r="Z480">
        <v>0</v>
      </c>
      <c r="AA480">
        <v>4</v>
      </c>
      <c r="AB480">
        <v>0</v>
      </c>
      <c r="AC480">
        <v>1</v>
      </c>
      <c r="AD480">
        <v>19</v>
      </c>
      <c r="AE480">
        <v>2</v>
      </c>
      <c r="AF480">
        <v>7</v>
      </c>
      <c r="AG480">
        <v>0</v>
      </c>
      <c r="AH480">
        <v>1</v>
      </c>
      <c r="AI480">
        <v>1</v>
      </c>
    </row>
    <row r="481" spans="1:35" hidden="1" x14ac:dyDescent="0.25">
      <c r="A481">
        <v>2023</v>
      </c>
      <c r="B481" s="1">
        <v>45165</v>
      </c>
      <c r="C481">
        <v>21</v>
      </c>
      <c r="D481">
        <v>23630</v>
      </c>
      <c r="F481" t="s">
        <v>69</v>
      </c>
      <c r="G481" t="s">
        <v>55</v>
      </c>
      <c r="H481" t="s">
        <v>325</v>
      </c>
      <c r="I481" t="s">
        <v>57</v>
      </c>
      <c r="J481">
        <v>7</v>
      </c>
      <c r="K481">
        <v>5</v>
      </c>
      <c r="L481">
        <v>4845</v>
      </c>
      <c r="M481">
        <v>2715</v>
      </c>
      <c r="N481" t="s">
        <v>122</v>
      </c>
      <c r="O481" t="s">
        <v>41</v>
      </c>
      <c r="P481">
        <v>2</v>
      </c>
      <c r="Q481">
        <v>2</v>
      </c>
      <c r="R481">
        <v>1</v>
      </c>
      <c r="S481">
        <v>0</v>
      </c>
      <c r="T481">
        <v>2</v>
      </c>
      <c r="U481">
        <v>8</v>
      </c>
      <c r="V481">
        <v>9</v>
      </c>
      <c r="W481">
        <v>15</v>
      </c>
      <c r="X481">
        <v>13</v>
      </c>
      <c r="Y481">
        <v>9</v>
      </c>
      <c r="Z481">
        <v>8</v>
      </c>
      <c r="AA481">
        <v>2</v>
      </c>
      <c r="AB481">
        <v>1</v>
      </c>
      <c r="AC481">
        <v>4</v>
      </c>
      <c r="AD481">
        <v>10</v>
      </c>
      <c r="AE481">
        <v>23</v>
      </c>
      <c r="AF481">
        <v>4</v>
      </c>
      <c r="AG481">
        <v>5</v>
      </c>
      <c r="AH481">
        <v>0</v>
      </c>
      <c r="AI481">
        <v>0</v>
      </c>
    </row>
    <row r="482" spans="1:35" hidden="1" x14ac:dyDescent="0.25">
      <c r="A482">
        <v>2023</v>
      </c>
      <c r="B482" s="1">
        <v>45219</v>
      </c>
      <c r="C482">
        <v>27</v>
      </c>
      <c r="D482">
        <v>37073</v>
      </c>
      <c r="F482" t="s">
        <v>50</v>
      </c>
      <c r="G482" t="s">
        <v>77</v>
      </c>
      <c r="H482" t="s">
        <v>323</v>
      </c>
      <c r="I482" t="s">
        <v>79</v>
      </c>
      <c r="J482">
        <v>15</v>
      </c>
      <c r="K482">
        <v>3</v>
      </c>
      <c r="L482">
        <v>2025</v>
      </c>
      <c r="M482">
        <v>7550</v>
      </c>
      <c r="N482" t="s">
        <v>128</v>
      </c>
      <c r="O482" t="s">
        <v>100</v>
      </c>
      <c r="P482">
        <v>0</v>
      </c>
      <c r="Q482">
        <v>2</v>
      </c>
      <c r="R482">
        <v>0</v>
      </c>
      <c r="S482">
        <v>2</v>
      </c>
      <c r="T482">
        <v>9</v>
      </c>
      <c r="U482">
        <v>3</v>
      </c>
      <c r="V482">
        <v>20</v>
      </c>
      <c r="W482">
        <v>11</v>
      </c>
      <c r="X482">
        <v>11</v>
      </c>
      <c r="Y482">
        <v>19</v>
      </c>
      <c r="Z482">
        <v>0</v>
      </c>
      <c r="AA482">
        <v>5</v>
      </c>
      <c r="AB482">
        <v>3</v>
      </c>
      <c r="AC482">
        <v>1</v>
      </c>
      <c r="AD482">
        <v>12</v>
      </c>
      <c r="AE482">
        <v>9</v>
      </c>
      <c r="AF482">
        <v>4</v>
      </c>
      <c r="AG482">
        <v>6</v>
      </c>
      <c r="AH482">
        <v>-2</v>
      </c>
      <c r="AI482">
        <v>0</v>
      </c>
    </row>
    <row r="483" spans="1:35" hidden="1" x14ac:dyDescent="0.25">
      <c r="A483">
        <v>2023</v>
      </c>
      <c r="B483" s="1">
        <v>45185</v>
      </c>
      <c r="C483">
        <v>23</v>
      </c>
      <c r="D483">
        <v>35850</v>
      </c>
      <c r="E483">
        <v>38659</v>
      </c>
      <c r="F483" t="s">
        <v>82</v>
      </c>
      <c r="G483" t="s">
        <v>55</v>
      </c>
      <c r="H483" t="s">
        <v>84</v>
      </c>
      <c r="I483" t="s">
        <v>57</v>
      </c>
      <c r="J483">
        <v>17</v>
      </c>
      <c r="K483">
        <v>6</v>
      </c>
      <c r="L483">
        <v>2975</v>
      </c>
      <c r="M483">
        <v>5240</v>
      </c>
      <c r="N483" t="s">
        <v>168</v>
      </c>
      <c r="O483" t="s">
        <v>123</v>
      </c>
      <c r="P483">
        <v>4</v>
      </c>
      <c r="Q483">
        <v>2</v>
      </c>
      <c r="R483">
        <v>1</v>
      </c>
      <c r="S483">
        <v>0</v>
      </c>
      <c r="T483">
        <v>4</v>
      </c>
      <c r="U483">
        <v>11</v>
      </c>
      <c r="V483">
        <v>12</v>
      </c>
      <c r="W483">
        <v>7</v>
      </c>
      <c r="X483">
        <v>7</v>
      </c>
      <c r="Y483">
        <v>12</v>
      </c>
      <c r="Z483">
        <v>6</v>
      </c>
      <c r="AA483">
        <v>0</v>
      </c>
      <c r="AB483">
        <v>0</v>
      </c>
      <c r="AC483">
        <v>1</v>
      </c>
      <c r="AD483">
        <v>9</v>
      </c>
      <c r="AE483">
        <v>19</v>
      </c>
      <c r="AF483">
        <v>4</v>
      </c>
      <c r="AG483">
        <v>6</v>
      </c>
      <c r="AH483">
        <v>2</v>
      </c>
      <c r="AI483">
        <v>1</v>
      </c>
    </row>
    <row r="484" spans="1:35" hidden="1" x14ac:dyDescent="0.25">
      <c r="A484">
        <v>2023</v>
      </c>
      <c r="B484" s="1">
        <v>45041</v>
      </c>
      <c r="C484">
        <v>2</v>
      </c>
      <c r="D484">
        <v>27427</v>
      </c>
      <c r="E484">
        <v>47364</v>
      </c>
      <c r="F484" t="s">
        <v>38</v>
      </c>
      <c r="G484" t="s">
        <v>51</v>
      </c>
      <c r="H484" t="s">
        <v>316</v>
      </c>
      <c r="I484" t="s">
        <v>311</v>
      </c>
      <c r="J484">
        <v>18</v>
      </c>
      <c r="K484">
        <v>2</v>
      </c>
      <c r="L484">
        <v>2115</v>
      </c>
      <c r="M484">
        <v>2050</v>
      </c>
      <c r="N484" t="s">
        <v>149</v>
      </c>
      <c r="O484" t="s">
        <v>174</v>
      </c>
      <c r="P484">
        <v>1</v>
      </c>
      <c r="Q484">
        <v>2</v>
      </c>
      <c r="R484">
        <v>1</v>
      </c>
      <c r="S484">
        <v>1</v>
      </c>
      <c r="T484">
        <v>6</v>
      </c>
      <c r="U484">
        <v>3</v>
      </c>
      <c r="V484">
        <v>18</v>
      </c>
      <c r="W484">
        <v>9</v>
      </c>
      <c r="X484">
        <v>9</v>
      </c>
      <c r="Y484">
        <v>16</v>
      </c>
      <c r="Z484">
        <v>1</v>
      </c>
      <c r="AA484">
        <v>4</v>
      </c>
      <c r="AB484">
        <v>0</v>
      </c>
      <c r="AC484">
        <v>5</v>
      </c>
      <c r="AD484">
        <v>13</v>
      </c>
      <c r="AE484">
        <v>5</v>
      </c>
      <c r="AF484">
        <v>3</v>
      </c>
      <c r="AG484">
        <v>2</v>
      </c>
      <c r="AH484">
        <v>-1</v>
      </c>
      <c r="AI484">
        <v>0</v>
      </c>
    </row>
    <row r="485" spans="1:35" hidden="1" x14ac:dyDescent="0.25">
      <c r="A485">
        <v>2023</v>
      </c>
      <c r="B485" s="1">
        <v>45087</v>
      </c>
      <c r="C485">
        <v>10</v>
      </c>
      <c r="D485">
        <v>34019</v>
      </c>
      <c r="E485">
        <v>47364</v>
      </c>
      <c r="F485" t="s">
        <v>38</v>
      </c>
      <c r="G485" t="s">
        <v>50</v>
      </c>
      <c r="H485" t="s">
        <v>316</v>
      </c>
      <c r="I485" t="s">
        <v>335</v>
      </c>
      <c r="J485">
        <v>15</v>
      </c>
      <c r="K485">
        <v>9</v>
      </c>
      <c r="L485">
        <v>2515</v>
      </c>
      <c r="M485">
        <v>1910</v>
      </c>
      <c r="N485" t="s">
        <v>98</v>
      </c>
      <c r="O485" t="s">
        <v>137</v>
      </c>
      <c r="P485">
        <v>2</v>
      </c>
      <c r="Q485">
        <v>2</v>
      </c>
      <c r="R485">
        <v>1</v>
      </c>
      <c r="S485">
        <v>2</v>
      </c>
      <c r="T485">
        <v>6</v>
      </c>
      <c r="U485">
        <v>5</v>
      </c>
      <c r="V485">
        <v>15</v>
      </c>
      <c r="W485">
        <v>9</v>
      </c>
      <c r="X485">
        <v>9</v>
      </c>
      <c r="Y485">
        <v>14</v>
      </c>
      <c r="Z485">
        <v>5</v>
      </c>
      <c r="AA485">
        <v>3</v>
      </c>
      <c r="AB485">
        <v>8</v>
      </c>
      <c r="AC485">
        <v>5</v>
      </c>
      <c r="AD485">
        <v>14</v>
      </c>
      <c r="AE485">
        <v>15</v>
      </c>
      <c r="AF485">
        <v>3</v>
      </c>
      <c r="AG485">
        <v>6</v>
      </c>
      <c r="AH485">
        <v>0</v>
      </c>
      <c r="AI485">
        <v>0</v>
      </c>
    </row>
    <row r="486" spans="1:35" hidden="1" x14ac:dyDescent="0.25">
      <c r="A486">
        <v>2023</v>
      </c>
      <c r="B486" s="1">
        <v>45108</v>
      </c>
      <c r="C486">
        <v>13</v>
      </c>
      <c r="D486">
        <v>34090</v>
      </c>
      <c r="E486">
        <v>47364</v>
      </c>
      <c r="F486" t="s">
        <v>38</v>
      </c>
      <c r="G486" t="s">
        <v>83</v>
      </c>
      <c r="H486" t="s">
        <v>316</v>
      </c>
      <c r="I486" t="s">
        <v>319</v>
      </c>
      <c r="J486">
        <v>15</v>
      </c>
      <c r="K486">
        <v>2</v>
      </c>
      <c r="L486">
        <v>2905</v>
      </c>
      <c r="M486">
        <v>2720</v>
      </c>
      <c r="N486" t="s">
        <v>151</v>
      </c>
      <c r="O486" t="s">
        <v>128</v>
      </c>
      <c r="P486">
        <v>1</v>
      </c>
      <c r="Q486">
        <v>2</v>
      </c>
      <c r="R486">
        <v>1</v>
      </c>
      <c r="S486">
        <v>1</v>
      </c>
      <c r="T486">
        <v>7</v>
      </c>
      <c r="U486">
        <v>2</v>
      </c>
      <c r="V486">
        <v>21</v>
      </c>
      <c r="W486">
        <v>11</v>
      </c>
      <c r="X486">
        <v>9</v>
      </c>
      <c r="Y486">
        <v>20</v>
      </c>
      <c r="Z486">
        <v>5</v>
      </c>
      <c r="AA486">
        <v>3</v>
      </c>
      <c r="AB486">
        <v>0</v>
      </c>
      <c r="AC486">
        <v>6</v>
      </c>
      <c r="AD486">
        <v>16</v>
      </c>
      <c r="AE486">
        <v>14</v>
      </c>
      <c r="AF486">
        <v>7</v>
      </c>
      <c r="AG486">
        <v>5</v>
      </c>
      <c r="AH486">
        <v>-1</v>
      </c>
      <c r="AI486">
        <v>0</v>
      </c>
    </row>
    <row r="487" spans="1:35" hidden="1" x14ac:dyDescent="0.25">
      <c r="A487">
        <v>2023</v>
      </c>
      <c r="B487" s="1">
        <v>45188</v>
      </c>
      <c r="C487">
        <v>24</v>
      </c>
      <c r="D487">
        <v>41431</v>
      </c>
      <c r="E487">
        <v>47364</v>
      </c>
      <c r="F487" t="s">
        <v>38</v>
      </c>
      <c r="G487" t="s">
        <v>326</v>
      </c>
      <c r="H487" t="s">
        <v>40</v>
      </c>
      <c r="I487" t="s">
        <v>338</v>
      </c>
      <c r="J487">
        <v>17</v>
      </c>
      <c r="K487">
        <v>18</v>
      </c>
      <c r="L487">
        <v>2860</v>
      </c>
      <c r="M487">
        <v>4060</v>
      </c>
      <c r="N487" t="s">
        <v>100</v>
      </c>
      <c r="O487" t="s">
        <v>163</v>
      </c>
      <c r="P487">
        <v>1</v>
      </c>
      <c r="Q487">
        <v>2</v>
      </c>
      <c r="R487">
        <v>0</v>
      </c>
      <c r="S487">
        <v>0</v>
      </c>
      <c r="T487">
        <v>6</v>
      </c>
      <c r="U487">
        <v>8</v>
      </c>
      <c r="V487">
        <v>13</v>
      </c>
      <c r="W487">
        <v>13</v>
      </c>
      <c r="X487">
        <v>12</v>
      </c>
      <c r="Y487">
        <v>13</v>
      </c>
      <c r="Z487">
        <v>5</v>
      </c>
      <c r="AA487">
        <v>4</v>
      </c>
      <c r="AB487">
        <v>2</v>
      </c>
      <c r="AC487">
        <v>2</v>
      </c>
      <c r="AD487">
        <v>19</v>
      </c>
      <c r="AE487">
        <v>16</v>
      </c>
      <c r="AF487">
        <v>11</v>
      </c>
      <c r="AG487">
        <v>5</v>
      </c>
      <c r="AH487">
        <v>-1</v>
      </c>
      <c r="AI487">
        <v>0</v>
      </c>
    </row>
    <row r="488" spans="1:35" hidden="1" x14ac:dyDescent="0.25">
      <c r="A488">
        <v>2023</v>
      </c>
      <c r="B488" s="1">
        <v>45130</v>
      </c>
      <c r="C488">
        <v>16</v>
      </c>
      <c r="D488">
        <v>0</v>
      </c>
      <c r="E488">
        <v>24584</v>
      </c>
      <c r="F488" t="s">
        <v>82</v>
      </c>
      <c r="G488" t="s">
        <v>69</v>
      </c>
      <c r="H488" t="s">
        <v>84</v>
      </c>
      <c r="I488" t="s">
        <v>325</v>
      </c>
      <c r="J488">
        <v>19</v>
      </c>
      <c r="K488">
        <v>5</v>
      </c>
      <c r="L488">
        <v>2955</v>
      </c>
      <c r="M488">
        <v>5300</v>
      </c>
      <c r="N488" t="s">
        <v>332</v>
      </c>
      <c r="O488" t="s">
        <v>221</v>
      </c>
      <c r="P488">
        <v>0</v>
      </c>
      <c r="Q488">
        <v>2</v>
      </c>
      <c r="R488">
        <v>0</v>
      </c>
      <c r="S488">
        <v>0</v>
      </c>
      <c r="T488">
        <v>8</v>
      </c>
      <c r="U488">
        <v>2</v>
      </c>
      <c r="V488">
        <v>19</v>
      </c>
      <c r="W488">
        <v>21</v>
      </c>
      <c r="X488">
        <v>21</v>
      </c>
      <c r="Y488">
        <v>19</v>
      </c>
      <c r="Z488">
        <v>0</v>
      </c>
      <c r="AA488">
        <v>2</v>
      </c>
      <c r="AB488">
        <v>2</v>
      </c>
      <c r="AC488">
        <v>1</v>
      </c>
      <c r="AD488">
        <v>18</v>
      </c>
      <c r="AE488">
        <v>9</v>
      </c>
      <c r="AF488">
        <v>10</v>
      </c>
      <c r="AG488">
        <v>6</v>
      </c>
      <c r="AH488">
        <v>-2</v>
      </c>
      <c r="AI488">
        <v>0</v>
      </c>
    </row>
    <row r="489" spans="1:35" hidden="1" x14ac:dyDescent="0.25">
      <c r="A489">
        <v>2023</v>
      </c>
      <c r="B489" s="1">
        <v>45226</v>
      </c>
      <c r="C489">
        <v>29</v>
      </c>
      <c r="D489">
        <v>20098</v>
      </c>
      <c r="E489">
        <v>24584</v>
      </c>
      <c r="F489" t="s">
        <v>82</v>
      </c>
      <c r="G489" t="s">
        <v>37</v>
      </c>
      <c r="H489" t="s">
        <v>84</v>
      </c>
      <c r="I489" t="s">
        <v>39</v>
      </c>
      <c r="J489">
        <v>18</v>
      </c>
      <c r="K489">
        <v>11</v>
      </c>
      <c r="L489">
        <v>2740</v>
      </c>
      <c r="M489">
        <v>4945</v>
      </c>
      <c r="N489" t="s">
        <v>107</v>
      </c>
      <c r="O489" t="s">
        <v>111</v>
      </c>
      <c r="P489">
        <v>1</v>
      </c>
      <c r="Q489">
        <v>2</v>
      </c>
      <c r="R489">
        <v>0</v>
      </c>
      <c r="S489">
        <v>1</v>
      </c>
      <c r="T489">
        <v>7</v>
      </c>
      <c r="U489">
        <v>1</v>
      </c>
      <c r="V489">
        <v>17</v>
      </c>
      <c r="W489">
        <v>14</v>
      </c>
      <c r="X489">
        <v>13</v>
      </c>
      <c r="Y489">
        <v>17</v>
      </c>
      <c r="Z489">
        <v>3</v>
      </c>
      <c r="AA489">
        <v>4</v>
      </c>
      <c r="AB489">
        <v>1</v>
      </c>
      <c r="AC489">
        <v>3</v>
      </c>
      <c r="AD489">
        <v>15</v>
      </c>
      <c r="AE489">
        <v>9</v>
      </c>
      <c r="AF489">
        <v>7</v>
      </c>
      <c r="AG489">
        <v>2</v>
      </c>
      <c r="AH489">
        <v>-1</v>
      </c>
      <c r="AI489">
        <v>0</v>
      </c>
    </row>
    <row r="490" spans="1:35" hidden="1" x14ac:dyDescent="0.25">
      <c r="A490">
        <v>2023</v>
      </c>
      <c r="B490" s="1">
        <v>45262</v>
      </c>
      <c r="C490">
        <v>37</v>
      </c>
      <c r="D490">
        <v>40583</v>
      </c>
      <c r="E490">
        <v>49205</v>
      </c>
      <c r="F490" t="s">
        <v>88</v>
      </c>
      <c r="G490" t="s">
        <v>37</v>
      </c>
      <c r="H490" t="s">
        <v>240</v>
      </c>
      <c r="I490" t="s">
        <v>39</v>
      </c>
      <c r="J490">
        <v>13</v>
      </c>
      <c r="K490">
        <v>9</v>
      </c>
      <c r="L490">
        <v>2150</v>
      </c>
      <c r="M490">
        <v>3785</v>
      </c>
      <c r="N490" t="s">
        <v>197</v>
      </c>
      <c r="O490" t="s">
        <v>109</v>
      </c>
      <c r="P490">
        <v>1</v>
      </c>
      <c r="Q490">
        <v>2</v>
      </c>
      <c r="R490">
        <v>0</v>
      </c>
      <c r="S490">
        <v>1</v>
      </c>
      <c r="T490">
        <v>5</v>
      </c>
      <c r="U490">
        <v>4</v>
      </c>
      <c r="V490">
        <v>4</v>
      </c>
      <c r="W490">
        <v>13</v>
      </c>
      <c r="X490">
        <v>11</v>
      </c>
      <c r="Y490">
        <v>3</v>
      </c>
      <c r="Z490">
        <v>1</v>
      </c>
      <c r="AA490">
        <v>1</v>
      </c>
      <c r="AB490">
        <v>2</v>
      </c>
      <c r="AC490">
        <v>1</v>
      </c>
      <c r="AD490">
        <v>9</v>
      </c>
      <c r="AE490">
        <v>11</v>
      </c>
      <c r="AF490">
        <v>4</v>
      </c>
      <c r="AG490">
        <v>7</v>
      </c>
      <c r="AH490">
        <v>-1</v>
      </c>
      <c r="AI490">
        <v>0</v>
      </c>
    </row>
    <row r="491" spans="1:35" hidden="1" x14ac:dyDescent="0.25">
      <c r="A491">
        <v>2023</v>
      </c>
      <c r="B491" s="1">
        <v>45066</v>
      </c>
      <c r="C491">
        <v>7</v>
      </c>
      <c r="D491">
        <v>20047</v>
      </c>
      <c r="E491">
        <v>40502</v>
      </c>
      <c r="F491" t="s">
        <v>321</v>
      </c>
      <c r="G491" t="s">
        <v>89</v>
      </c>
      <c r="H491" t="s">
        <v>327</v>
      </c>
      <c r="I491" t="s">
        <v>39</v>
      </c>
      <c r="J491">
        <v>20</v>
      </c>
      <c r="K491">
        <v>4</v>
      </c>
      <c r="L491">
        <v>1890</v>
      </c>
      <c r="M491">
        <v>2590</v>
      </c>
      <c r="N491" t="s">
        <v>128</v>
      </c>
      <c r="O491" t="s">
        <v>48</v>
      </c>
      <c r="P491">
        <v>1</v>
      </c>
      <c r="Q491">
        <v>2</v>
      </c>
      <c r="R491">
        <v>1</v>
      </c>
      <c r="S491">
        <v>1</v>
      </c>
      <c r="T491">
        <v>5</v>
      </c>
      <c r="U491">
        <v>7</v>
      </c>
      <c r="V491">
        <v>20</v>
      </c>
      <c r="W491">
        <v>17</v>
      </c>
      <c r="X491">
        <v>16</v>
      </c>
      <c r="Y491">
        <v>20</v>
      </c>
      <c r="Z491">
        <v>6</v>
      </c>
      <c r="AA491">
        <v>3</v>
      </c>
      <c r="AB491">
        <v>2</v>
      </c>
      <c r="AC491">
        <v>1</v>
      </c>
      <c r="AD491">
        <v>10</v>
      </c>
      <c r="AE491">
        <v>19</v>
      </c>
      <c r="AF491">
        <v>6</v>
      </c>
      <c r="AG491">
        <v>4</v>
      </c>
      <c r="AH491">
        <v>-1</v>
      </c>
      <c r="AI491">
        <v>0</v>
      </c>
    </row>
    <row r="492" spans="1:35" hidden="1" x14ac:dyDescent="0.25">
      <c r="A492">
        <v>2023</v>
      </c>
      <c r="B492" s="1">
        <v>45221</v>
      </c>
      <c r="C492">
        <v>28</v>
      </c>
      <c r="D492">
        <v>19387</v>
      </c>
      <c r="E492">
        <v>40502</v>
      </c>
      <c r="F492" t="s">
        <v>321</v>
      </c>
      <c r="G492" t="s">
        <v>95</v>
      </c>
      <c r="H492" t="s">
        <v>322</v>
      </c>
      <c r="I492" t="s">
        <v>97</v>
      </c>
      <c r="J492">
        <v>19</v>
      </c>
      <c r="K492">
        <v>4</v>
      </c>
      <c r="L492">
        <v>1555</v>
      </c>
      <c r="M492">
        <v>6500</v>
      </c>
      <c r="N492" t="s">
        <v>296</v>
      </c>
      <c r="O492" t="s">
        <v>137</v>
      </c>
      <c r="P492">
        <v>0</v>
      </c>
      <c r="Q492">
        <v>2</v>
      </c>
      <c r="R492">
        <v>0</v>
      </c>
      <c r="S492">
        <v>2</v>
      </c>
      <c r="T492">
        <v>3</v>
      </c>
      <c r="U492">
        <v>6</v>
      </c>
      <c r="V492">
        <v>13</v>
      </c>
      <c r="W492">
        <v>18</v>
      </c>
      <c r="X492">
        <v>17</v>
      </c>
      <c r="Y492">
        <v>13</v>
      </c>
      <c r="Z492">
        <v>4</v>
      </c>
      <c r="AA492">
        <v>2</v>
      </c>
      <c r="AB492">
        <v>2</v>
      </c>
      <c r="AC492">
        <v>2</v>
      </c>
      <c r="AD492">
        <v>13</v>
      </c>
      <c r="AE492">
        <v>19</v>
      </c>
      <c r="AF492">
        <v>5</v>
      </c>
      <c r="AG492">
        <v>8</v>
      </c>
      <c r="AH492">
        <v>-2</v>
      </c>
      <c r="AI492">
        <v>0</v>
      </c>
    </row>
    <row r="493" spans="1:35" hidden="1" x14ac:dyDescent="0.25">
      <c r="A493">
        <v>2023</v>
      </c>
      <c r="B493" s="1">
        <v>45232</v>
      </c>
      <c r="C493">
        <v>31</v>
      </c>
      <c r="D493">
        <v>24308</v>
      </c>
      <c r="E493">
        <v>40502</v>
      </c>
      <c r="F493" t="s">
        <v>321</v>
      </c>
      <c r="G493" t="s">
        <v>83</v>
      </c>
      <c r="H493" t="s">
        <v>322</v>
      </c>
      <c r="I493" t="s">
        <v>319</v>
      </c>
      <c r="J493">
        <v>19</v>
      </c>
      <c r="K493">
        <v>4</v>
      </c>
      <c r="L493">
        <v>1285</v>
      </c>
      <c r="M493">
        <v>2715</v>
      </c>
      <c r="N493" t="s">
        <v>100</v>
      </c>
      <c r="O493" t="s">
        <v>309</v>
      </c>
      <c r="P493">
        <v>1</v>
      </c>
      <c r="Q493">
        <v>2</v>
      </c>
      <c r="R493">
        <v>0</v>
      </c>
      <c r="S493">
        <v>1</v>
      </c>
      <c r="T493">
        <v>6</v>
      </c>
      <c r="U493">
        <v>11</v>
      </c>
      <c r="V493">
        <v>11</v>
      </c>
      <c r="W493">
        <v>7</v>
      </c>
      <c r="X493">
        <v>7</v>
      </c>
      <c r="Y493">
        <v>9</v>
      </c>
      <c r="Z493">
        <v>2</v>
      </c>
      <c r="AA493">
        <v>1</v>
      </c>
      <c r="AB493">
        <v>0</v>
      </c>
      <c r="AC493">
        <v>0</v>
      </c>
      <c r="AD493">
        <v>13</v>
      </c>
      <c r="AE493">
        <v>19</v>
      </c>
      <c r="AF493">
        <v>8</v>
      </c>
      <c r="AG493">
        <v>9</v>
      </c>
      <c r="AH493">
        <v>-1</v>
      </c>
      <c r="AI493">
        <v>0</v>
      </c>
    </row>
    <row r="494" spans="1:35" hidden="1" x14ac:dyDescent="0.25">
      <c r="A494">
        <v>2023</v>
      </c>
      <c r="B494" s="1">
        <v>45267</v>
      </c>
      <c r="C494">
        <v>38</v>
      </c>
      <c r="D494">
        <v>0</v>
      </c>
      <c r="E494">
        <v>40502</v>
      </c>
      <c r="F494" t="s">
        <v>321</v>
      </c>
      <c r="G494" t="s">
        <v>88</v>
      </c>
      <c r="H494" t="s">
        <v>340</v>
      </c>
      <c r="I494" t="s">
        <v>240</v>
      </c>
      <c r="J494">
        <v>19</v>
      </c>
      <c r="K494">
        <v>13</v>
      </c>
      <c r="L494">
        <v>1165</v>
      </c>
      <c r="M494">
        <v>3740</v>
      </c>
      <c r="N494" t="s">
        <v>171</v>
      </c>
      <c r="O494" t="s">
        <v>117</v>
      </c>
      <c r="P494">
        <v>0</v>
      </c>
      <c r="Q494">
        <v>2</v>
      </c>
      <c r="R494">
        <v>0</v>
      </c>
      <c r="S494">
        <v>2</v>
      </c>
      <c r="T494">
        <v>6</v>
      </c>
      <c r="U494">
        <v>6</v>
      </c>
      <c r="V494">
        <v>17</v>
      </c>
      <c r="W494">
        <v>12</v>
      </c>
      <c r="X494">
        <v>11</v>
      </c>
      <c r="Y494">
        <v>16</v>
      </c>
      <c r="Z494">
        <v>4</v>
      </c>
      <c r="AA494">
        <v>5</v>
      </c>
      <c r="AB494">
        <v>0</v>
      </c>
      <c r="AC494">
        <v>1</v>
      </c>
      <c r="AD494">
        <v>13</v>
      </c>
      <c r="AE494">
        <v>13</v>
      </c>
      <c r="AF494">
        <v>5</v>
      </c>
      <c r="AG494">
        <v>6</v>
      </c>
      <c r="AH494">
        <v>-2</v>
      </c>
      <c r="AI494">
        <v>0</v>
      </c>
    </row>
    <row r="495" spans="1:35" hidden="1" x14ac:dyDescent="0.25">
      <c r="A495">
        <v>2023</v>
      </c>
      <c r="B495" s="1">
        <v>45207</v>
      </c>
      <c r="C495">
        <v>26</v>
      </c>
      <c r="D495">
        <v>45193</v>
      </c>
      <c r="E495">
        <v>82238</v>
      </c>
      <c r="F495" t="s">
        <v>55</v>
      </c>
      <c r="G495" t="s">
        <v>51</v>
      </c>
      <c r="H495" t="s">
        <v>57</v>
      </c>
      <c r="I495" t="s">
        <v>320</v>
      </c>
      <c r="J495">
        <v>7</v>
      </c>
      <c r="K495">
        <v>1</v>
      </c>
      <c r="L495">
        <v>4610</v>
      </c>
      <c r="M495">
        <v>2580</v>
      </c>
      <c r="N495" t="s">
        <v>197</v>
      </c>
      <c r="O495" t="s">
        <v>142</v>
      </c>
      <c r="P495">
        <v>0</v>
      </c>
      <c r="Q495">
        <v>2</v>
      </c>
      <c r="R495">
        <v>0</v>
      </c>
      <c r="S495">
        <v>2</v>
      </c>
      <c r="T495">
        <v>3</v>
      </c>
      <c r="U495">
        <v>2</v>
      </c>
      <c r="V495">
        <v>15</v>
      </c>
      <c r="W495">
        <v>14</v>
      </c>
      <c r="X495">
        <v>13</v>
      </c>
      <c r="Y495">
        <v>14</v>
      </c>
      <c r="Z495">
        <v>3</v>
      </c>
      <c r="AA495">
        <v>5</v>
      </c>
      <c r="AB495">
        <v>3</v>
      </c>
      <c r="AC495">
        <v>1</v>
      </c>
      <c r="AD495">
        <v>19</v>
      </c>
      <c r="AE495">
        <v>12</v>
      </c>
      <c r="AF495">
        <v>8</v>
      </c>
      <c r="AG495">
        <v>5</v>
      </c>
      <c r="AH495">
        <v>-2</v>
      </c>
      <c r="AI495">
        <v>0</v>
      </c>
    </row>
    <row r="496" spans="1:35" hidden="1" x14ac:dyDescent="0.25">
      <c r="A496">
        <v>2023</v>
      </c>
      <c r="B496" s="1">
        <v>45172</v>
      </c>
      <c r="C496">
        <v>22</v>
      </c>
      <c r="D496">
        <v>40769</v>
      </c>
      <c r="E496">
        <v>46931</v>
      </c>
      <c r="F496" t="s">
        <v>51</v>
      </c>
      <c r="G496" t="s">
        <v>77</v>
      </c>
      <c r="H496" t="s">
        <v>324</v>
      </c>
      <c r="I496" t="s">
        <v>329</v>
      </c>
      <c r="J496">
        <v>1</v>
      </c>
      <c r="K496">
        <v>4</v>
      </c>
      <c r="L496">
        <v>2940</v>
      </c>
      <c r="M496">
        <v>7700</v>
      </c>
      <c r="N496" t="s">
        <v>86</v>
      </c>
      <c r="O496" t="s">
        <v>233</v>
      </c>
      <c r="P496">
        <v>1</v>
      </c>
      <c r="Q496">
        <v>2</v>
      </c>
      <c r="R496">
        <v>1</v>
      </c>
      <c r="S496">
        <v>1</v>
      </c>
      <c r="T496">
        <v>12</v>
      </c>
      <c r="U496">
        <v>6</v>
      </c>
      <c r="V496">
        <v>14</v>
      </c>
      <c r="W496">
        <v>8</v>
      </c>
      <c r="X496">
        <v>7</v>
      </c>
      <c r="Y496">
        <v>13</v>
      </c>
      <c r="Z496">
        <v>3</v>
      </c>
      <c r="AA496">
        <v>5</v>
      </c>
      <c r="AB496">
        <v>1</v>
      </c>
      <c r="AC496">
        <v>2</v>
      </c>
      <c r="AD496">
        <v>17</v>
      </c>
      <c r="AE496">
        <v>12</v>
      </c>
      <c r="AF496">
        <v>7</v>
      </c>
      <c r="AG496">
        <v>4</v>
      </c>
      <c r="AH496">
        <v>-1</v>
      </c>
      <c r="AI496">
        <v>0</v>
      </c>
    </row>
    <row r="497" spans="1:35" hidden="1" x14ac:dyDescent="0.25">
      <c r="A497">
        <v>2023</v>
      </c>
      <c r="B497" s="1">
        <v>45066</v>
      </c>
      <c r="C497">
        <v>7</v>
      </c>
      <c r="D497">
        <v>57399</v>
      </c>
      <c r="E497">
        <v>72039</v>
      </c>
      <c r="F497" t="s">
        <v>62</v>
      </c>
      <c r="G497" t="s">
        <v>82</v>
      </c>
      <c r="H497" t="s">
        <v>315</v>
      </c>
      <c r="I497" t="s">
        <v>341</v>
      </c>
      <c r="J497">
        <v>8</v>
      </c>
      <c r="K497">
        <v>17</v>
      </c>
      <c r="L497">
        <v>3410</v>
      </c>
      <c r="M497">
        <v>3490</v>
      </c>
      <c r="N497" t="s">
        <v>117</v>
      </c>
      <c r="O497" t="s">
        <v>60</v>
      </c>
      <c r="P497">
        <v>4</v>
      </c>
      <c r="Q497">
        <v>2</v>
      </c>
      <c r="R497">
        <v>2</v>
      </c>
      <c r="S497">
        <v>1</v>
      </c>
      <c r="T497">
        <v>3</v>
      </c>
      <c r="U497">
        <v>9</v>
      </c>
      <c r="V497">
        <v>9</v>
      </c>
      <c r="W497">
        <v>16</v>
      </c>
      <c r="X497">
        <v>15</v>
      </c>
      <c r="Y497">
        <v>8</v>
      </c>
      <c r="Z497">
        <v>2</v>
      </c>
      <c r="AA497">
        <v>3</v>
      </c>
      <c r="AB497">
        <v>0</v>
      </c>
      <c r="AC497">
        <v>1</v>
      </c>
      <c r="AD497">
        <v>15</v>
      </c>
      <c r="AE497">
        <v>17</v>
      </c>
      <c r="AF497">
        <v>4</v>
      </c>
      <c r="AG497">
        <v>6</v>
      </c>
      <c r="AH497">
        <v>2</v>
      </c>
      <c r="AI497">
        <v>1</v>
      </c>
    </row>
    <row r="498" spans="1:35" hidden="1" x14ac:dyDescent="0.25">
      <c r="A498">
        <v>2023</v>
      </c>
      <c r="B498" s="1">
        <v>45088</v>
      </c>
      <c r="C498">
        <v>10</v>
      </c>
      <c r="D498">
        <v>56871</v>
      </c>
      <c r="E498">
        <v>72039</v>
      </c>
      <c r="F498" t="s">
        <v>62</v>
      </c>
      <c r="G498" t="s">
        <v>95</v>
      </c>
      <c r="H498" t="s">
        <v>315</v>
      </c>
      <c r="I498" t="s">
        <v>97</v>
      </c>
      <c r="J498">
        <v>8</v>
      </c>
      <c r="K498">
        <v>2</v>
      </c>
      <c r="L498">
        <v>2550</v>
      </c>
      <c r="M498">
        <v>7480</v>
      </c>
      <c r="N498" t="s">
        <v>137</v>
      </c>
      <c r="O498">
        <v>28</v>
      </c>
      <c r="P498">
        <v>0</v>
      </c>
      <c r="Q498">
        <v>2</v>
      </c>
      <c r="R498">
        <v>0</v>
      </c>
      <c r="S498">
        <v>1</v>
      </c>
      <c r="T498">
        <v>8</v>
      </c>
      <c r="U498">
        <v>3</v>
      </c>
      <c r="V498">
        <v>15</v>
      </c>
      <c r="W498">
        <v>17</v>
      </c>
      <c r="X498">
        <v>16</v>
      </c>
      <c r="Y498">
        <v>15</v>
      </c>
      <c r="Z498">
        <v>2</v>
      </c>
      <c r="AA498">
        <v>6</v>
      </c>
      <c r="AB498">
        <v>0</v>
      </c>
      <c r="AC498">
        <v>2</v>
      </c>
      <c r="AD498">
        <v>26</v>
      </c>
      <c r="AE498">
        <v>10</v>
      </c>
      <c r="AF498">
        <v>11</v>
      </c>
      <c r="AG498">
        <v>1</v>
      </c>
      <c r="AH498">
        <v>-2</v>
      </c>
      <c r="AI498">
        <v>0</v>
      </c>
    </row>
    <row r="499" spans="1:35" hidden="1" x14ac:dyDescent="0.25">
      <c r="A499">
        <v>2023</v>
      </c>
      <c r="B499" s="1">
        <v>45144</v>
      </c>
      <c r="C499">
        <v>18</v>
      </c>
      <c r="D499">
        <v>53460</v>
      </c>
      <c r="E499">
        <v>72039</v>
      </c>
      <c r="F499" t="s">
        <v>62</v>
      </c>
      <c r="G499" t="s">
        <v>89</v>
      </c>
      <c r="H499" t="s">
        <v>315</v>
      </c>
      <c r="I499" t="s">
        <v>336</v>
      </c>
      <c r="J499">
        <v>9</v>
      </c>
      <c r="K499">
        <v>10</v>
      </c>
      <c r="L499">
        <v>3810</v>
      </c>
      <c r="M499">
        <v>4065</v>
      </c>
      <c r="N499" t="s">
        <v>151</v>
      </c>
      <c r="O499">
        <v>29</v>
      </c>
      <c r="P499">
        <v>0</v>
      </c>
      <c r="Q499">
        <v>2</v>
      </c>
      <c r="R499">
        <v>0</v>
      </c>
      <c r="S499">
        <v>1</v>
      </c>
      <c r="T499">
        <v>9</v>
      </c>
      <c r="U499">
        <v>3</v>
      </c>
      <c r="V499">
        <v>16</v>
      </c>
      <c r="W499">
        <v>17</v>
      </c>
      <c r="X499">
        <v>16</v>
      </c>
      <c r="Y499">
        <v>15</v>
      </c>
      <c r="Z499">
        <v>0</v>
      </c>
      <c r="AA499">
        <v>3</v>
      </c>
      <c r="AB499">
        <v>6</v>
      </c>
      <c r="AC499">
        <v>1</v>
      </c>
      <c r="AD499">
        <v>18</v>
      </c>
      <c r="AE499">
        <v>8</v>
      </c>
      <c r="AF499">
        <v>9</v>
      </c>
      <c r="AG499">
        <v>3</v>
      </c>
      <c r="AH499">
        <v>-2</v>
      </c>
      <c r="AI499">
        <v>0</v>
      </c>
    </row>
    <row r="500" spans="1:35" hidden="1" x14ac:dyDescent="0.25">
      <c r="A500">
        <v>2023</v>
      </c>
      <c r="B500" s="1">
        <v>45190</v>
      </c>
      <c r="C500">
        <v>24</v>
      </c>
      <c r="D500">
        <v>24777</v>
      </c>
      <c r="E500">
        <v>72039</v>
      </c>
      <c r="F500" t="s">
        <v>62</v>
      </c>
      <c r="G500" t="s">
        <v>63</v>
      </c>
      <c r="H500" t="s">
        <v>315</v>
      </c>
      <c r="I500" t="s">
        <v>65</v>
      </c>
      <c r="J500">
        <v>10</v>
      </c>
      <c r="K500">
        <v>8</v>
      </c>
      <c r="L500">
        <v>2830</v>
      </c>
      <c r="M500">
        <v>1135</v>
      </c>
      <c r="N500" t="s">
        <v>99</v>
      </c>
      <c r="O500" t="s">
        <v>205</v>
      </c>
      <c r="P500">
        <v>1</v>
      </c>
      <c r="Q500">
        <v>2</v>
      </c>
      <c r="R500">
        <v>0</v>
      </c>
      <c r="S500">
        <v>1</v>
      </c>
      <c r="T500">
        <v>9</v>
      </c>
      <c r="U500">
        <v>0</v>
      </c>
      <c r="V500">
        <v>21</v>
      </c>
      <c r="W500">
        <v>14</v>
      </c>
      <c r="X500">
        <v>14</v>
      </c>
      <c r="Y500">
        <v>20</v>
      </c>
      <c r="Z500">
        <v>2</v>
      </c>
      <c r="AA500">
        <v>6</v>
      </c>
      <c r="AB500">
        <v>0</v>
      </c>
      <c r="AC500">
        <v>0</v>
      </c>
      <c r="AD500">
        <v>13</v>
      </c>
      <c r="AE500">
        <v>7</v>
      </c>
      <c r="AF500">
        <v>6</v>
      </c>
      <c r="AG500">
        <v>3</v>
      </c>
      <c r="AH500">
        <v>-1</v>
      </c>
      <c r="AI500">
        <v>0</v>
      </c>
    </row>
    <row r="501" spans="1:35" hidden="1" x14ac:dyDescent="0.25">
      <c r="A501">
        <v>2023</v>
      </c>
      <c r="B501" s="1">
        <v>45116</v>
      </c>
      <c r="C501">
        <v>14</v>
      </c>
      <c r="D501">
        <v>47029</v>
      </c>
      <c r="E501">
        <v>60540</v>
      </c>
      <c r="F501" t="s">
        <v>83</v>
      </c>
      <c r="G501" t="s">
        <v>51</v>
      </c>
      <c r="H501" t="s">
        <v>319</v>
      </c>
      <c r="I501" t="s">
        <v>330</v>
      </c>
      <c r="J501">
        <v>3</v>
      </c>
      <c r="K501">
        <v>1</v>
      </c>
      <c r="L501">
        <v>2790</v>
      </c>
      <c r="M501">
        <v>2510</v>
      </c>
      <c r="N501" t="s">
        <v>105</v>
      </c>
      <c r="O501" t="s">
        <v>137</v>
      </c>
      <c r="P501">
        <v>0</v>
      </c>
      <c r="Q501">
        <v>2</v>
      </c>
      <c r="R501">
        <v>0</v>
      </c>
      <c r="S501">
        <v>0</v>
      </c>
      <c r="T501">
        <v>10</v>
      </c>
      <c r="U501">
        <v>2</v>
      </c>
      <c r="V501">
        <v>8</v>
      </c>
      <c r="W501">
        <v>13</v>
      </c>
      <c r="X501">
        <v>10</v>
      </c>
      <c r="Y501">
        <v>8</v>
      </c>
      <c r="Z501">
        <v>4</v>
      </c>
      <c r="AA501">
        <v>4</v>
      </c>
      <c r="AB501">
        <v>1</v>
      </c>
      <c r="AC501">
        <v>1</v>
      </c>
      <c r="AD501">
        <v>22</v>
      </c>
      <c r="AE501">
        <v>15</v>
      </c>
      <c r="AF501">
        <v>11</v>
      </c>
      <c r="AG501">
        <v>5</v>
      </c>
      <c r="AH501">
        <v>-2</v>
      </c>
      <c r="AI501">
        <v>0</v>
      </c>
    </row>
    <row r="502" spans="1:35" hidden="1" x14ac:dyDescent="0.25">
      <c r="A502">
        <v>2023</v>
      </c>
      <c r="B502" s="1">
        <v>45218</v>
      </c>
      <c r="C502">
        <v>27</v>
      </c>
      <c r="D502">
        <v>24679</v>
      </c>
      <c r="E502">
        <v>60540</v>
      </c>
      <c r="F502" t="s">
        <v>83</v>
      </c>
      <c r="G502" t="s">
        <v>69</v>
      </c>
      <c r="H502" t="s">
        <v>319</v>
      </c>
      <c r="I502" t="s">
        <v>325</v>
      </c>
      <c r="J502">
        <v>4</v>
      </c>
      <c r="K502">
        <v>6</v>
      </c>
      <c r="L502">
        <v>2265</v>
      </c>
      <c r="M502">
        <v>3130</v>
      </c>
      <c r="N502">
        <v>30</v>
      </c>
      <c r="O502" t="s">
        <v>114</v>
      </c>
      <c r="P502">
        <v>1</v>
      </c>
      <c r="Q502">
        <v>2</v>
      </c>
      <c r="R502">
        <v>1</v>
      </c>
      <c r="S502">
        <v>1</v>
      </c>
      <c r="T502">
        <v>4</v>
      </c>
      <c r="U502">
        <v>8</v>
      </c>
      <c r="V502">
        <v>9</v>
      </c>
      <c r="W502">
        <v>13</v>
      </c>
      <c r="X502">
        <v>12</v>
      </c>
      <c r="Y502">
        <v>8</v>
      </c>
      <c r="Z502">
        <v>5</v>
      </c>
      <c r="AA502">
        <v>4</v>
      </c>
      <c r="AB502">
        <v>1</v>
      </c>
      <c r="AC502">
        <v>1</v>
      </c>
      <c r="AD502">
        <v>11</v>
      </c>
      <c r="AE502">
        <v>20</v>
      </c>
      <c r="AF502">
        <v>4</v>
      </c>
      <c r="AG502">
        <v>8</v>
      </c>
      <c r="AH502">
        <v>-1</v>
      </c>
      <c r="AI502">
        <v>0</v>
      </c>
    </row>
    <row r="503" spans="1:35" hidden="1" x14ac:dyDescent="0.25">
      <c r="A503">
        <v>2023</v>
      </c>
      <c r="B503" s="1">
        <v>45225</v>
      </c>
      <c r="C503">
        <v>29</v>
      </c>
      <c r="D503">
        <v>22325</v>
      </c>
      <c r="E503">
        <v>60540</v>
      </c>
      <c r="F503" t="s">
        <v>83</v>
      </c>
      <c r="G503" t="s">
        <v>77</v>
      </c>
      <c r="H503" t="s">
        <v>319</v>
      </c>
      <c r="I503" t="s">
        <v>79</v>
      </c>
      <c r="J503">
        <v>6</v>
      </c>
      <c r="K503">
        <v>4</v>
      </c>
      <c r="L503">
        <v>2325</v>
      </c>
      <c r="M503">
        <v>9850</v>
      </c>
      <c r="N503" t="s">
        <v>105</v>
      </c>
      <c r="O503" t="s">
        <v>114</v>
      </c>
      <c r="P503">
        <v>3</v>
      </c>
      <c r="Q503">
        <v>2</v>
      </c>
      <c r="R503">
        <v>0</v>
      </c>
      <c r="S503">
        <v>1</v>
      </c>
      <c r="T503">
        <v>6</v>
      </c>
      <c r="U503">
        <v>1</v>
      </c>
      <c r="V503">
        <v>14</v>
      </c>
      <c r="W503">
        <v>16</v>
      </c>
      <c r="X503">
        <v>16</v>
      </c>
      <c r="Y503">
        <v>12</v>
      </c>
      <c r="Z503">
        <v>2</v>
      </c>
      <c r="AA503">
        <v>1</v>
      </c>
      <c r="AB503">
        <v>0</v>
      </c>
      <c r="AC503">
        <v>0</v>
      </c>
      <c r="AD503">
        <v>11</v>
      </c>
      <c r="AE503">
        <v>8</v>
      </c>
      <c r="AF503">
        <v>3</v>
      </c>
      <c r="AG503">
        <v>4</v>
      </c>
      <c r="AH503">
        <v>1</v>
      </c>
      <c r="AI503">
        <v>1</v>
      </c>
    </row>
    <row r="504" spans="1:35" hidden="1" x14ac:dyDescent="0.25">
      <c r="A504">
        <v>2023</v>
      </c>
      <c r="B504" s="1">
        <v>45060</v>
      </c>
      <c r="C504">
        <v>6</v>
      </c>
      <c r="D504">
        <v>31252</v>
      </c>
      <c r="E504">
        <v>42372</v>
      </c>
      <c r="F504" t="s">
        <v>69</v>
      </c>
      <c r="G504" t="s">
        <v>321</v>
      </c>
      <c r="H504" t="s">
        <v>308</v>
      </c>
      <c r="I504" t="s">
        <v>327</v>
      </c>
      <c r="J504">
        <v>5</v>
      </c>
      <c r="K504">
        <v>19</v>
      </c>
      <c r="L504">
        <v>5355</v>
      </c>
      <c r="M504">
        <v>1720</v>
      </c>
      <c r="N504" t="s">
        <v>116</v>
      </c>
      <c r="O504" t="s">
        <v>134</v>
      </c>
      <c r="P504">
        <v>3</v>
      </c>
      <c r="Q504">
        <v>2</v>
      </c>
      <c r="R504">
        <v>0</v>
      </c>
      <c r="S504">
        <v>1</v>
      </c>
      <c r="T504">
        <v>4</v>
      </c>
      <c r="U504">
        <v>1</v>
      </c>
      <c r="V504">
        <v>9</v>
      </c>
      <c r="W504">
        <v>12</v>
      </c>
      <c r="X504">
        <v>12</v>
      </c>
      <c r="Y504">
        <v>9</v>
      </c>
      <c r="Z504">
        <v>1</v>
      </c>
      <c r="AA504">
        <v>4</v>
      </c>
      <c r="AB504">
        <v>1</v>
      </c>
      <c r="AC504">
        <v>1</v>
      </c>
      <c r="AD504">
        <v>26</v>
      </c>
      <c r="AE504">
        <v>7</v>
      </c>
      <c r="AF504">
        <v>15</v>
      </c>
      <c r="AG504">
        <v>2</v>
      </c>
      <c r="AH504">
        <v>1</v>
      </c>
      <c r="AI504">
        <v>1</v>
      </c>
    </row>
    <row r="505" spans="1:35" hidden="1" x14ac:dyDescent="0.25">
      <c r="A505">
        <v>2023</v>
      </c>
      <c r="B505" s="1">
        <v>45073</v>
      </c>
      <c r="C505">
        <v>8</v>
      </c>
      <c r="D505">
        <v>25966</v>
      </c>
      <c r="E505">
        <v>42372</v>
      </c>
      <c r="F505" t="s">
        <v>69</v>
      </c>
      <c r="G505" t="s">
        <v>83</v>
      </c>
      <c r="H505" t="s">
        <v>308</v>
      </c>
      <c r="I505" t="s">
        <v>319</v>
      </c>
      <c r="J505">
        <v>11</v>
      </c>
      <c r="K505">
        <v>5</v>
      </c>
      <c r="L505">
        <v>4575</v>
      </c>
      <c r="M505">
        <v>1100</v>
      </c>
      <c r="N505" t="s">
        <v>104</v>
      </c>
      <c r="O505" t="s">
        <v>168</v>
      </c>
      <c r="P505">
        <v>1</v>
      </c>
      <c r="Q505">
        <v>2</v>
      </c>
      <c r="R505">
        <v>1</v>
      </c>
      <c r="S505">
        <v>1</v>
      </c>
      <c r="T505">
        <v>10</v>
      </c>
      <c r="U505">
        <v>5</v>
      </c>
      <c r="V505">
        <v>14</v>
      </c>
      <c r="W505">
        <v>15</v>
      </c>
      <c r="X505">
        <v>15</v>
      </c>
      <c r="Y505">
        <v>13</v>
      </c>
      <c r="Z505">
        <v>2</v>
      </c>
      <c r="AA505">
        <v>3</v>
      </c>
      <c r="AB505">
        <v>1</v>
      </c>
      <c r="AC505">
        <v>2</v>
      </c>
      <c r="AD505">
        <v>16</v>
      </c>
      <c r="AE505">
        <v>10</v>
      </c>
      <c r="AF505">
        <v>7</v>
      </c>
      <c r="AG505">
        <v>4</v>
      </c>
      <c r="AH505">
        <v>-1</v>
      </c>
      <c r="AI505">
        <v>0</v>
      </c>
    </row>
    <row r="506" spans="1:35" hidden="1" x14ac:dyDescent="0.25">
      <c r="A506">
        <v>2023</v>
      </c>
      <c r="B506" s="1">
        <v>45109</v>
      </c>
      <c r="C506">
        <v>13</v>
      </c>
      <c r="D506">
        <v>33118</v>
      </c>
      <c r="E506">
        <v>42372</v>
      </c>
      <c r="F506" t="s">
        <v>69</v>
      </c>
      <c r="G506" t="s">
        <v>95</v>
      </c>
      <c r="H506" t="s">
        <v>325</v>
      </c>
      <c r="I506" t="s">
        <v>97</v>
      </c>
      <c r="J506">
        <v>9</v>
      </c>
      <c r="K506">
        <v>4</v>
      </c>
      <c r="L506">
        <v>4840</v>
      </c>
      <c r="M506">
        <v>5075</v>
      </c>
      <c r="N506" t="s">
        <v>332</v>
      </c>
      <c r="O506" t="s">
        <v>318</v>
      </c>
      <c r="P506">
        <v>2</v>
      </c>
      <c r="Q506">
        <v>2</v>
      </c>
      <c r="R506">
        <v>0</v>
      </c>
      <c r="S506">
        <v>1</v>
      </c>
      <c r="T506">
        <v>7</v>
      </c>
      <c r="U506">
        <v>2</v>
      </c>
      <c r="V506">
        <v>20</v>
      </c>
      <c r="W506">
        <v>9</v>
      </c>
      <c r="X506">
        <v>8</v>
      </c>
      <c r="Y506">
        <v>20</v>
      </c>
      <c r="Z506">
        <v>3</v>
      </c>
      <c r="AA506">
        <v>3</v>
      </c>
      <c r="AB506">
        <v>1</v>
      </c>
      <c r="AC506">
        <v>4</v>
      </c>
      <c r="AD506">
        <v>27</v>
      </c>
      <c r="AE506">
        <v>10</v>
      </c>
      <c r="AF506">
        <v>16</v>
      </c>
      <c r="AG506">
        <v>3</v>
      </c>
      <c r="AH506">
        <v>0</v>
      </c>
      <c r="AI506">
        <v>0</v>
      </c>
    </row>
    <row r="507" spans="1:35" hidden="1" x14ac:dyDescent="0.25">
      <c r="A507">
        <v>2023</v>
      </c>
      <c r="B507" s="1">
        <v>45225</v>
      </c>
      <c r="C507">
        <v>29</v>
      </c>
      <c r="D507">
        <v>20672</v>
      </c>
      <c r="E507">
        <v>42372</v>
      </c>
      <c r="F507" t="s">
        <v>69</v>
      </c>
      <c r="G507" t="s">
        <v>310</v>
      </c>
      <c r="H507" t="s">
        <v>325</v>
      </c>
      <c r="I507" t="s">
        <v>344</v>
      </c>
      <c r="J507">
        <v>5</v>
      </c>
      <c r="K507">
        <v>20</v>
      </c>
      <c r="L507">
        <v>3130</v>
      </c>
      <c r="M507">
        <v>875</v>
      </c>
      <c r="N507" t="s">
        <v>114</v>
      </c>
      <c r="O507" t="s">
        <v>193</v>
      </c>
      <c r="P507">
        <v>3</v>
      </c>
      <c r="Q507">
        <v>2</v>
      </c>
      <c r="R507">
        <v>3</v>
      </c>
      <c r="S507">
        <v>1</v>
      </c>
      <c r="T507">
        <v>14</v>
      </c>
      <c r="U507">
        <v>5</v>
      </c>
      <c r="V507">
        <v>14</v>
      </c>
      <c r="W507">
        <v>14</v>
      </c>
      <c r="X507">
        <v>14</v>
      </c>
      <c r="Y507">
        <v>14</v>
      </c>
      <c r="Z507">
        <v>4</v>
      </c>
      <c r="AA507">
        <v>5</v>
      </c>
      <c r="AB507">
        <v>3</v>
      </c>
      <c r="AC507">
        <v>0</v>
      </c>
      <c r="AD507">
        <v>22</v>
      </c>
      <c r="AE507">
        <v>12</v>
      </c>
      <c r="AF507">
        <v>8</v>
      </c>
      <c r="AG507">
        <v>2</v>
      </c>
      <c r="AH507">
        <v>1</v>
      </c>
      <c r="AI507">
        <v>1</v>
      </c>
    </row>
    <row r="508" spans="1:35" hidden="1" x14ac:dyDescent="0.25">
      <c r="A508">
        <v>2023</v>
      </c>
      <c r="B508" s="1">
        <v>45232</v>
      </c>
      <c r="C508">
        <v>31</v>
      </c>
      <c r="D508">
        <v>64708</v>
      </c>
      <c r="E508">
        <v>72838</v>
      </c>
      <c r="F508" t="s">
        <v>77</v>
      </c>
      <c r="G508" t="s">
        <v>326</v>
      </c>
      <c r="H508" t="s">
        <v>79</v>
      </c>
      <c r="I508" t="s">
        <v>338</v>
      </c>
      <c r="J508">
        <v>5</v>
      </c>
      <c r="K508">
        <v>16</v>
      </c>
      <c r="L508">
        <v>9300</v>
      </c>
      <c r="M508">
        <v>2540</v>
      </c>
      <c r="N508" t="s">
        <v>168</v>
      </c>
      <c r="O508" t="s">
        <v>73</v>
      </c>
      <c r="P508">
        <v>1</v>
      </c>
      <c r="Q508">
        <v>2</v>
      </c>
      <c r="R508">
        <v>1</v>
      </c>
      <c r="S508">
        <v>1</v>
      </c>
      <c r="T508">
        <v>1</v>
      </c>
      <c r="U508">
        <v>6</v>
      </c>
      <c r="V508">
        <v>13</v>
      </c>
      <c r="W508">
        <v>16</v>
      </c>
      <c r="X508">
        <v>16</v>
      </c>
      <c r="Y508">
        <v>11</v>
      </c>
      <c r="Z508">
        <v>3</v>
      </c>
      <c r="AA508">
        <v>3</v>
      </c>
      <c r="AB508">
        <v>0</v>
      </c>
      <c r="AC508">
        <v>2</v>
      </c>
      <c r="AD508">
        <v>8</v>
      </c>
      <c r="AE508">
        <v>15</v>
      </c>
      <c r="AF508">
        <v>2</v>
      </c>
      <c r="AG508">
        <v>6</v>
      </c>
      <c r="AH508">
        <v>-1</v>
      </c>
      <c r="AI508">
        <v>0</v>
      </c>
    </row>
    <row r="509" spans="1:35" hidden="1" x14ac:dyDescent="0.25">
      <c r="A509">
        <v>2023</v>
      </c>
      <c r="B509" s="1">
        <v>45032</v>
      </c>
      <c r="C509">
        <v>1</v>
      </c>
      <c r="D509">
        <v>34980</v>
      </c>
      <c r="E509">
        <v>57483</v>
      </c>
      <c r="F509" t="s">
        <v>89</v>
      </c>
      <c r="G509" t="s">
        <v>82</v>
      </c>
      <c r="H509" t="s">
        <v>39</v>
      </c>
      <c r="I509" t="s">
        <v>341</v>
      </c>
      <c r="J509">
        <v>16</v>
      </c>
      <c r="K509">
        <v>8</v>
      </c>
      <c r="L509">
        <v>4650</v>
      </c>
      <c r="M509">
        <v>4970</v>
      </c>
      <c r="N509" t="s">
        <v>129</v>
      </c>
      <c r="O509" t="s">
        <v>332</v>
      </c>
      <c r="P509">
        <v>1</v>
      </c>
      <c r="Q509">
        <v>2</v>
      </c>
      <c r="R509">
        <v>1</v>
      </c>
      <c r="S509">
        <v>2</v>
      </c>
      <c r="T509">
        <v>14</v>
      </c>
      <c r="U509">
        <v>3</v>
      </c>
      <c r="V509">
        <v>15</v>
      </c>
      <c r="W509">
        <v>10</v>
      </c>
      <c r="X509">
        <v>9</v>
      </c>
      <c r="Y509">
        <v>15</v>
      </c>
      <c r="Z509">
        <v>1</v>
      </c>
      <c r="AA509">
        <v>9</v>
      </c>
      <c r="AB509">
        <v>2</v>
      </c>
      <c r="AC509">
        <v>2</v>
      </c>
      <c r="AD509">
        <v>26</v>
      </c>
      <c r="AE509">
        <v>7</v>
      </c>
      <c r="AF509">
        <v>7</v>
      </c>
      <c r="AG509">
        <v>1</v>
      </c>
      <c r="AH509">
        <v>-1</v>
      </c>
      <c r="AI509">
        <v>0</v>
      </c>
    </row>
    <row r="510" spans="1:35" hidden="1" x14ac:dyDescent="0.25">
      <c r="A510">
        <v>2023</v>
      </c>
      <c r="B510" s="1">
        <v>45109</v>
      </c>
      <c r="C510">
        <v>13</v>
      </c>
      <c r="D510">
        <v>34507</v>
      </c>
      <c r="E510">
        <v>57483</v>
      </c>
      <c r="F510" t="s">
        <v>89</v>
      </c>
      <c r="G510" t="s">
        <v>310</v>
      </c>
      <c r="H510" t="s">
        <v>336</v>
      </c>
      <c r="I510" t="s">
        <v>312</v>
      </c>
      <c r="J510">
        <v>10</v>
      </c>
      <c r="K510">
        <v>19</v>
      </c>
      <c r="L510">
        <v>4480</v>
      </c>
      <c r="M510">
        <v>975</v>
      </c>
      <c r="N510" t="s">
        <v>48</v>
      </c>
      <c r="O510" t="s">
        <v>193</v>
      </c>
      <c r="P510">
        <v>2</v>
      </c>
      <c r="Q510">
        <v>2</v>
      </c>
      <c r="R510">
        <v>2</v>
      </c>
      <c r="S510">
        <v>0</v>
      </c>
      <c r="T510">
        <v>4</v>
      </c>
      <c r="U510">
        <v>7</v>
      </c>
      <c r="V510">
        <v>16</v>
      </c>
      <c r="W510">
        <v>20</v>
      </c>
      <c r="X510">
        <v>19</v>
      </c>
      <c r="Y510">
        <v>15</v>
      </c>
      <c r="Z510">
        <v>3</v>
      </c>
      <c r="AA510">
        <v>3</v>
      </c>
      <c r="AB510">
        <v>1</v>
      </c>
      <c r="AC510">
        <v>2</v>
      </c>
      <c r="AD510">
        <v>12</v>
      </c>
      <c r="AE510">
        <v>23</v>
      </c>
      <c r="AF510">
        <v>2</v>
      </c>
      <c r="AG510">
        <v>9</v>
      </c>
      <c r="AH510">
        <v>0</v>
      </c>
      <c r="AI510">
        <v>0</v>
      </c>
    </row>
    <row r="511" spans="1:35" hidden="1" x14ac:dyDescent="0.25">
      <c r="A511">
        <v>2023</v>
      </c>
      <c r="B511" s="1">
        <v>45045</v>
      </c>
      <c r="C511">
        <v>3</v>
      </c>
      <c r="D511">
        <v>11844</v>
      </c>
      <c r="E511">
        <v>20120</v>
      </c>
      <c r="F511" t="s">
        <v>326</v>
      </c>
      <c r="G511" t="s">
        <v>310</v>
      </c>
      <c r="H511" t="s">
        <v>328</v>
      </c>
      <c r="I511" t="s">
        <v>312</v>
      </c>
      <c r="J511">
        <v>11</v>
      </c>
      <c r="K511">
        <v>20</v>
      </c>
      <c r="L511">
        <v>4110</v>
      </c>
      <c r="M511">
        <v>1515</v>
      </c>
      <c r="N511" t="s">
        <v>122</v>
      </c>
      <c r="O511" t="s">
        <v>166</v>
      </c>
      <c r="P511">
        <v>3</v>
      </c>
      <c r="Q511">
        <v>2</v>
      </c>
      <c r="R511">
        <v>2</v>
      </c>
      <c r="S511">
        <v>1</v>
      </c>
      <c r="T511">
        <v>2</v>
      </c>
      <c r="U511">
        <v>6</v>
      </c>
      <c r="V511">
        <v>19</v>
      </c>
      <c r="W511">
        <v>16</v>
      </c>
      <c r="X511">
        <v>15</v>
      </c>
      <c r="Y511">
        <v>18</v>
      </c>
      <c r="Z511">
        <v>6</v>
      </c>
      <c r="AA511">
        <v>3</v>
      </c>
      <c r="AB511">
        <v>0</v>
      </c>
      <c r="AC511">
        <v>1</v>
      </c>
      <c r="AD511">
        <v>12</v>
      </c>
      <c r="AE511">
        <v>19</v>
      </c>
      <c r="AF511">
        <v>4</v>
      </c>
      <c r="AG511">
        <v>7</v>
      </c>
      <c r="AH511">
        <v>1</v>
      </c>
      <c r="AI511">
        <v>1</v>
      </c>
    </row>
    <row r="512" spans="1:35" hidden="1" x14ac:dyDescent="0.25">
      <c r="A512">
        <v>2023</v>
      </c>
      <c r="B512" s="1">
        <v>45099</v>
      </c>
      <c r="C512">
        <v>11</v>
      </c>
      <c r="D512">
        <v>12499</v>
      </c>
      <c r="E512">
        <v>20120</v>
      </c>
      <c r="F512" t="s">
        <v>326</v>
      </c>
      <c r="G512" t="s">
        <v>88</v>
      </c>
      <c r="H512" t="s">
        <v>328</v>
      </c>
      <c r="I512" t="s">
        <v>317</v>
      </c>
      <c r="J512">
        <v>13</v>
      </c>
      <c r="K512">
        <v>15</v>
      </c>
      <c r="L512">
        <v>3590</v>
      </c>
      <c r="M512">
        <v>4375</v>
      </c>
      <c r="N512" t="s">
        <v>209</v>
      </c>
      <c r="O512" t="s">
        <v>116</v>
      </c>
      <c r="P512">
        <v>0</v>
      </c>
      <c r="Q512">
        <v>2</v>
      </c>
      <c r="R512">
        <v>0</v>
      </c>
      <c r="S512">
        <v>2</v>
      </c>
      <c r="T512">
        <v>5</v>
      </c>
      <c r="U512">
        <v>2</v>
      </c>
      <c r="V512">
        <v>17</v>
      </c>
      <c r="W512">
        <v>14</v>
      </c>
      <c r="X512">
        <v>12</v>
      </c>
      <c r="Y512">
        <v>15</v>
      </c>
      <c r="Z512">
        <v>2</v>
      </c>
      <c r="AA512">
        <v>4</v>
      </c>
      <c r="AB512">
        <v>0</v>
      </c>
      <c r="AC512">
        <v>1</v>
      </c>
      <c r="AD512">
        <v>12</v>
      </c>
      <c r="AE512">
        <v>9</v>
      </c>
      <c r="AF512">
        <v>5</v>
      </c>
      <c r="AG512">
        <v>5</v>
      </c>
      <c r="AH512">
        <v>-2</v>
      </c>
      <c r="AI512">
        <v>0</v>
      </c>
    </row>
    <row r="513" spans="1:35" hidden="1" x14ac:dyDescent="0.25">
      <c r="A513">
        <v>2023</v>
      </c>
      <c r="B513" s="1">
        <v>45130</v>
      </c>
      <c r="C513">
        <v>16</v>
      </c>
      <c r="D513">
        <v>0</v>
      </c>
      <c r="E513">
        <v>20120</v>
      </c>
      <c r="F513" t="s">
        <v>326</v>
      </c>
      <c r="G513" t="s">
        <v>51</v>
      </c>
      <c r="H513" t="s">
        <v>308</v>
      </c>
      <c r="I513" t="s">
        <v>324</v>
      </c>
      <c r="J513">
        <v>15</v>
      </c>
      <c r="K513">
        <v>1</v>
      </c>
      <c r="L513">
        <v>3560</v>
      </c>
      <c r="M513">
        <v>2490</v>
      </c>
      <c r="N513" t="s">
        <v>120</v>
      </c>
      <c r="O513" t="s">
        <v>129</v>
      </c>
      <c r="P513">
        <v>2</v>
      </c>
      <c r="Q513">
        <v>2</v>
      </c>
      <c r="R513">
        <v>1</v>
      </c>
      <c r="S513">
        <v>0</v>
      </c>
      <c r="T513">
        <v>2</v>
      </c>
      <c r="U513">
        <v>8</v>
      </c>
      <c r="V513">
        <v>23</v>
      </c>
      <c r="W513">
        <v>20</v>
      </c>
      <c r="X513">
        <v>20</v>
      </c>
      <c r="Y513">
        <v>23</v>
      </c>
      <c r="Z513">
        <v>4</v>
      </c>
      <c r="AA513">
        <v>0</v>
      </c>
      <c r="AB513">
        <v>1</v>
      </c>
      <c r="AC513">
        <v>0</v>
      </c>
      <c r="AD513">
        <v>7</v>
      </c>
      <c r="AE513">
        <v>18</v>
      </c>
      <c r="AF513">
        <v>3</v>
      </c>
      <c r="AG513">
        <v>6</v>
      </c>
      <c r="AH513">
        <v>0</v>
      </c>
      <c r="AI513">
        <v>0</v>
      </c>
    </row>
    <row r="514" spans="1:35" hidden="1" x14ac:dyDescent="0.25">
      <c r="A514">
        <v>2023</v>
      </c>
      <c r="B514" s="1">
        <v>45267</v>
      </c>
      <c r="C514">
        <v>38</v>
      </c>
      <c r="D514">
        <v>14130</v>
      </c>
      <c r="E514">
        <v>20120</v>
      </c>
      <c r="F514" t="s">
        <v>326</v>
      </c>
      <c r="G514" t="s">
        <v>63</v>
      </c>
      <c r="H514" t="s">
        <v>338</v>
      </c>
      <c r="I514" t="s">
        <v>65</v>
      </c>
      <c r="J514">
        <v>17</v>
      </c>
      <c r="K514">
        <v>10</v>
      </c>
      <c r="L514">
        <v>4070</v>
      </c>
      <c r="M514">
        <v>1295</v>
      </c>
      <c r="N514" t="s">
        <v>100</v>
      </c>
      <c r="O514" t="s">
        <v>142</v>
      </c>
      <c r="P514">
        <v>1</v>
      </c>
      <c r="Q514">
        <v>2</v>
      </c>
      <c r="R514">
        <v>0</v>
      </c>
      <c r="S514">
        <v>1</v>
      </c>
      <c r="T514">
        <v>10</v>
      </c>
      <c r="U514">
        <v>6</v>
      </c>
      <c r="V514">
        <v>15</v>
      </c>
      <c r="W514">
        <v>9</v>
      </c>
      <c r="X514">
        <v>8</v>
      </c>
      <c r="Y514">
        <v>15</v>
      </c>
      <c r="Z514">
        <v>5</v>
      </c>
      <c r="AA514">
        <v>5</v>
      </c>
      <c r="AB514">
        <v>4</v>
      </c>
      <c r="AC514">
        <v>2</v>
      </c>
      <c r="AD514">
        <v>15</v>
      </c>
      <c r="AE514">
        <v>14</v>
      </c>
      <c r="AF514">
        <v>4</v>
      </c>
      <c r="AG514">
        <v>4</v>
      </c>
      <c r="AH514">
        <v>-1</v>
      </c>
      <c r="AI514">
        <v>0</v>
      </c>
    </row>
    <row r="515" spans="1:35" hidden="1" x14ac:dyDescent="0.25">
      <c r="A515">
        <v>2023</v>
      </c>
      <c r="B515" s="1">
        <v>45057</v>
      </c>
      <c r="C515">
        <v>5</v>
      </c>
      <c r="D515">
        <v>2909</v>
      </c>
      <c r="E515">
        <v>13212</v>
      </c>
      <c r="F515" t="s">
        <v>56</v>
      </c>
      <c r="G515" t="s">
        <v>310</v>
      </c>
      <c r="H515" t="s">
        <v>58</v>
      </c>
      <c r="I515" t="s">
        <v>312</v>
      </c>
      <c r="J515">
        <v>15</v>
      </c>
      <c r="K515">
        <v>20</v>
      </c>
      <c r="L515">
        <v>3330</v>
      </c>
      <c r="M515">
        <v>930</v>
      </c>
      <c r="N515" t="s">
        <v>252</v>
      </c>
      <c r="O515">
        <v>31</v>
      </c>
      <c r="P515">
        <v>2</v>
      </c>
      <c r="Q515">
        <v>2</v>
      </c>
      <c r="R515">
        <v>2</v>
      </c>
      <c r="S515">
        <v>1</v>
      </c>
      <c r="T515">
        <v>5</v>
      </c>
      <c r="U515">
        <v>4</v>
      </c>
      <c r="V515">
        <v>16</v>
      </c>
      <c r="W515">
        <v>17</v>
      </c>
      <c r="X515">
        <v>17</v>
      </c>
      <c r="Y515">
        <v>15</v>
      </c>
      <c r="Z515">
        <v>1</v>
      </c>
      <c r="AA515">
        <v>7</v>
      </c>
      <c r="AB515">
        <v>3</v>
      </c>
      <c r="AC515">
        <v>2</v>
      </c>
      <c r="AD515">
        <v>20</v>
      </c>
      <c r="AE515">
        <v>10</v>
      </c>
      <c r="AF515">
        <v>5</v>
      </c>
      <c r="AG515">
        <v>2</v>
      </c>
      <c r="AH515">
        <v>0</v>
      </c>
      <c r="AI515">
        <v>0</v>
      </c>
    </row>
    <row r="516" spans="1:35" hidden="1" x14ac:dyDescent="0.25">
      <c r="A516">
        <v>2023</v>
      </c>
      <c r="B516" s="1">
        <v>45136</v>
      </c>
      <c r="C516">
        <v>17</v>
      </c>
      <c r="D516">
        <v>32020</v>
      </c>
      <c r="E516">
        <v>50848</v>
      </c>
      <c r="F516" t="s">
        <v>37</v>
      </c>
      <c r="G516" t="s">
        <v>70</v>
      </c>
      <c r="H516" t="s">
        <v>39</v>
      </c>
      <c r="I516" t="s">
        <v>90</v>
      </c>
      <c r="J516">
        <v>12</v>
      </c>
      <c r="K516">
        <v>9</v>
      </c>
      <c r="L516">
        <v>4695</v>
      </c>
      <c r="M516">
        <v>920</v>
      </c>
      <c r="N516" t="s">
        <v>193</v>
      </c>
      <c r="O516">
        <v>29</v>
      </c>
      <c r="P516">
        <v>1</v>
      </c>
      <c r="Q516">
        <v>2</v>
      </c>
      <c r="R516">
        <v>1</v>
      </c>
      <c r="S516">
        <v>1</v>
      </c>
      <c r="T516">
        <v>7</v>
      </c>
      <c r="U516">
        <v>5</v>
      </c>
      <c r="V516">
        <v>14</v>
      </c>
      <c r="W516">
        <v>11</v>
      </c>
      <c r="X516">
        <v>10</v>
      </c>
      <c r="Y516">
        <v>13</v>
      </c>
      <c r="Z516">
        <v>3</v>
      </c>
      <c r="AA516">
        <v>3</v>
      </c>
      <c r="AB516">
        <v>2</v>
      </c>
      <c r="AC516">
        <v>1</v>
      </c>
      <c r="AD516">
        <v>17</v>
      </c>
      <c r="AE516">
        <v>12</v>
      </c>
      <c r="AF516">
        <v>7</v>
      </c>
      <c r="AG516">
        <v>4</v>
      </c>
      <c r="AH516">
        <v>-1</v>
      </c>
      <c r="AI516">
        <v>0</v>
      </c>
    </row>
    <row r="517" spans="1:35" hidden="1" x14ac:dyDescent="0.25">
      <c r="A517">
        <v>2023</v>
      </c>
      <c r="B517" s="1">
        <v>45143</v>
      </c>
      <c r="C517">
        <v>18</v>
      </c>
      <c r="D517">
        <v>22509</v>
      </c>
      <c r="E517">
        <v>50848</v>
      </c>
      <c r="F517" t="s">
        <v>37</v>
      </c>
      <c r="G517" t="s">
        <v>88</v>
      </c>
      <c r="H517" t="s">
        <v>39</v>
      </c>
      <c r="I517" t="s">
        <v>317</v>
      </c>
      <c r="J517">
        <v>12</v>
      </c>
      <c r="K517">
        <v>14</v>
      </c>
      <c r="L517">
        <v>2680</v>
      </c>
      <c r="M517">
        <v>3880</v>
      </c>
      <c r="N517" t="s">
        <v>66</v>
      </c>
      <c r="O517" t="s">
        <v>134</v>
      </c>
      <c r="P517">
        <v>2</v>
      </c>
      <c r="Q517">
        <v>2</v>
      </c>
      <c r="R517">
        <v>1</v>
      </c>
      <c r="S517">
        <v>1</v>
      </c>
      <c r="T517">
        <v>1</v>
      </c>
      <c r="U517">
        <v>4</v>
      </c>
      <c r="V517">
        <v>18</v>
      </c>
      <c r="W517">
        <v>7</v>
      </c>
      <c r="X517">
        <v>7</v>
      </c>
      <c r="Y517">
        <v>16</v>
      </c>
      <c r="Z517">
        <v>1</v>
      </c>
      <c r="AA517">
        <v>2</v>
      </c>
      <c r="AB517">
        <v>0</v>
      </c>
      <c r="AC517">
        <v>2</v>
      </c>
      <c r="AD517">
        <v>15</v>
      </c>
      <c r="AE517">
        <v>9</v>
      </c>
      <c r="AF517">
        <v>6</v>
      </c>
      <c r="AG517">
        <v>5</v>
      </c>
      <c r="AH517">
        <v>0</v>
      </c>
      <c r="AI517">
        <v>0</v>
      </c>
    </row>
    <row r="518" spans="1:35" hidden="1" x14ac:dyDescent="0.25">
      <c r="A518">
        <v>2023</v>
      </c>
      <c r="B518" s="1">
        <v>45200</v>
      </c>
      <c r="C518">
        <v>25</v>
      </c>
      <c r="D518">
        <v>23937</v>
      </c>
      <c r="E518">
        <v>50848</v>
      </c>
      <c r="F518" t="s">
        <v>37</v>
      </c>
      <c r="G518" t="s">
        <v>89</v>
      </c>
      <c r="H518" t="s">
        <v>39</v>
      </c>
      <c r="I518" t="s">
        <v>336</v>
      </c>
      <c r="J518">
        <v>14</v>
      </c>
      <c r="K518">
        <v>7</v>
      </c>
      <c r="L518">
        <v>890</v>
      </c>
      <c r="M518">
        <v>4240</v>
      </c>
      <c r="N518" t="s">
        <v>73</v>
      </c>
      <c r="O518" t="s">
        <v>200</v>
      </c>
      <c r="P518">
        <v>0</v>
      </c>
      <c r="Q518">
        <v>2</v>
      </c>
      <c r="R518">
        <v>0</v>
      </c>
      <c r="S518">
        <v>0</v>
      </c>
      <c r="T518">
        <v>4</v>
      </c>
      <c r="U518">
        <v>4</v>
      </c>
      <c r="V518">
        <v>17</v>
      </c>
      <c r="W518">
        <v>11</v>
      </c>
      <c r="X518">
        <v>11</v>
      </c>
      <c r="Y518">
        <v>15</v>
      </c>
      <c r="Z518">
        <v>3</v>
      </c>
      <c r="AA518">
        <v>4</v>
      </c>
      <c r="AB518">
        <v>0</v>
      </c>
      <c r="AC518">
        <v>1</v>
      </c>
      <c r="AD518">
        <v>15</v>
      </c>
      <c r="AE518">
        <v>8</v>
      </c>
      <c r="AF518">
        <v>7</v>
      </c>
      <c r="AG518">
        <v>3</v>
      </c>
      <c r="AH518">
        <v>-2</v>
      </c>
      <c r="AI518">
        <v>0</v>
      </c>
    </row>
    <row r="519" spans="1:35" hidden="1" x14ac:dyDescent="0.25">
      <c r="A519">
        <v>2023</v>
      </c>
      <c r="B519" s="1">
        <v>45207</v>
      </c>
      <c r="C519">
        <v>26</v>
      </c>
      <c r="D519">
        <v>39133</v>
      </c>
      <c r="E519">
        <v>50848</v>
      </c>
      <c r="F519" t="s">
        <v>37</v>
      </c>
      <c r="G519" t="s">
        <v>83</v>
      </c>
      <c r="H519" t="s">
        <v>39</v>
      </c>
      <c r="I519" t="s">
        <v>319</v>
      </c>
      <c r="J519">
        <v>12</v>
      </c>
      <c r="K519">
        <v>3</v>
      </c>
      <c r="L519">
        <v>4945</v>
      </c>
      <c r="M519">
        <v>3535</v>
      </c>
      <c r="N519" t="s">
        <v>174</v>
      </c>
      <c r="O519" t="s">
        <v>111</v>
      </c>
      <c r="P519">
        <v>3</v>
      </c>
      <c r="Q519">
        <v>2</v>
      </c>
      <c r="R519">
        <v>1</v>
      </c>
      <c r="S519">
        <v>0</v>
      </c>
      <c r="T519">
        <v>4</v>
      </c>
      <c r="U519">
        <v>1</v>
      </c>
      <c r="V519">
        <v>15</v>
      </c>
      <c r="W519">
        <v>9</v>
      </c>
      <c r="X519">
        <v>9</v>
      </c>
      <c r="Y519">
        <v>15</v>
      </c>
      <c r="Z519">
        <v>0</v>
      </c>
      <c r="AA519">
        <v>4</v>
      </c>
      <c r="AB519">
        <v>5</v>
      </c>
      <c r="AC519">
        <v>4</v>
      </c>
      <c r="AD519">
        <v>16</v>
      </c>
      <c r="AE519">
        <v>8</v>
      </c>
      <c r="AF519">
        <v>7</v>
      </c>
      <c r="AG519">
        <v>1</v>
      </c>
      <c r="AH519">
        <v>1</v>
      </c>
      <c r="AI519">
        <v>1</v>
      </c>
    </row>
    <row r="520" spans="1:35" hidden="1" x14ac:dyDescent="0.25">
      <c r="A520">
        <v>2023</v>
      </c>
      <c r="B520" s="1">
        <v>45225</v>
      </c>
      <c r="C520">
        <v>29</v>
      </c>
      <c r="D520">
        <v>5494</v>
      </c>
      <c r="E520">
        <v>15010</v>
      </c>
      <c r="F520" t="s">
        <v>56</v>
      </c>
      <c r="G520" t="s">
        <v>89</v>
      </c>
      <c r="H520" t="s">
        <v>58</v>
      </c>
      <c r="I520" t="s">
        <v>336</v>
      </c>
      <c r="J520">
        <v>2</v>
      </c>
      <c r="K520">
        <v>7</v>
      </c>
      <c r="L520">
        <v>3390</v>
      </c>
      <c r="M520">
        <v>4470</v>
      </c>
      <c r="N520" t="s">
        <v>233</v>
      </c>
      <c r="O520" t="s">
        <v>66</v>
      </c>
      <c r="P520">
        <v>1</v>
      </c>
      <c r="Q520">
        <v>2</v>
      </c>
      <c r="R520">
        <v>0</v>
      </c>
      <c r="S520">
        <v>1</v>
      </c>
      <c r="T520">
        <v>17</v>
      </c>
      <c r="U520">
        <v>5</v>
      </c>
      <c r="V520">
        <v>13</v>
      </c>
      <c r="W520">
        <v>13</v>
      </c>
      <c r="X520">
        <v>13</v>
      </c>
      <c r="Y520">
        <v>10</v>
      </c>
      <c r="Z520">
        <v>2</v>
      </c>
      <c r="AA520">
        <v>2</v>
      </c>
      <c r="AB520">
        <v>1</v>
      </c>
      <c r="AC520">
        <v>4</v>
      </c>
      <c r="AD520">
        <v>13</v>
      </c>
      <c r="AE520">
        <v>9</v>
      </c>
      <c r="AF520">
        <v>9</v>
      </c>
      <c r="AG520">
        <v>2</v>
      </c>
      <c r="AH520">
        <v>-1</v>
      </c>
      <c r="AI520">
        <v>0</v>
      </c>
    </row>
    <row r="521" spans="1:35" hidden="1" x14ac:dyDescent="0.25">
      <c r="A521">
        <v>2023</v>
      </c>
      <c r="B521" s="1">
        <v>45242</v>
      </c>
      <c r="C521">
        <v>34</v>
      </c>
      <c r="D521">
        <v>9869</v>
      </c>
      <c r="E521">
        <v>15010</v>
      </c>
      <c r="F521" t="s">
        <v>56</v>
      </c>
      <c r="G521" t="s">
        <v>51</v>
      </c>
      <c r="H521" t="s">
        <v>58</v>
      </c>
      <c r="I521" t="s">
        <v>320</v>
      </c>
      <c r="J521">
        <v>5</v>
      </c>
      <c r="K521">
        <v>2</v>
      </c>
      <c r="L521">
        <v>3310</v>
      </c>
      <c r="M521">
        <v>2580</v>
      </c>
      <c r="N521" t="s">
        <v>176</v>
      </c>
      <c r="O521" t="s">
        <v>109</v>
      </c>
      <c r="P521">
        <v>2</v>
      </c>
      <c r="Q521">
        <v>2</v>
      </c>
      <c r="R521">
        <v>1</v>
      </c>
      <c r="S521">
        <v>2</v>
      </c>
      <c r="T521">
        <v>7</v>
      </c>
      <c r="U521">
        <v>3</v>
      </c>
      <c r="V521">
        <v>12</v>
      </c>
      <c r="W521">
        <v>16</v>
      </c>
      <c r="X521">
        <v>16</v>
      </c>
      <c r="Y521">
        <v>12</v>
      </c>
      <c r="Z521">
        <v>2</v>
      </c>
      <c r="AA521">
        <v>5</v>
      </c>
      <c r="AB521">
        <v>0</v>
      </c>
      <c r="AC521">
        <v>3</v>
      </c>
      <c r="AD521">
        <v>25</v>
      </c>
      <c r="AE521">
        <v>11</v>
      </c>
      <c r="AF521">
        <v>13</v>
      </c>
      <c r="AG521">
        <v>3</v>
      </c>
      <c r="AH521">
        <v>0</v>
      </c>
      <c r="AI521">
        <v>0</v>
      </c>
    </row>
    <row r="522" spans="1:35" hidden="1" x14ac:dyDescent="0.25">
      <c r="A522">
        <v>2023</v>
      </c>
      <c r="B522" s="1">
        <v>45261</v>
      </c>
      <c r="C522">
        <v>36</v>
      </c>
      <c r="D522">
        <v>4596</v>
      </c>
      <c r="E522">
        <v>15010</v>
      </c>
      <c r="F522" t="s">
        <v>56</v>
      </c>
      <c r="G522" t="s">
        <v>63</v>
      </c>
      <c r="H522" t="s">
        <v>58</v>
      </c>
      <c r="I522" t="s">
        <v>65</v>
      </c>
      <c r="J522">
        <v>6</v>
      </c>
      <c r="K522">
        <v>11</v>
      </c>
      <c r="L522">
        <v>3110</v>
      </c>
      <c r="M522">
        <v>1205</v>
      </c>
      <c r="N522" t="s">
        <v>60</v>
      </c>
      <c r="O522" t="s">
        <v>109</v>
      </c>
      <c r="P522">
        <v>1</v>
      </c>
      <c r="Q522">
        <v>2</v>
      </c>
      <c r="R522">
        <v>1</v>
      </c>
      <c r="S522">
        <v>2</v>
      </c>
      <c r="T522">
        <v>15</v>
      </c>
      <c r="U522">
        <v>3</v>
      </c>
      <c r="V522">
        <v>9</v>
      </c>
      <c r="W522">
        <v>10</v>
      </c>
      <c r="X522">
        <v>9</v>
      </c>
      <c r="Y522">
        <v>8</v>
      </c>
      <c r="Z522">
        <v>2</v>
      </c>
      <c r="AA522">
        <v>5</v>
      </c>
      <c r="AB522">
        <v>0</v>
      </c>
      <c r="AC522">
        <v>2</v>
      </c>
      <c r="AD522">
        <v>17</v>
      </c>
      <c r="AE522">
        <v>6</v>
      </c>
      <c r="AF522">
        <v>5</v>
      </c>
      <c r="AG522">
        <v>1</v>
      </c>
      <c r="AH522">
        <v>-1</v>
      </c>
      <c r="AI522">
        <v>0</v>
      </c>
    </row>
    <row r="523" spans="1:35" hidden="1" x14ac:dyDescent="0.25">
      <c r="A523">
        <v>2023</v>
      </c>
      <c r="B523" s="1">
        <v>45137</v>
      </c>
      <c r="C523">
        <v>17</v>
      </c>
      <c r="D523">
        <v>22441</v>
      </c>
      <c r="E523">
        <v>24483</v>
      </c>
      <c r="F523" t="s">
        <v>89</v>
      </c>
      <c r="G523" t="s">
        <v>77</v>
      </c>
      <c r="H523" t="s">
        <v>336</v>
      </c>
      <c r="I523" t="s">
        <v>329</v>
      </c>
      <c r="J523">
        <v>13</v>
      </c>
      <c r="K523">
        <v>2</v>
      </c>
      <c r="L523">
        <v>4990</v>
      </c>
      <c r="M523">
        <v>6330</v>
      </c>
      <c r="N523" t="s">
        <v>174</v>
      </c>
      <c r="O523" t="s">
        <v>209</v>
      </c>
      <c r="P523">
        <v>1</v>
      </c>
      <c r="Q523">
        <v>2</v>
      </c>
      <c r="R523">
        <v>1</v>
      </c>
      <c r="S523">
        <v>0</v>
      </c>
      <c r="T523">
        <v>7</v>
      </c>
      <c r="U523">
        <v>2</v>
      </c>
      <c r="V523">
        <v>21</v>
      </c>
      <c r="W523">
        <v>14</v>
      </c>
      <c r="X523">
        <v>14</v>
      </c>
      <c r="Y523">
        <v>21</v>
      </c>
      <c r="Z523">
        <v>3</v>
      </c>
      <c r="AA523">
        <v>4</v>
      </c>
      <c r="AB523">
        <v>1</v>
      </c>
      <c r="AC523">
        <v>0</v>
      </c>
      <c r="AD523">
        <v>20</v>
      </c>
      <c r="AE523">
        <v>6</v>
      </c>
      <c r="AF523">
        <v>11</v>
      </c>
      <c r="AG523">
        <v>1</v>
      </c>
      <c r="AH523">
        <v>-1</v>
      </c>
      <c r="AI523">
        <v>0</v>
      </c>
    </row>
    <row r="524" spans="1:35" hidden="1" x14ac:dyDescent="0.25">
      <c r="A524">
        <v>2023</v>
      </c>
      <c r="B524" s="1">
        <v>45045</v>
      </c>
      <c r="C524">
        <v>3</v>
      </c>
      <c r="D524">
        <v>39943</v>
      </c>
      <c r="E524">
        <v>60326</v>
      </c>
      <c r="F524" t="s">
        <v>63</v>
      </c>
      <c r="G524" t="s">
        <v>55</v>
      </c>
      <c r="H524" t="s">
        <v>65</v>
      </c>
      <c r="I524" t="s">
        <v>57</v>
      </c>
      <c r="J524">
        <v>2</v>
      </c>
      <c r="K524">
        <v>5</v>
      </c>
      <c r="L524">
        <v>1435</v>
      </c>
      <c r="M524">
        <v>3740</v>
      </c>
      <c r="N524" t="s">
        <v>174</v>
      </c>
      <c r="O524" t="s">
        <v>116</v>
      </c>
      <c r="P524">
        <v>4</v>
      </c>
      <c r="Q524">
        <v>2</v>
      </c>
      <c r="R524">
        <v>2</v>
      </c>
      <c r="S524">
        <v>1</v>
      </c>
      <c r="T524">
        <v>8</v>
      </c>
      <c r="U524">
        <v>5</v>
      </c>
      <c r="V524">
        <v>8</v>
      </c>
      <c r="W524">
        <v>15</v>
      </c>
      <c r="X524">
        <v>14</v>
      </c>
      <c r="Y524">
        <v>7</v>
      </c>
      <c r="Z524">
        <v>1</v>
      </c>
      <c r="AA524">
        <v>13</v>
      </c>
      <c r="AB524">
        <v>2</v>
      </c>
      <c r="AC524">
        <v>1</v>
      </c>
      <c r="AD524">
        <v>20</v>
      </c>
      <c r="AE524">
        <v>12</v>
      </c>
      <c r="AF524">
        <v>2</v>
      </c>
      <c r="AG524">
        <v>3</v>
      </c>
      <c r="AH524">
        <v>2</v>
      </c>
      <c r="AI524">
        <v>1</v>
      </c>
    </row>
    <row r="525" spans="1:35" hidden="1" x14ac:dyDescent="0.25">
      <c r="A525">
        <v>2023</v>
      </c>
      <c r="B525" s="1">
        <v>45207</v>
      </c>
      <c r="C525">
        <v>26</v>
      </c>
      <c r="D525">
        <v>23830</v>
      </c>
      <c r="E525">
        <v>60326</v>
      </c>
      <c r="F525" t="s">
        <v>63</v>
      </c>
      <c r="G525" t="s">
        <v>310</v>
      </c>
      <c r="H525" t="s">
        <v>65</v>
      </c>
      <c r="I525" t="s">
        <v>344</v>
      </c>
      <c r="J525">
        <v>6</v>
      </c>
      <c r="K525">
        <v>20</v>
      </c>
      <c r="L525">
        <v>1165</v>
      </c>
      <c r="M525">
        <v>925</v>
      </c>
      <c r="N525" t="s">
        <v>109</v>
      </c>
      <c r="O525" t="s">
        <v>166</v>
      </c>
      <c r="P525">
        <v>3</v>
      </c>
      <c r="Q525">
        <v>2</v>
      </c>
      <c r="R525">
        <v>1</v>
      </c>
      <c r="S525">
        <v>2</v>
      </c>
      <c r="T525">
        <v>8</v>
      </c>
      <c r="U525">
        <v>2</v>
      </c>
      <c r="V525">
        <v>11</v>
      </c>
      <c r="W525">
        <v>12</v>
      </c>
      <c r="X525">
        <v>12</v>
      </c>
      <c r="Y525">
        <v>9</v>
      </c>
      <c r="Z525">
        <v>1</v>
      </c>
      <c r="AA525">
        <v>2</v>
      </c>
      <c r="AB525">
        <v>3</v>
      </c>
      <c r="AC525">
        <v>2</v>
      </c>
      <c r="AD525">
        <v>18</v>
      </c>
      <c r="AE525">
        <v>15</v>
      </c>
      <c r="AF525">
        <v>9</v>
      </c>
      <c r="AG525">
        <v>7</v>
      </c>
      <c r="AH525">
        <v>1</v>
      </c>
      <c r="AI525">
        <v>1</v>
      </c>
    </row>
    <row r="526" spans="1:35" hidden="1" x14ac:dyDescent="0.25">
      <c r="A526">
        <v>2023</v>
      </c>
      <c r="B526" s="1">
        <v>45253</v>
      </c>
      <c r="C526">
        <v>29</v>
      </c>
      <c r="D526">
        <v>25828</v>
      </c>
      <c r="E526">
        <v>60326</v>
      </c>
      <c r="F526" t="s">
        <v>63</v>
      </c>
      <c r="G526" t="s">
        <v>51</v>
      </c>
      <c r="H526" t="s">
        <v>65</v>
      </c>
      <c r="I526" t="s">
        <v>333</v>
      </c>
      <c r="J526">
        <v>9</v>
      </c>
      <c r="K526">
        <v>1</v>
      </c>
      <c r="L526">
        <v>1215</v>
      </c>
      <c r="M526">
        <v>2580</v>
      </c>
      <c r="N526" t="s">
        <v>48</v>
      </c>
      <c r="O526" t="s">
        <v>109</v>
      </c>
      <c r="P526">
        <v>2</v>
      </c>
      <c r="Q526">
        <v>2</v>
      </c>
      <c r="R526">
        <v>2</v>
      </c>
      <c r="S526">
        <v>1</v>
      </c>
      <c r="T526">
        <v>4</v>
      </c>
      <c r="U526">
        <v>5</v>
      </c>
      <c r="V526">
        <v>17</v>
      </c>
      <c r="W526">
        <v>19</v>
      </c>
      <c r="X526">
        <v>17</v>
      </c>
      <c r="Y526">
        <v>16</v>
      </c>
      <c r="Z526">
        <v>0</v>
      </c>
      <c r="AA526">
        <v>2</v>
      </c>
      <c r="AB526">
        <v>2</v>
      </c>
      <c r="AC526">
        <v>0</v>
      </c>
      <c r="AD526">
        <v>15</v>
      </c>
      <c r="AE526">
        <v>9</v>
      </c>
      <c r="AF526">
        <v>5</v>
      </c>
      <c r="AG526">
        <v>6</v>
      </c>
      <c r="AH526">
        <v>0</v>
      </c>
      <c r="AI526">
        <v>0</v>
      </c>
    </row>
    <row r="527" spans="1:35" hidden="1" x14ac:dyDescent="0.25">
      <c r="A527">
        <v>2023</v>
      </c>
      <c r="B527" s="1">
        <v>45235</v>
      </c>
      <c r="C527">
        <v>32</v>
      </c>
      <c r="D527">
        <v>49324</v>
      </c>
      <c r="E527">
        <v>60326</v>
      </c>
      <c r="F527" t="s">
        <v>63</v>
      </c>
      <c r="G527" t="s">
        <v>77</v>
      </c>
      <c r="H527" t="s">
        <v>65</v>
      </c>
      <c r="I527" t="s">
        <v>79</v>
      </c>
      <c r="J527">
        <v>9</v>
      </c>
      <c r="K527">
        <v>5</v>
      </c>
      <c r="L527">
        <v>1300</v>
      </c>
      <c r="M527">
        <v>8530</v>
      </c>
      <c r="N527" t="s">
        <v>197</v>
      </c>
      <c r="O527" t="s">
        <v>137</v>
      </c>
      <c r="P527">
        <v>0</v>
      </c>
      <c r="Q527">
        <v>2</v>
      </c>
      <c r="R527">
        <v>0</v>
      </c>
      <c r="S527">
        <v>1</v>
      </c>
      <c r="T527">
        <v>4</v>
      </c>
      <c r="U527">
        <v>3</v>
      </c>
      <c r="V527">
        <v>9</v>
      </c>
      <c r="W527">
        <v>11</v>
      </c>
      <c r="X527">
        <v>11</v>
      </c>
      <c r="Y527">
        <v>9</v>
      </c>
      <c r="Z527">
        <v>3</v>
      </c>
      <c r="AA527">
        <v>4</v>
      </c>
      <c r="AB527">
        <v>5</v>
      </c>
      <c r="AC527">
        <v>0</v>
      </c>
      <c r="AD527">
        <v>18</v>
      </c>
      <c r="AE527">
        <v>7</v>
      </c>
      <c r="AF527">
        <v>9</v>
      </c>
      <c r="AG527">
        <v>1</v>
      </c>
      <c r="AH527">
        <v>-2</v>
      </c>
      <c r="AI527">
        <v>0</v>
      </c>
    </row>
    <row r="528" spans="1:35" hidden="1" x14ac:dyDescent="0.25">
      <c r="A528">
        <v>2023</v>
      </c>
      <c r="B528" s="1">
        <v>45256</v>
      </c>
      <c r="C528">
        <v>35</v>
      </c>
      <c r="D528">
        <v>40382</v>
      </c>
      <c r="E528">
        <v>60326</v>
      </c>
      <c r="F528" t="s">
        <v>63</v>
      </c>
      <c r="G528" t="s">
        <v>95</v>
      </c>
      <c r="H528" t="s">
        <v>65</v>
      </c>
      <c r="I528" t="s">
        <v>97</v>
      </c>
      <c r="J528">
        <v>12</v>
      </c>
      <c r="K528">
        <v>1</v>
      </c>
      <c r="L528">
        <v>1205</v>
      </c>
      <c r="M528">
        <v>8200</v>
      </c>
      <c r="N528" t="s">
        <v>109</v>
      </c>
      <c r="O528" t="s">
        <v>137</v>
      </c>
      <c r="P528">
        <v>2</v>
      </c>
      <c r="Q528">
        <v>2</v>
      </c>
      <c r="R528">
        <v>1</v>
      </c>
      <c r="S528">
        <v>0</v>
      </c>
      <c r="T528">
        <v>4</v>
      </c>
      <c r="U528">
        <v>7</v>
      </c>
      <c r="V528">
        <v>18</v>
      </c>
      <c r="W528">
        <v>11</v>
      </c>
      <c r="X528">
        <v>11</v>
      </c>
      <c r="Y528">
        <v>18</v>
      </c>
      <c r="Z528">
        <v>3</v>
      </c>
      <c r="AA528">
        <v>5</v>
      </c>
      <c r="AB528">
        <v>0</v>
      </c>
      <c r="AC528">
        <v>1</v>
      </c>
      <c r="AD528">
        <v>20</v>
      </c>
      <c r="AE528">
        <v>13</v>
      </c>
      <c r="AF528">
        <v>9</v>
      </c>
      <c r="AG528">
        <v>6</v>
      </c>
      <c r="AH528">
        <v>0</v>
      </c>
      <c r="AI528">
        <v>0</v>
      </c>
    </row>
    <row r="529" spans="1:35" hidden="1" x14ac:dyDescent="0.25">
      <c r="A529">
        <v>2023</v>
      </c>
      <c r="B529" s="1">
        <v>45053</v>
      </c>
      <c r="C529">
        <v>4</v>
      </c>
      <c r="D529">
        <v>5228</v>
      </c>
      <c r="E529">
        <v>25000</v>
      </c>
      <c r="F529" t="s">
        <v>310</v>
      </c>
      <c r="G529" t="s">
        <v>70</v>
      </c>
      <c r="H529" t="s">
        <v>312</v>
      </c>
      <c r="I529" t="s">
        <v>347</v>
      </c>
      <c r="J529">
        <v>20</v>
      </c>
      <c r="K529">
        <v>13</v>
      </c>
      <c r="L529">
        <v>895</v>
      </c>
      <c r="M529">
        <v>755</v>
      </c>
      <c r="N529">
        <v>32</v>
      </c>
      <c r="O529" t="s">
        <v>134</v>
      </c>
      <c r="P529">
        <v>1</v>
      </c>
      <c r="Q529">
        <v>2</v>
      </c>
      <c r="R529">
        <v>1</v>
      </c>
      <c r="S529">
        <v>0</v>
      </c>
      <c r="T529">
        <v>4</v>
      </c>
      <c r="U529">
        <v>6</v>
      </c>
      <c r="V529">
        <v>19</v>
      </c>
      <c r="W529">
        <v>12</v>
      </c>
      <c r="X529">
        <v>12</v>
      </c>
      <c r="Y529">
        <v>17</v>
      </c>
      <c r="Z529">
        <v>4</v>
      </c>
      <c r="AA529">
        <v>3</v>
      </c>
      <c r="AB529">
        <v>5</v>
      </c>
      <c r="AC529">
        <v>2</v>
      </c>
      <c r="AD529">
        <v>15</v>
      </c>
      <c r="AE529">
        <v>9</v>
      </c>
      <c r="AF529">
        <v>8</v>
      </c>
      <c r="AG529">
        <v>3</v>
      </c>
      <c r="AH529">
        <v>-1</v>
      </c>
      <c r="AI529">
        <v>0</v>
      </c>
    </row>
    <row r="530" spans="1:35" hidden="1" x14ac:dyDescent="0.25">
      <c r="A530">
        <v>2023</v>
      </c>
      <c r="B530" s="1">
        <v>45102</v>
      </c>
      <c r="C530">
        <v>12</v>
      </c>
      <c r="D530">
        <v>2249</v>
      </c>
      <c r="E530">
        <v>25000</v>
      </c>
      <c r="F530" t="s">
        <v>310</v>
      </c>
      <c r="G530" t="s">
        <v>37</v>
      </c>
      <c r="H530" t="s">
        <v>312</v>
      </c>
      <c r="I530" t="s">
        <v>240</v>
      </c>
      <c r="J530">
        <v>19</v>
      </c>
      <c r="K530">
        <v>6</v>
      </c>
      <c r="L530">
        <v>830</v>
      </c>
      <c r="M530">
        <v>1850</v>
      </c>
      <c r="N530">
        <v>31</v>
      </c>
      <c r="O530" t="s">
        <v>86</v>
      </c>
      <c r="P530">
        <v>1</v>
      </c>
      <c r="Q530">
        <v>2</v>
      </c>
      <c r="R530">
        <v>1</v>
      </c>
      <c r="S530">
        <v>0</v>
      </c>
      <c r="T530">
        <v>3</v>
      </c>
      <c r="U530">
        <v>2</v>
      </c>
      <c r="V530">
        <v>25</v>
      </c>
      <c r="W530">
        <v>6</v>
      </c>
      <c r="X530">
        <v>5</v>
      </c>
      <c r="Y530">
        <v>24</v>
      </c>
      <c r="Z530">
        <v>0</v>
      </c>
      <c r="AA530">
        <v>2</v>
      </c>
      <c r="AB530">
        <v>0</v>
      </c>
      <c r="AC530">
        <v>1</v>
      </c>
      <c r="AD530">
        <v>15</v>
      </c>
      <c r="AE530">
        <v>8</v>
      </c>
      <c r="AF530">
        <v>8</v>
      </c>
      <c r="AG530">
        <v>1</v>
      </c>
      <c r="AH530">
        <v>-1</v>
      </c>
      <c r="AI530">
        <v>0</v>
      </c>
    </row>
    <row r="531" spans="1:35" hidden="1" x14ac:dyDescent="0.25">
      <c r="A531">
        <v>2023</v>
      </c>
      <c r="B531" s="1">
        <v>45189</v>
      </c>
      <c r="C531">
        <v>24</v>
      </c>
      <c r="D531">
        <v>2247</v>
      </c>
      <c r="E531">
        <v>25000</v>
      </c>
      <c r="F531" t="s">
        <v>310</v>
      </c>
      <c r="G531" t="s">
        <v>56</v>
      </c>
      <c r="H531" t="s">
        <v>344</v>
      </c>
      <c r="I531" t="s">
        <v>58</v>
      </c>
      <c r="J531">
        <v>19</v>
      </c>
      <c r="K531">
        <v>4</v>
      </c>
      <c r="L531">
        <v>730</v>
      </c>
      <c r="M531">
        <v>2703</v>
      </c>
      <c r="N531" t="s">
        <v>86</v>
      </c>
      <c r="O531">
        <v>24</v>
      </c>
      <c r="P531">
        <v>0</v>
      </c>
      <c r="Q531">
        <v>2</v>
      </c>
      <c r="R531">
        <v>0</v>
      </c>
      <c r="S531">
        <v>1</v>
      </c>
      <c r="T531">
        <v>2</v>
      </c>
      <c r="U531">
        <v>14</v>
      </c>
      <c r="V531">
        <v>7</v>
      </c>
      <c r="W531">
        <v>17</v>
      </c>
      <c r="X531">
        <v>15</v>
      </c>
      <c r="Y531">
        <v>7</v>
      </c>
      <c r="Z531">
        <v>4</v>
      </c>
      <c r="AA531">
        <v>2</v>
      </c>
      <c r="AB531">
        <v>0</v>
      </c>
      <c r="AC531">
        <v>2</v>
      </c>
      <c r="AD531">
        <v>7</v>
      </c>
      <c r="AE531">
        <v>21</v>
      </c>
      <c r="AF531">
        <v>3</v>
      </c>
      <c r="AG531">
        <v>9</v>
      </c>
      <c r="AH531">
        <v>-2</v>
      </c>
      <c r="AI531">
        <v>0</v>
      </c>
    </row>
    <row r="532" spans="1:35" hidden="1" x14ac:dyDescent="0.25">
      <c r="A532">
        <v>2023</v>
      </c>
      <c r="B532" s="1">
        <v>45218</v>
      </c>
      <c r="C532">
        <v>27</v>
      </c>
      <c r="D532">
        <v>6230</v>
      </c>
      <c r="E532">
        <v>25000</v>
      </c>
      <c r="F532" t="s">
        <v>310</v>
      </c>
      <c r="G532" t="s">
        <v>51</v>
      </c>
      <c r="H532" t="s">
        <v>344</v>
      </c>
      <c r="I532" t="s">
        <v>320</v>
      </c>
      <c r="J532">
        <v>20</v>
      </c>
      <c r="K532">
        <v>1</v>
      </c>
      <c r="L532">
        <v>815</v>
      </c>
      <c r="M532">
        <v>2850</v>
      </c>
      <c r="N532" t="s">
        <v>197</v>
      </c>
      <c r="O532" t="s">
        <v>235</v>
      </c>
      <c r="P532">
        <v>1</v>
      </c>
      <c r="Q532">
        <v>2</v>
      </c>
      <c r="R532">
        <v>1</v>
      </c>
      <c r="S532">
        <v>1</v>
      </c>
      <c r="T532">
        <v>12</v>
      </c>
      <c r="U532">
        <v>1</v>
      </c>
      <c r="V532">
        <v>6</v>
      </c>
      <c r="W532">
        <v>15</v>
      </c>
      <c r="X532">
        <v>14</v>
      </c>
      <c r="Y532">
        <v>6</v>
      </c>
      <c r="Z532">
        <v>0</v>
      </c>
      <c r="AA532">
        <v>4</v>
      </c>
      <c r="AB532">
        <v>4</v>
      </c>
      <c r="AC532">
        <v>0</v>
      </c>
      <c r="AD532">
        <v>24</v>
      </c>
      <c r="AE532">
        <v>6</v>
      </c>
      <c r="AF532">
        <v>14</v>
      </c>
      <c r="AG532">
        <v>3</v>
      </c>
      <c r="AH532">
        <v>-1</v>
      </c>
      <c r="AI532">
        <v>0</v>
      </c>
    </row>
    <row r="533" spans="1:35" hidden="1" x14ac:dyDescent="0.25">
      <c r="A533">
        <v>2023</v>
      </c>
      <c r="B533" s="1">
        <v>45263</v>
      </c>
      <c r="C533">
        <v>37</v>
      </c>
      <c r="D533">
        <v>2471</v>
      </c>
      <c r="E533">
        <v>25000</v>
      </c>
      <c r="F533" t="s">
        <v>310</v>
      </c>
      <c r="G533" t="s">
        <v>38</v>
      </c>
      <c r="H533" t="s">
        <v>345</v>
      </c>
      <c r="I533" t="s">
        <v>40</v>
      </c>
      <c r="J533">
        <v>20</v>
      </c>
      <c r="K533">
        <v>17</v>
      </c>
      <c r="L533">
        <v>645</v>
      </c>
      <c r="M533">
        <v>2685</v>
      </c>
      <c r="N533" t="s">
        <v>151</v>
      </c>
      <c r="O533">
        <v>28</v>
      </c>
      <c r="P533">
        <v>3</v>
      </c>
      <c r="Q533">
        <v>2</v>
      </c>
      <c r="R533">
        <v>2</v>
      </c>
      <c r="S533">
        <v>1</v>
      </c>
      <c r="T533">
        <v>2</v>
      </c>
      <c r="U533">
        <v>10</v>
      </c>
      <c r="V533">
        <v>15</v>
      </c>
      <c r="W533">
        <v>4</v>
      </c>
      <c r="X533">
        <v>4</v>
      </c>
      <c r="Y533">
        <v>13</v>
      </c>
      <c r="Z533">
        <v>3</v>
      </c>
      <c r="AA533">
        <v>0</v>
      </c>
      <c r="AB533">
        <v>1</v>
      </c>
      <c r="AC533">
        <v>3</v>
      </c>
      <c r="AD533">
        <v>11</v>
      </c>
      <c r="AE533">
        <v>26</v>
      </c>
      <c r="AF533">
        <v>5</v>
      </c>
      <c r="AG533">
        <v>12</v>
      </c>
      <c r="AH533">
        <v>1</v>
      </c>
      <c r="AI533">
        <v>1</v>
      </c>
    </row>
    <row r="534" spans="1:35" hidden="1" x14ac:dyDescent="0.25">
      <c r="A534">
        <v>2023</v>
      </c>
      <c r="B534" s="1">
        <v>45207</v>
      </c>
      <c r="C534">
        <v>26</v>
      </c>
      <c r="D534">
        <v>38350</v>
      </c>
      <c r="E534">
        <v>46000</v>
      </c>
      <c r="F534" t="s">
        <v>89</v>
      </c>
      <c r="G534" t="s">
        <v>321</v>
      </c>
      <c r="H534" t="s">
        <v>336</v>
      </c>
      <c r="I534" t="s">
        <v>322</v>
      </c>
      <c r="J534">
        <v>9</v>
      </c>
      <c r="K534">
        <v>19</v>
      </c>
      <c r="L534">
        <v>4360</v>
      </c>
      <c r="M534">
        <v>1245</v>
      </c>
      <c r="N534" t="s">
        <v>123</v>
      </c>
      <c r="O534">
        <v>30</v>
      </c>
      <c r="P534">
        <v>1</v>
      </c>
      <c r="Q534">
        <v>2</v>
      </c>
      <c r="R534">
        <v>0</v>
      </c>
      <c r="S534">
        <v>0</v>
      </c>
      <c r="T534">
        <v>2</v>
      </c>
      <c r="U534">
        <v>5</v>
      </c>
      <c r="V534">
        <v>12</v>
      </c>
      <c r="W534">
        <v>7</v>
      </c>
      <c r="X534">
        <v>6</v>
      </c>
      <c r="Y534">
        <v>10</v>
      </c>
      <c r="Z534">
        <v>2</v>
      </c>
      <c r="AA534">
        <v>2</v>
      </c>
      <c r="AB534">
        <v>1</v>
      </c>
      <c r="AC534">
        <v>1</v>
      </c>
      <c r="AD534">
        <v>13</v>
      </c>
      <c r="AE534">
        <v>9</v>
      </c>
      <c r="AF534">
        <v>6</v>
      </c>
      <c r="AG534">
        <v>3</v>
      </c>
      <c r="AH534">
        <v>-1</v>
      </c>
      <c r="AI534">
        <v>0</v>
      </c>
    </row>
    <row r="535" spans="1:35" hidden="1" x14ac:dyDescent="0.25">
      <c r="A535">
        <v>2023</v>
      </c>
      <c r="B535" s="1">
        <v>45088</v>
      </c>
      <c r="C535">
        <v>10</v>
      </c>
      <c r="D535">
        <v>10260</v>
      </c>
      <c r="E535">
        <v>14525</v>
      </c>
      <c r="F535" t="s">
        <v>313</v>
      </c>
      <c r="G535" t="s">
        <v>55</v>
      </c>
      <c r="H535" t="s">
        <v>337</v>
      </c>
      <c r="I535" t="s">
        <v>57</v>
      </c>
      <c r="J535">
        <v>17</v>
      </c>
      <c r="K535">
        <v>5</v>
      </c>
      <c r="L535">
        <v>1030</v>
      </c>
      <c r="M535">
        <v>4680</v>
      </c>
      <c r="N535" t="s">
        <v>123</v>
      </c>
      <c r="O535" t="s">
        <v>98</v>
      </c>
      <c r="P535">
        <v>2</v>
      </c>
      <c r="Q535">
        <v>2</v>
      </c>
      <c r="R535">
        <v>1</v>
      </c>
      <c r="S535">
        <v>1</v>
      </c>
      <c r="T535">
        <v>6</v>
      </c>
      <c r="U535">
        <v>7</v>
      </c>
      <c r="V535">
        <v>15</v>
      </c>
      <c r="W535">
        <v>23</v>
      </c>
      <c r="X535">
        <v>23</v>
      </c>
      <c r="Y535">
        <v>15</v>
      </c>
      <c r="Z535">
        <v>2</v>
      </c>
      <c r="AA535">
        <v>7</v>
      </c>
      <c r="AB535">
        <v>5</v>
      </c>
      <c r="AC535">
        <v>1</v>
      </c>
      <c r="AD535">
        <v>22</v>
      </c>
      <c r="AE535">
        <v>14</v>
      </c>
      <c r="AF535">
        <v>9</v>
      </c>
      <c r="AG535">
        <v>5</v>
      </c>
      <c r="AH535">
        <v>0</v>
      </c>
      <c r="AI535">
        <v>0</v>
      </c>
    </row>
    <row r="536" spans="1:35" hidden="1" x14ac:dyDescent="0.25">
      <c r="A536">
        <v>2023</v>
      </c>
      <c r="B536" s="1">
        <v>45111</v>
      </c>
      <c r="C536">
        <v>13</v>
      </c>
      <c r="D536">
        <v>10394</v>
      </c>
      <c r="E536">
        <v>14525</v>
      </c>
      <c r="F536" t="s">
        <v>313</v>
      </c>
      <c r="G536" t="s">
        <v>321</v>
      </c>
      <c r="H536" t="s">
        <v>314</v>
      </c>
      <c r="I536" t="s">
        <v>322</v>
      </c>
      <c r="J536">
        <v>17</v>
      </c>
      <c r="K536">
        <v>20</v>
      </c>
      <c r="L536">
        <v>1065</v>
      </c>
      <c r="M536">
        <v>1610</v>
      </c>
      <c r="N536" t="s">
        <v>129</v>
      </c>
      <c r="O536" t="s">
        <v>151</v>
      </c>
      <c r="P536">
        <v>1</v>
      </c>
      <c r="Q536">
        <v>2</v>
      </c>
      <c r="R536">
        <v>0</v>
      </c>
      <c r="S536">
        <v>2</v>
      </c>
      <c r="T536">
        <v>7</v>
      </c>
      <c r="U536">
        <v>2</v>
      </c>
      <c r="V536">
        <v>20</v>
      </c>
      <c r="W536">
        <v>24</v>
      </c>
      <c r="X536">
        <v>22</v>
      </c>
      <c r="Y536">
        <v>18</v>
      </c>
      <c r="Z536">
        <v>6</v>
      </c>
      <c r="AA536">
        <v>5</v>
      </c>
      <c r="AB536">
        <v>1</v>
      </c>
      <c r="AC536">
        <v>1</v>
      </c>
      <c r="AD536">
        <v>18</v>
      </c>
      <c r="AE536">
        <v>13</v>
      </c>
      <c r="AF536">
        <v>6</v>
      </c>
      <c r="AG536">
        <v>3</v>
      </c>
      <c r="AH536">
        <v>-1</v>
      </c>
      <c r="AI536">
        <v>0</v>
      </c>
    </row>
    <row r="537" spans="1:35" hidden="1" x14ac:dyDescent="0.25">
      <c r="A537">
        <v>2023</v>
      </c>
      <c r="B537" s="1">
        <v>45232</v>
      </c>
      <c r="C537">
        <v>31</v>
      </c>
      <c r="D537">
        <v>10182</v>
      </c>
      <c r="E537">
        <v>14525</v>
      </c>
      <c r="F537" t="s">
        <v>313</v>
      </c>
      <c r="G537" t="s">
        <v>56</v>
      </c>
      <c r="H537" t="s">
        <v>314</v>
      </c>
      <c r="I537" t="s">
        <v>58</v>
      </c>
      <c r="J537">
        <v>18</v>
      </c>
      <c r="K537">
        <v>3</v>
      </c>
      <c r="L537">
        <v>1140</v>
      </c>
      <c r="M537">
        <v>3410</v>
      </c>
      <c r="N537">
        <v>29</v>
      </c>
      <c r="O537">
        <v>25</v>
      </c>
      <c r="P537">
        <v>0</v>
      </c>
      <c r="Q537">
        <v>2</v>
      </c>
      <c r="R537">
        <v>0</v>
      </c>
      <c r="S537">
        <v>1</v>
      </c>
      <c r="T537">
        <v>10</v>
      </c>
      <c r="U537">
        <v>7</v>
      </c>
      <c r="V537">
        <v>18</v>
      </c>
      <c r="W537">
        <v>18</v>
      </c>
      <c r="X537">
        <v>18</v>
      </c>
      <c r="Y537">
        <v>18</v>
      </c>
      <c r="Z537">
        <v>5</v>
      </c>
      <c r="AA537">
        <v>5</v>
      </c>
      <c r="AB537">
        <v>5</v>
      </c>
      <c r="AC537">
        <v>1</v>
      </c>
      <c r="AD537">
        <v>20</v>
      </c>
      <c r="AE537">
        <v>23</v>
      </c>
      <c r="AF537">
        <v>9</v>
      </c>
      <c r="AG537">
        <v>10</v>
      </c>
      <c r="AH537">
        <v>-2</v>
      </c>
      <c r="AI537">
        <v>0</v>
      </c>
    </row>
    <row r="538" spans="1:35" hidden="1" x14ac:dyDescent="0.25">
      <c r="A538">
        <v>2023</v>
      </c>
      <c r="B538" s="1">
        <v>45057</v>
      </c>
      <c r="C538">
        <v>5</v>
      </c>
      <c r="D538">
        <v>13537</v>
      </c>
      <c r="E538">
        <v>56000</v>
      </c>
      <c r="F538" t="s">
        <v>37</v>
      </c>
      <c r="G538" t="s">
        <v>69</v>
      </c>
      <c r="H538" t="s">
        <v>240</v>
      </c>
      <c r="I538" t="s">
        <v>308</v>
      </c>
      <c r="J538">
        <v>11</v>
      </c>
      <c r="K538">
        <v>4</v>
      </c>
      <c r="L538">
        <v>3750</v>
      </c>
      <c r="M538">
        <v>4875</v>
      </c>
      <c r="N538" t="s">
        <v>200</v>
      </c>
      <c r="O538" t="s">
        <v>221</v>
      </c>
      <c r="P538">
        <v>0</v>
      </c>
      <c r="Q538">
        <v>2</v>
      </c>
      <c r="R538">
        <v>0</v>
      </c>
      <c r="S538">
        <v>0</v>
      </c>
      <c r="T538">
        <v>4</v>
      </c>
      <c r="U538">
        <v>3</v>
      </c>
      <c r="V538">
        <v>11</v>
      </c>
      <c r="W538">
        <v>10</v>
      </c>
      <c r="X538">
        <v>10</v>
      </c>
      <c r="Y538">
        <v>10</v>
      </c>
      <c r="Z538">
        <v>3</v>
      </c>
      <c r="AA538">
        <v>3</v>
      </c>
      <c r="AB538">
        <v>2</v>
      </c>
      <c r="AC538">
        <v>2</v>
      </c>
      <c r="AD538">
        <v>12</v>
      </c>
      <c r="AE538">
        <v>14</v>
      </c>
      <c r="AF538">
        <v>8</v>
      </c>
      <c r="AG538">
        <v>3</v>
      </c>
      <c r="AH538">
        <v>-2</v>
      </c>
      <c r="AI538">
        <v>0</v>
      </c>
    </row>
    <row r="539" spans="1:35" hidden="1" x14ac:dyDescent="0.25">
      <c r="A539">
        <v>2023</v>
      </c>
      <c r="B539" s="1">
        <v>45219</v>
      </c>
      <c r="C539">
        <v>27</v>
      </c>
      <c r="D539">
        <v>27718</v>
      </c>
      <c r="E539">
        <v>43713</v>
      </c>
      <c r="F539" t="s">
        <v>95</v>
      </c>
      <c r="G539" t="s">
        <v>89</v>
      </c>
      <c r="H539" t="s">
        <v>97</v>
      </c>
      <c r="I539" t="s">
        <v>336</v>
      </c>
      <c r="J539">
        <v>5</v>
      </c>
      <c r="K539">
        <v>7</v>
      </c>
      <c r="L539">
        <v>10100</v>
      </c>
      <c r="M539">
        <v>5200</v>
      </c>
      <c r="N539">
        <v>27</v>
      </c>
      <c r="O539">
        <v>28</v>
      </c>
      <c r="P539">
        <v>0</v>
      </c>
      <c r="Q539">
        <v>2</v>
      </c>
      <c r="R539">
        <v>0</v>
      </c>
      <c r="S539">
        <v>1</v>
      </c>
      <c r="T539">
        <v>7</v>
      </c>
      <c r="U539">
        <v>2</v>
      </c>
      <c r="V539">
        <v>17</v>
      </c>
      <c r="W539">
        <v>19</v>
      </c>
      <c r="X539">
        <v>17</v>
      </c>
      <c r="Y539">
        <v>15</v>
      </c>
      <c r="Z539">
        <v>1</v>
      </c>
      <c r="AA539">
        <v>4</v>
      </c>
      <c r="AB539">
        <v>2</v>
      </c>
      <c r="AC539">
        <v>2</v>
      </c>
      <c r="AD539">
        <v>12</v>
      </c>
      <c r="AE539">
        <v>13</v>
      </c>
      <c r="AF539">
        <v>6</v>
      </c>
      <c r="AG539">
        <v>7</v>
      </c>
      <c r="AH539">
        <v>-2</v>
      </c>
      <c r="AI539">
        <v>0</v>
      </c>
    </row>
    <row r="540" spans="1:35" hidden="1" x14ac:dyDescent="0.25">
      <c r="A540">
        <v>2023</v>
      </c>
      <c r="B540" s="1">
        <v>45046</v>
      </c>
      <c r="C540">
        <v>3</v>
      </c>
      <c r="D540">
        <v>21385</v>
      </c>
      <c r="E540">
        <v>42968</v>
      </c>
      <c r="F540" t="s">
        <v>70</v>
      </c>
      <c r="G540" t="s">
        <v>83</v>
      </c>
      <c r="H540" t="s">
        <v>347</v>
      </c>
      <c r="I540" t="s">
        <v>319</v>
      </c>
      <c r="J540">
        <v>18</v>
      </c>
      <c r="K540">
        <v>7</v>
      </c>
      <c r="L540">
        <v>670</v>
      </c>
      <c r="M540">
        <v>2320</v>
      </c>
      <c r="N540" t="s">
        <v>174</v>
      </c>
      <c r="O540" t="s">
        <v>105</v>
      </c>
      <c r="P540">
        <v>1</v>
      </c>
      <c r="Q540">
        <v>2</v>
      </c>
      <c r="R540">
        <v>1</v>
      </c>
      <c r="S540">
        <v>1</v>
      </c>
      <c r="T540">
        <v>7</v>
      </c>
      <c r="U540">
        <v>5</v>
      </c>
      <c r="V540">
        <v>15</v>
      </c>
      <c r="W540">
        <v>11</v>
      </c>
      <c r="X540">
        <v>11</v>
      </c>
      <c r="Y540">
        <v>14</v>
      </c>
      <c r="Z540">
        <v>4</v>
      </c>
      <c r="AA540">
        <v>3</v>
      </c>
      <c r="AB540">
        <v>2</v>
      </c>
      <c r="AC540">
        <v>2</v>
      </c>
      <c r="AD540">
        <v>15</v>
      </c>
      <c r="AE540">
        <v>12</v>
      </c>
      <c r="AF540">
        <v>4</v>
      </c>
      <c r="AG540">
        <v>4</v>
      </c>
      <c r="AH540">
        <v>-1</v>
      </c>
      <c r="AI540">
        <v>0</v>
      </c>
    </row>
    <row r="541" spans="1:35" hidden="1" x14ac:dyDescent="0.25">
      <c r="A541">
        <v>2023</v>
      </c>
      <c r="B541" s="1">
        <v>45157</v>
      </c>
      <c r="C541">
        <v>20</v>
      </c>
      <c r="D541">
        <v>19115</v>
      </c>
      <c r="E541">
        <v>42968</v>
      </c>
      <c r="F541" t="s">
        <v>70</v>
      </c>
      <c r="G541" t="s">
        <v>95</v>
      </c>
      <c r="H541" t="s">
        <v>90</v>
      </c>
      <c r="I541" t="s">
        <v>97</v>
      </c>
      <c r="J541">
        <v>9</v>
      </c>
      <c r="K541">
        <v>2</v>
      </c>
      <c r="L541">
        <v>920</v>
      </c>
      <c r="M541">
        <v>6650</v>
      </c>
      <c r="N541" t="s">
        <v>74</v>
      </c>
      <c r="O541" t="s">
        <v>120</v>
      </c>
      <c r="P541">
        <v>0</v>
      </c>
      <c r="Q541">
        <v>2</v>
      </c>
      <c r="R541">
        <v>0</v>
      </c>
      <c r="S541">
        <v>1</v>
      </c>
      <c r="T541">
        <v>9</v>
      </c>
      <c r="U541">
        <v>2</v>
      </c>
      <c r="V541">
        <v>17</v>
      </c>
      <c r="W541">
        <v>18</v>
      </c>
      <c r="X541">
        <v>18</v>
      </c>
      <c r="Y541">
        <v>16</v>
      </c>
      <c r="Z541">
        <v>3</v>
      </c>
      <c r="AA541">
        <v>2</v>
      </c>
      <c r="AB541">
        <v>2</v>
      </c>
      <c r="AC541">
        <v>1</v>
      </c>
      <c r="AD541">
        <v>13</v>
      </c>
      <c r="AE541">
        <v>18</v>
      </c>
      <c r="AF541">
        <v>6</v>
      </c>
      <c r="AG541">
        <v>8</v>
      </c>
      <c r="AH541">
        <v>-2</v>
      </c>
      <c r="AI541">
        <v>0</v>
      </c>
    </row>
    <row r="542" spans="1:35" hidden="1" x14ac:dyDescent="0.25">
      <c r="A542">
        <v>2023</v>
      </c>
      <c r="B542" s="1">
        <v>45185</v>
      </c>
      <c r="C542">
        <v>23</v>
      </c>
      <c r="D542">
        <v>8509</v>
      </c>
      <c r="E542">
        <v>42968</v>
      </c>
      <c r="F542" t="s">
        <v>70</v>
      </c>
      <c r="G542" t="s">
        <v>310</v>
      </c>
      <c r="H542" t="s">
        <v>90</v>
      </c>
      <c r="I542" t="s">
        <v>344</v>
      </c>
      <c r="J542">
        <v>11</v>
      </c>
      <c r="K542">
        <v>19</v>
      </c>
      <c r="L542">
        <v>920</v>
      </c>
      <c r="M542">
        <v>635</v>
      </c>
      <c r="N542">
        <v>29</v>
      </c>
      <c r="O542" t="s">
        <v>174</v>
      </c>
      <c r="P542">
        <v>2</v>
      </c>
      <c r="Q542">
        <v>2</v>
      </c>
      <c r="R542">
        <v>2</v>
      </c>
      <c r="S542">
        <v>2</v>
      </c>
      <c r="T542">
        <v>9</v>
      </c>
      <c r="U542">
        <v>1</v>
      </c>
      <c r="V542">
        <v>11</v>
      </c>
      <c r="W542">
        <v>18</v>
      </c>
      <c r="X542">
        <v>17</v>
      </c>
      <c r="Y542">
        <v>11</v>
      </c>
      <c r="Z542">
        <v>1</v>
      </c>
      <c r="AA542">
        <v>6</v>
      </c>
      <c r="AB542">
        <v>3</v>
      </c>
      <c r="AC542">
        <v>1</v>
      </c>
      <c r="AD542">
        <v>20</v>
      </c>
      <c r="AE542">
        <v>7</v>
      </c>
      <c r="AF542">
        <v>6</v>
      </c>
      <c r="AG542">
        <v>3</v>
      </c>
      <c r="AH542">
        <v>0</v>
      </c>
      <c r="AI542">
        <v>0</v>
      </c>
    </row>
    <row r="543" spans="1:35" hidden="1" x14ac:dyDescent="0.25">
      <c r="A543">
        <v>2023</v>
      </c>
      <c r="B543" s="1">
        <v>45232</v>
      </c>
      <c r="C543">
        <v>31</v>
      </c>
      <c r="D543">
        <v>27604</v>
      </c>
      <c r="E543">
        <v>42968</v>
      </c>
      <c r="F543" t="s">
        <v>70</v>
      </c>
      <c r="G543" t="s">
        <v>82</v>
      </c>
      <c r="H543" t="s">
        <v>90</v>
      </c>
      <c r="I543" t="s">
        <v>84</v>
      </c>
      <c r="J543">
        <v>11</v>
      </c>
      <c r="K543">
        <v>17</v>
      </c>
      <c r="L543">
        <v>1020</v>
      </c>
      <c r="M543">
        <v>2745</v>
      </c>
      <c r="N543" t="s">
        <v>73</v>
      </c>
      <c r="O543" t="s">
        <v>122</v>
      </c>
      <c r="P543">
        <v>0</v>
      </c>
      <c r="Q543">
        <v>2</v>
      </c>
      <c r="R543">
        <v>0</v>
      </c>
      <c r="S543">
        <v>0</v>
      </c>
      <c r="T543">
        <v>5</v>
      </c>
      <c r="U543">
        <v>1</v>
      </c>
      <c r="V543">
        <v>13</v>
      </c>
      <c r="W543">
        <v>10</v>
      </c>
      <c r="X543">
        <v>9</v>
      </c>
      <c r="Y543">
        <v>11</v>
      </c>
      <c r="Z543">
        <v>1</v>
      </c>
      <c r="AA543">
        <v>2</v>
      </c>
      <c r="AB543">
        <v>0</v>
      </c>
      <c r="AC543">
        <v>2</v>
      </c>
      <c r="AD543">
        <v>13</v>
      </c>
      <c r="AE543">
        <v>10</v>
      </c>
      <c r="AF543">
        <v>6</v>
      </c>
      <c r="AG543">
        <v>6</v>
      </c>
      <c r="AH543">
        <v>-2</v>
      </c>
      <c r="AI543">
        <v>0</v>
      </c>
    </row>
    <row r="544" spans="1:35" hidden="1" x14ac:dyDescent="0.25">
      <c r="A544">
        <v>2023</v>
      </c>
      <c r="B544" s="1">
        <v>45260</v>
      </c>
      <c r="C544">
        <v>36</v>
      </c>
      <c r="D544">
        <v>12527</v>
      </c>
      <c r="E544">
        <v>42968</v>
      </c>
      <c r="F544" t="s">
        <v>70</v>
      </c>
      <c r="G544" t="s">
        <v>37</v>
      </c>
      <c r="H544" t="s">
        <v>90</v>
      </c>
      <c r="I544" t="s">
        <v>39</v>
      </c>
      <c r="J544">
        <v>12</v>
      </c>
      <c r="K544">
        <v>10</v>
      </c>
      <c r="L544">
        <v>723</v>
      </c>
      <c r="M544">
        <v>4215</v>
      </c>
      <c r="N544">
        <v>29</v>
      </c>
      <c r="O544" t="s">
        <v>111</v>
      </c>
      <c r="P544">
        <v>0</v>
      </c>
      <c r="Q544">
        <v>2</v>
      </c>
      <c r="R544">
        <v>0</v>
      </c>
      <c r="S544">
        <v>0</v>
      </c>
      <c r="T544">
        <v>2</v>
      </c>
      <c r="U544">
        <v>5</v>
      </c>
      <c r="V544">
        <v>13</v>
      </c>
      <c r="W544">
        <v>12</v>
      </c>
      <c r="X544">
        <v>12</v>
      </c>
      <c r="Y544">
        <v>13</v>
      </c>
      <c r="Z544">
        <v>2</v>
      </c>
      <c r="AA544">
        <v>1</v>
      </c>
      <c r="AB544">
        <v>1</v>
      </c>
      <c r="AC544">
        <v>1</v>
      </c>
      <c r="AD544">
        <v>10</v>
      </c>
      <c r="AE544">
        <v>12</v>
      </c>
      <c r="AF544">
        <v>7</v>
      </c>
      <c r="AG544">
        <v>3</v>
      </c>
      <c r="AH544">
        <v>-2</v>
      </c>
      <c r="AI544">
        <v>0</v>
      </c>
    </row>
    <row r="545" spans="1:35" hidden="1" x14ac:dyDescent="0.25">
      <c r="A545">
        <v>2023</v>
      </c>
      <c r="B545" s="1">
        <v>45088</v>
      </c>
      <c r="C545">
        <v>10</v>
      </c>
      <c r="D545">
        <v>5902</v>
      </c>
      <c r="E545">
        <v>55000</v>
      </c>
      <c r="F545" t="s">
        <v>310</v>
      </c>
      <c r="G545" t="s">
        <v>69</v>
      </c>
      <c r="H545" t="s">
        <v>312</v>
      </c>
      <c r="I545" t="s">
        <v>308</v>
      </c>
      <c r="J545">
        <v>18</v>
      </c>
      <c r="K545">
        <v>7</v>
      </c>
      <c r="L545">
        <v>835</v>
      </c>
      <c r="M545">
        <v>4695</v>
      </c>
      <c r="N545" t="s">
        <v>48</v>
      </c>
      <c r="O545" t="s">
        <v>233</v>
      </c>
      <c r="P545">
        <v>2</v>
      </c>
      <c r="Q545">
        <v>2</v>
      </c>
      <c r="R545">
        <v>0</v>
      </c>
      <c r="S545">
        <v>1</v>
      </c>
      <c r="T545">
        <v>7</v>
      </c>
      <c r="U545">
        <v>3</v>
      </c>
      <c r="V545">
        <v>19</v>
      </c>
      <c r="W545">
        <v>10</v>
      </c>
      <c r="X545">
        <v>8</v>
      </c>
      <c r="Y545">
        <v>19</v>
      </c>
      <c r="Z545">
        <v>2</v>
      </c>
      <c r="AA545">
        <v>10</v>
      </c>
      <c r="AB545">
        <v>1</v>
      </c>
      <c r="AC545">
        <v>1</v>
      </c>
      <c r="AD545">
        <v>21</v>
      </c>
      <c r="AE545">
        <v>9</v>
      </c>
      <c r="AF545">
        <v>5</v>
      </c>
      <c r="AG545">
        <v>5</v>
      </c>
      <c r="AH545">
        <v>0</v>
      </c>
      <c r="AI545">
        <v>0</v>
      </c>
    </row>
    <row r="546" spans="1:35" hidden="1" x14ac:dyDescent="0.25">
      <c r="A546">
        <v>2023</v>
      </c>
      <c r="B546" s="1">
        <v>45057</v>
      </c>
      <c r="C546">
        <v>5</v>
      </c>
      <c r="D546">
        <v>51846</v>
      </c>
      <c r="E546">
        <v>61927</v>
      </c>
      <c r="F546" t="s">
        <v>50</v>
      </c>
      <c r="G546" t="s">
        <v>55</v>
      </c>
      <c r="H546" t="s">
        <v>335</v>
      </c>
      <c r="I546" t="s">
        <v>57</v>
      </c>
      <c r="J546">
        <v>5</v>
      </c>
      <c r="K546">
        <v>3</v>
      </c>
      <c r="L546">
        <v>1910</v>
      </c>
      <c r="M546">
        <v>4075</v>
      </c>
      <c r="N546" t="s">
        <v>66</v>
      </c>
      <c r="O546" t="s">
        <v>193</v>
      </c>
      <c r="P546">
        <v>0</v>
      </c>
      <c r="Q546">
        <v>2</v>
      </c>
      <c r="R546">
        <v>0</v>
      </c>
      <c r="S546">
        <v>1</v>
      </c>
      <c r="T546">
        <v>16</v>
      </c>
      <c r="U546">
        <v>3</v>
      </c>
      <c r="V546">
        <v>14</v>
      </c>
      <c r="W546">
        <v>10</v>
      </c>
      <c r="X546">
        <v>10</v>
      </c>
      <c r="Y546">
        <v>14</v>
      </c>
      <c r="Z546">
        <v>4</v>
      </c>
      <c r="AA546">
        <v>5</v>
      </c>
      <c r="AB546">
        <v>1</v>
      </c>
      <c r="AC546">
        <v>3</v>
      </c>
      <c r="AD546">
        <v>27</v>
      </c>
      <c r="AE546">
        <v>11</v>
      </c>
      <c r="AF546">
        <v>12</v>
      </c>
      <c r="AG546">
        <v>2</v>
      </c>
      <c r="AH546">
        <v>-2</v>
      </c>
      <c r="AI546">
        <v>0</v>
      </c>
    </row>
    <row r="547" spans="1:35" hidden="1" x14ac:dyDescent="0.25">
      <c r="A547">
        <v>2023</v>
      </c>
      <c r="B547" s="1">
        <v>45235</v>
      </c>
      <c r="C547">
        <v>32</v>
      </c>
      <c r="D547">
        <v>36801</v>
      </c>
      <c r="E547">
        <v>61927</v>
      </c>
      <c r="F547" t="s">
        <v>50</v>
      </c>
      <c r="G547" t="s">
        <v>37</v>
      </c>
      <c r="H547" t="s">
        <v>323</v>
      </c>
      <c r="I547" t="s">
        <v>39</v>
      </c>
      <c r="J547">
        <v>13</v>
      </c>
      <c r="K547">
        <v>11</v>
      </c>
      <c r="L547">
        <v>2305</v>
      </c>
      <c r="M547">
        <v>4955</v>
      </c>
      <c r="N547" t="s">
        <v>105</v>
      </c>
      <c r="O547" t="s">
        <v>174</v>
      </c>
      <c r="P547">
        <v>1</v>
      </c>
      <c r="Q547">
        <v>2</v>
      </c>
      <c r="R547">
        <v>0</v>
      </c>
      <c r="S547">
        <v>1</v>
      </c>
      <c r="T547">
        <v>8</v>
      </c>
      <c r="U547">
        <v>1</v>
      </c>
      <c r="V547">
        <v>9</v>
      </c>
      <c r="W547">
        <v>10</v>
      </c>
      <c r="X547">
        <v>9</v>
      </c>
      <c r="Y547">
        <v>9</v>
      </c>
      <c r="Z547">
        <v>1</v>
      </c>
      <c r="AA547">
        <v>4</v>
      </c>
      <c r="AB547">
        <v>2</v>
      </c>
      <c r="AC547">
        <v>0</v>
      </c>
      <c r="AD547">
        <v>20</v>
      </c>
      <c r="AE547">
        <v>9</v>
      </c>
      <c r="AF547">
        <v>10</v>
      </c>
      <c r="AG547">
        <v>5</v>
      </c>
      <c r="AH547">
        <v>-1</v>
      </c>
      <c r="AI547">
        <v>0</v>
      </c>
    </row>
    <row r="548" spans="1:35" hidden="1" x14ac:dyDescent="0.25">
      <c r="A548">
        <v>2023</v>
      </c>
      <c r="B548" s="1">
        <v>45252</v>
      </c>
      <c r="C548">
        <v>33</v>
      </c>
      <c r="D548">
        <v>0</v>
      </c>
      <c r="E548">
        <v>61927</v>
      </c>
      <c r="F548" t="s">
        <v>50</v>
      </c>
      <c r="G548" t="s">
        <v>82</v>
      </c>
      <c r="H548" t="s">
        <v>334</v>
      </c>
      <c r="I548" t="s">
        <v>84</v>
      </c>
      <c r="J548">
        <v>14</v>
      </c>
      <c r="K548">
        <v>16</v>
      </c>
      <c r="L548">
        <v>2455</v>
      </c>
      <c r="M548">
        <v>2605</v>
      </c>
      <c r="N548">
        <v>28</v>
      </c>
      <c r="O548" t="s">
        <v>137</v>
      </c>
      <c r="P548">
        <v>2</v>
      </c>
      <c r="Q548">
        <v>2</v>
      </c>
      <c r="R548">
        <v>2</v>
      </c>
      <c r="S548">
        <v>1</v>
      </c>
      <c r="T548">
        <v>7</v>
      </c>
      <c r="U548">
        <v>5</v>
      </c>
      <c r="V548">
        <v>12</v>
      </c>
      <c r="W548">
        <v>9</v>
      </c>
      <c r="X548">
        <v>8</v>
      </c>
      <c r="Y548">
        <v>12</v>
      </c>
      <c r="Z548">
        <v>2</v>
      </c>
      <c r="AA548">
        <v>2</v>
      </c>
      <c r="AB548">
        <v>3</v>
      </c>
      <c r="AC548">
        <v>6</v>
      </c>
      <c r="AD548">
        <v>14</v>
      </c>
      <c r="AE548">
        <v>9</v>
      </c>
      <c r="AF548">
        <v>7</v>
      </c>
      <c r="AG548">
        <v>5</v>
      </c>
      <c r="AH548">
        <v>0</v>
      </c>
      <c r="AI548">
        <v>0</v>
      </c>
    </row>
    <row r="549" spans="1:35" hidden="1" x14ac:dyDescent="0.25">
      <c r="A549">
        <v>2023</v>
      </c>
      <c r="B549" s="1">
        <v>45207</v>
      </c>
      <c r="C549">
        <v>26</v>
      </c>
      <c r="D549">
        <v>17049</v>
      </c>
      <c r="E549">
        <v>32500</v>
      </c>
      <c r="F549" t="s">
        <v>95</v>
      </c>
      <c r="G549" t="s">
        <v>326</v>
      </c>
      <c r="H549" t="s">
        <v>97</v>
      </c>
      <c r="I549" t="s">
        <v>338</v>
      </c>
      <c r="J549">
        <v>4</v>
      </c>
      <c r="K549">
        <v>15</v>
      </c>
      <c r="L549">
        <v>10100</v>
      </c>
      <c r="M549">
        <v>4260</v>
      </c>
      <c r="N549">
        <v>27</v>
      </c>
      <c r="O549" t="s">
        <v>239</v>
      </c>
      <c r="P549">
        <v>1</v>
      </c>
      <c r="Q549">
        <v>2</v>
      </c>
      <c r="R549">
        <v>1</v>
      </c>
      <c r="S549">
        <v>1</v>
      </c>
      <c r="T549">
        <v>6</v>
      </c>
      <c r="U549">
        <v>2</v>
      </c>
      <c r="V549">
        <v>8</v>
      </c>
      <c r="W549">
        <v>11</v>
      </c>
      <c r="X549">
        <v>10</v>
      </c>
      <c r="Y549">
        <v>7</v>
      </c>
      <c r="Z549">
        <v>8</v>
      </c>
      <c r="AA549">
        <v>5</v>
      </c>
      <c r="AB549">
        <v>7</v>
      </c>
      <c r="AC549">
        <v>1</v>
      </c>
      <c r="AD549">
        <v>25</v>
      </c>
      <c r="AE549">
        <v>12</v>
      </c>
      <c r="AF549">
        <v>13</v>
      </c>
      <c r="AG549">
        <v>2</v>
      </c>
      <c r="AH549">
        <v>-1</v>
      </c>
      <c r="AI549">
        <v>0</v>
      </c>
    </row>
    <row r="550" spans="1:35" hidden="1" x14ac:dyDescent="0.25">
      <c r="A550">
        <v>2023</v>
      </c>
      <c r="B550" s="1">
        <v>45039</v>
      </c>
      <c r="C550">
        <v>2</v>
      </c>
      <c r="D550">
        <v>59867</v>
      </c>
      <c r="E550">
        <v>78584</v>
      </c>
      <c r="F550" t="s">
        <v>82</v>
      </c>
      <c r="G550" t="s">
        <v>95</v>
      </c>
      <c r="H550" t="s">
        <v>341</v>
      </c>
      <c r="I550" t="s">
        <v>97</v>
      </c>
      <c r="J550">
        <v>5</v>
      </c>
      <c r="K550">
        <v>4</v>
      </c>
      <c r="L550">
        <v>4970</v>
      </c>
      <c r="M550">
        <v>6720</v>
      </c>
      <c r="N550" t="s">
        <v>189</v>
      </c>
      <c r="O550" t="s">
        <v>104</v>
      </c>
      <c r="P550">
        <v>2</v>
      </c>
      <c r="Q550">
        <v>2</v>
      </c>
      <c r="R550">
        <v>2</v>
      </c>
      <c r="S550">
        <v>1</v>
      </c>
      <c r="T550">
        <v>2</v>
      </c>
      <c r="U550">
        <v>5</v>
      </c>
      <c r="V550">
        <v>19</v>
      </c>
      <c r="W550">
        <v>15</v>
      </c>
      <c r="X550">
        <v>14</v>
      </c>
      <c r="Y550">
        <v>18</v>
      </c>
      <c r="Z550">
        <v>5</v>
      </c>
      <c r="AA550">
        <v>1</v>
      </c>
      <c r="AB550">
        <v>0</v>
      </c>
      <c r="AC550">
        <v>0</v>
      </c>
      <c r="AD550">
        <v>11</v>
      </c>
      <c r="AE550">
        <v>13</v>
      </c>
      <c r="AF550">
        <v>4</v>
      </c>
      <c r="AG550">
        <v>5</v>
      </c>
      <c r="AH550">
        <v>0</v>
      </c>
      <c r="AI550">
        <v>0</v>
      </c>
    </row>
    <row r="551" spans="1:35" hidden="1" x14ac:dyDescent="0.25">
      <c r="A551">
        <v>2023</v>
      </c>
      <c r="B551" s="1">
        <v>45046</v>
      </c>
      <c r="C551">
        <v>3</v>
      </c>
      <c r="D551">
        <v>53138</v>
      </c>
      <c r="F551" t="s">
        <v>77</v>
      </c>
      <c r="G551" t="s">
        <v>51</v>
      </c>
      <c r="H551" t="s">
        <v>329</v>
      </c>
      <c r="I551" t="s">
        <v>311</v>
      </c>
      <c r="J551">
        <v>13</v>
      </c>
      <c r="K551">
        <v>1</v>
      </c>
      <c r="L551">
        <v>7895</v>
      </c>
      <c r="M551">
        <v>2100</v>
      </c>
      <c r="N551" t="s">
        <v>66</v>
      </c>
      <c r="O551" t="s">
        <v>208</v>
      </c>
      <c r="P551">
        <v>2</v>
      </c>
      <c r="Q551">
        <v>3</v>
      </c>
      <c r="R551">
        <v>0</v>
      </c>
      <c r="S551">
        <v>2</v>
      </c>
      <c r="T551">
        <v>7</v>
      </c>
      <c r="U551">
        <v>2</v>
      </c>
      <c r="V551">
        <v>14</v>
      </c>
      <c r="W551">
        <v>12</v>
      </c>
      <c r="X551">
        <v>12</v>
      </c>
      <c r="Y551">
        <v>13</v>
      </c>
      <c r="Z551">
        <v>3</v>
      </c>
      <c r="AA551">
        <v>11</v>
      </c>
      <c r="AB551">
        <v>3</v>
      </c>
      <c r="AC551">
        <v>1</v>
      </c>
      <c r="AD551">
        <v>24</v>
      </c>
      <c r="AE551">
        <v>12</v>
      </c>
      <c r="AF551">
        <v>8</v>
      </c>
      <c r="AG551">
        <v>3</v>
      </c>
      <c r="AH551">
        <v>-1</v>
      </c>
      <c r="AI551">
        <v>0</v>
      </c>
    </row>
    <row r="552" spans="1:35" hidden="1" x14ac:dyDescent="0.25">
      <c r="A552">
        <v>2023</v>
      </c>
      <c r="B552" s="1">
        <v>45059</v>
      </c>
      <c r="C552">
        <v>6</v>
      </c>
      <c r="D552">
        <v>48502</v>
      </c>
      <c r="F552" t="s">
        <v>38</v>
      </c>
      <c r="G552" t="s">
        <v>77</v>
      </c>
      <c r="H552" t="s">
        <v>316</v>
      </c>
      <c r="I552" t="s">
        <v>329</v>
      </c>
      <c r="J552">
        <v>14</v>
      </c>
      <c r="K552">
        <v>9</v>
      </c>
      <c r="L552">
        <v>2195</v>
      </c>
      <c r="M552">
        <v>8055</v>
      </c>
      <c r="N552" t="s">
        <v>80</v>
      </c>
      <c r="O552">
        <v>26</v>
      </c>
      <c r="P552">
        <v>2</v>
      </c>
      <c r="Q552">
        <v>3</v>
      </c>
      <c r="R552">
        <v>1</v>
      </c>
      <c r="S552">
        <v>3</v>
      </c>
      <c r="T552">
        <v>10</v>
      </c>
      <c r="U552">
        <v>4</v>
      </c>
      <c r="V552">
        <v>16</v>
      </c>
      <c r="W552">
        <v>13</v>
      </c>
      <c r="X552">
        <v>11</v>
      </c>
      <c r="Y552">
        <v>16</v>
      </c>
      <c r="Z552">
        <v>1</v>
      </c>
      <c r="AA552">
        <v>4</v>
      </c>
      <c r="AB552">
        <v>0</v>
      </c>
      <c r="AC552">
        <v>5</v>
      </c>
      <c r="AD552">
        <v>20</v>
      </c>
      <c r="AE552">
        <v>14</v>
      </c>
      <c r="AF552">
        <v>11</v>
      </c>
      <c r="AG552">
        <v>7</v>
      </c>
      <c r="AH552">
        <v>-1</v>
      </c>
      <c r="AI552">
        <v>0</v>
      </c>
    </row>
    <row r="553" spans="1:35" hidden="1" x14ac:dyDescent="0.25">
      <c r="A553">
        <v>2023</v>
      </c>
      <c r="B553" s="1">
        <v>45240</v>
      </c>
      <c r="C553">
        <v>33</v>
      </c>
      <c r="D553">
        <v>33931</v>
      </c>
      <c r="E553">
        <v>47364</v>
      </c>
      <c r="F553" t="s">
        <v>38</v>
      </c>
      <c r="G553" t="s">
        <v>70</v>
      </c>
      <c r="H553" t="s">
        <v>40</v>
      </c>
      <c r="I553" t="s">
        <v>90</v>
      </c>
      <c r="J553">
        <v>17</v>
      </c>
      <c r="K553">
        <v>10</v>
      </c>
      <c r="L553">
        <v>2755</v>
      </c>
      <c r="M553">
        <v>723</v>
      </c>
      <c r="N553" t="s">
        <v>66</v>
      </c>
      <c r="O553" t="s">
        <v>86</v>
      </c>
      <c r="P553">
        <v>0</v>
      </c>
      <c r="Q553">
        <v>3</v>
      </c>
      <c r="R553">
        <v>0</v>
      </c>
      <c r="S553">
        <v>1</v>
      </c>
      <c r="T553">
        <v>7</v>
      </c>
      <c r="U553">
        <v>4</v>
      </c>
      <c r="V553">
        <v>10</v>
      </c>
      <c r="W553">
        <v>23</v>
      </c>
      <c r="X553">
        <v>21</v>
      </c>
      <c r="Y553">
        <v>9</v>
      </c>
      <c r="Z553">
        <v>3</v>
      </c>
      <c r="AA553">
        <v>4</v>
      </c>
      <c r="AB553">
        <v>0</v>
      </c>
      <c r="AC553">
        <v>3</v>
      </c>
      <c r="AD553">
        <v>15</v>
      </c>
      <c r="AE553">
        <v>11</v>
      </c>
      <c r="AF553">
        <v>5</v>
      </c>
      <c r="AG553">
        <v>2</v>
      </c>
      <c r="AH553">
        <v>-3</v>
      </c>
      <c r="AI553">
        <v>0</v>
      </c>
    </row>
    <row r="554" spans="1:35" hidden="1" x14ac:dyDescent="0.25">
      <c r="A554">
        <v>2023</v>
      </c>
      <c r="B554" s="1">
        <v>45256</v>
      </c>
      <c r="C554">
        <v>35</v>
      </c>
      <c r="D554">
        <v>39900</v>
      </c>
      <c r="E554">
        <v>53000</v>
      </c>
      <c r="F554" t="s">
        <v>310</v>
      </c>
      <c r="G554" t="s">
        <v>77</v>
      </c>
      <c r="H554" t="s">
        <v>345</v>
      </c>
      <c r="I554" t="s">
        <v>79</v>
      </c>
      <c r="J554">
        <v>20</v>
      </c>
      <c r="K554">
        <v>2</v>
      </c>
      <c r="L554">
        <v>820</v>
      </c>
      <c r="M554">
        <v>9950</v>
      </c>
      <c r="N554" t="s">
        <v>111</v>
      </c>
      <c r="O554" t="s">
        <v>135</v>
      </c>
      <c r="P554">
        <v>0</v>
      </c>
      <c r="Q554">
        <v>3</v>
      </c>
      <c r="R554">
        <v>0</v>
      </c>
      <c r="S554">
        <v>1</v>
      </c>
      <c r="T554">
        <v>3</v>
      </c>
      <c r="U554">
        <v>7</v>
      </c>
      <c r="V554">
        <v>9</v>
      </c>
      <c r="W554">
        <v>13</v>
      </c>
      <c r="X554">
        <v>13</v>
      </c>
      <c r="Y554">
        <v>9</v>
      </c>
      <c r="Z554">
        <v>5</v>
      </c>
      <c r="AA554">
        <v>1</v>
      </c>
      <c r="AB554">
        <v>0</v>
      </c>
      <c r="AC554">
        <v>0</v>
      </c>
      <c r="AD554">
        <v>11</v>
      </c>
      <c r="AE554">
        <v>24</v>
      </c>
      <c r="AF554">
        <v>7</v>
      </c>
      <c r="AG554">
        <v>8</v>
      </c>
      <c r="AH554">
        <v>-3</v>
      </c>
      <c r="AI554">
        <v>0</v>
      </c>
    </row>
    <row r="555" spans="1:35" hidden="1" x14ac:dyDescent="0.25">
      <c r="A555">
        <v>2023</v>
      </c>
      <c r="B555" s="1">
        <v>45039</v>
      </c>
      <c r="C555">
        <v>2</v>
      </c>
      <c r="D555">
        <v>24423</v>
      </c>
      <c r="E555">
        <v>40502</v>
      </c>
      <c r="F555" t="s">
        <v>321</v>
      </c>
      <c r="G555" t="s">
        <v>63</v>
      </c>
      <c r="H555" t="s">
        <v>354</v>
      </c>
      <c r="I555" t="s">
        <v>65</v>
      </c>
      <c r="J555">
        <v>19</v>
      </c>
      <c r="K555">
        <v>3</v>
      </c>
      <c r="L555">
        <v>1665</v>
      </c>
      <c r="M555">
        <v>1315</v>
      </c>
      <c r="N555">
        <v>27</v>
      </c>
      <c r="O555" t="s">
        <v>296</v>
      </c>
      <c r="P555">
        <v>0</v>
      </c>
      <c r="Q555">
        <v>3</v>
      </c>
      <c r="R555">
        <v>0</v>
      </c>
      <c r="S555">
        <v>0</v>
      </c>
      <c r="T555">
        <v>3</v>
      </c>
      <c r="U555">
        <v>7</v>
      </c>
      <c r="V555">
        <v>9</v>
      </c>
      <c r="W555">
        <v>10</v>
      </c>
      <c r="X555">
        <v>10</v>
      </c>
      <c r="Y555">
        <v>9</v>
      </c>
      <c r="Z555">
        <v>6</v>
      </c>
      <c r="AA555">
        <v>7</v>
      </c>
      <c r="AB555">
        <v>2</v>
      </c>
      <c r="AC555">
        <v>2</v>
      </c>
      <c r="AD555">
        <v>18</v>
      </c>
      <c r="AE555">
        <v>16</v>
      </c>
      <c r="AF555">
        <v>7</v>
      </c>
      <c r="AG555">
        <v>4</v>
      </c>
      <c r="AH555">
        <v>-3</v>
      </c>
      <c r="AI555">
        <v>0</v>
      </c>
    </row>
    <row r="556" spans="1:35" hidden="1" x14ac:dyDescent="0.25">
      <c r="A556">
        <v>2023</v>
      </c>
      <c r="B556" s="1">
        <v>45158</v>
      </c>
      <c r="C556">
        <v>20</v>
      </c>
      <c r="D556">
        <v>31851</v>
      </c>
      <c r="E556">
        <v>40502</v>
      </c>
      <c r="F556" t="s">
        <v>321</v>
      </c>
      <c r="G556" t="s">
        <v>77</v>
      </c>
      <c r="H556" t="s">
        <v>322</v>
      </c>
      <c r="I556" t="s">
        <v>329</v>
      </c>
      <c r="J556">
        <v>19</v>
      </c>
      <c r="K556">
        <v>3</v>
      </c>
      <c r="L556">
        <v>1615</v>
      </c>
      <c r="M556">
        <v>7630</v>
      </c>
      <c r="N556" t="s">
        <v>129</v>
      </c>
      <c r="O556" t="s">
        <v>168</v>
      </c>
      <c r="P556">
        <v>2</v>
      </c>
      <c r="Q556">
        <v>3</v>
      </c>
      <c r="R556">
        <v>1</v>
      </c>
      <c r="S556">
        <v>2</v>
      </c>
      <c r="T556">
        <v>4</v>
      </c>
      <c r="U556">
        <v>5</v>
      </c>
      <c r="V556">
        <v>10</v>
      </c>
      <c r="W556">
        <v>10</v>
      </c>
      <c r="X556">
        <v>9</v>
      </c>
      <c r="Y556">
        <v>10</v>
      </c>
      <c r="Z556">
        <v>1</v>
      </c>
      <c r="AA556">
        <v>2</v>
      </c>
      <c r="AB556">
        <v>2</v>
      </c>
      <c r="AC556">
        <v>0</v>
      </c>
      <c r="AD556">
        <v>15</v>
      </c>
      <c r="AE556">
        <v>17</v>
      </c>
      <c r="AF556">
        <v>7</v>
      </c>
      <c r="AG556">
        <v>8</v>
      </c>
      <c r="AH556">
        <v>-1</v>
      </c>
      <c r="AI556">
        <v>0</v>
      </c>
    </row>
    <row r="557" spans="1:35" hidden="1" x14ac:dyDescent="0.25">
      <c r="A557">
        <v>2023</v>
      </c>
      <c r="B557" s="1">
        <v>45218</v>
      </c>
      <c r="C557">
        <v>27</v>
      </c>
      <c r="D557">
        <v>20873</v>
      </c>
      <c r="E557">
        <v>40502</v>
      </c>
      <c r="F557" t="s">
        <v>321</v>
      </c>
      <c r="G557" t="s">
        <v>70</v>
      </c>
      <c r="H557" t="s">
        <v>322</v>
      </c>
      <c r="I557" t="s">
        <v>90</v>
      </c>
      <c r="J557">
        <v>19</v>
      </c>
      <c r="K557">
        <v>10</v>
      </c>
      <c r="L557">
        <v>1640</v>
      </c>
      <c r="M557">
        <v>975</v>
      </c>
      <c r="N557">
        <v>28</v>
      </c>
      <c r="O557" t="s">
        <v>107</v>
      </c>
      <c r="P557">
        <v>0</v>
      </c>
      <c r="Q557">
        <v>3</v>
      </c>
      <c r="R557">
        <v>0</v>
      </c>
      <c r="S557">
        <v>1</v>
      </c>
      <c r="T557">
        <v>4</v>
      </c>
      <c r="U557">
        <v>4</v>
      </c>
      <c r="V557">
        <v>14</v>
      </c>
      <c r="W557">
        <v>11</v>
      </c>
      <c r="X557">
        <v>9</v>
      </c>
      <c r="Y557">
        <v>14</v>
      </c>
      <c r="Z557">
        <v>3</v>
      </c>
      <c r="AA557">
        <v>3</v>
      </c>
      <c r="AB557">
        <v>2</v>
      </c>
      <c r="AC557">
        <v>2</v>
      </c>
      <c r="AD557">
        <v>19</v>
      </c>
      <c r="AE557">
        <v>8</v>
      </c>
      <c r="AF557">
        <v>10</v>
      </c>
      <c r="AG557">
        <v>1</v>
      </c>
      <c r="AH557">
        <v>-3</v>
      </c>
      <c r="AI557">
        <v>0</v>
      </c>
    </row>
    <row r="558" spans="1:35" hidden="1" x14ac:dyDescent="0.25">
      <c r="A558">
        <v>2023</v>
      </c>
      <c r="B558" s="1">
        <v>45219</v>
      </c>
      <c r="C558">
        <v>27</v>
      </c>
      <c r="D558">
        <v>36916</v>
      </c>
      <c r="E558">
        <v>82238</v>
      </c>
      <c r="F558" t="s">
        <v>55</v>
      </c>
      <c r="G558" t="s">
        <v>88</v>
      </c>
      <c r="H558" t="s">
        <v>57</v>
      </c>
      <c r="I558" t="s">
        <v>240</v>
      </c>
      <c r="J558">
        <v>9</v>
      </c>
      <c r="K558">
        <v>13</v>
      </c>
      <c r="L558">
        <v>3375</v>
      </c>
      <c r="M558">
        <v>4050</v>
      </c>
      <c r="N558" t="s">
        <v>350</v>
      </c>
      <c r="O558" t="s">
        <v>123</v>
      </c>
      <c r="P558">
        <v>3</v>
      </c>
      <c r="Q558">
        <v>3</v>
      </c>
      <c r="R558">
        <v>1</v>
      </c>
      <c r="S558">
        <v>3</v>
      </c>
      <c r="T558">
        <v>15</v>
      </c>
      <c r="U558">
        <v>1</v>
      </c>
      <c r="V558">
        <v>15</v>
      </c>
      <c r="W558">
        <v>15</v>
      </c>
      <c r="X558">
        <v>14</v>
      </c>
      <c r="Y558">
        <v>15</v>
      </c>
      <c r="Z558">
        <v>0</v>
      </c>
      <c r="AA558">
        <v>7</v>
      </c>
      <c r="AB558">
        <v>2</v>
      </c>
      <c r="AC558">
        <v>2</v>
      </c>
      <c r="AD558">
        <v>24</v>
      </c>
      <c r="AE558">
        <v>7</v>
      </c>
      <c r="AF558">
        <v>8</v>
      </c>
      <c r="AG558">
        <v>4</v>
      </c>
      <c r="AH558">
        <v>0</v>
      </c>
      <c r="AI558">
        <v>0</v>
      </c>
    </row>
    <row r="559" spans="1:35" hidden="1" x14ac:dyDescent="0.25">
      <c r="A559">
        <v>2023</v>
      </c>
      <c r="B559" s="1">
        <v>45267</v>
      </c>
      <c r="C559">
        <v>38</v>
      </c>
      <c r="D559">
        <v>44190</v>
      </c>
      <c r="E559">
        <v>82238</v>
      </c>
      <c r="F559" t="s">
        <v>55</v>
      </c>
      <c r="G559" t="s">
        <v>83</v>
      </c>
      <c r="H559" t="s">
        <v>57</v>
      </c>
      <c r="I559" t="s">
        <v>319</v>
      </c>
      <c r="J559">
        <v>7</v>
      </c>
      <c r="K559">
        <v>2</v>
      </c>
      <c r="L559">
        <v>4425</v>
      </c>
      <c r="M559">
        <v>2950</v>
      </c>
      <c r="N559" t="s">
        <v>179</v>
      </c>
      <c r="O559" t="s">
        <v>105</v>
      </c>
      <c r="P559">
        <v>2</v>
      </c>
      <c r="Q559">
        <v>3</v>
      </c>
      <c r="R559">
        <v>1</v>
      </c>
      <c r="S559">
        <v>2</v>
      </c>
      <c r="T559">
        <v>7</v>
      </c>
      <c r="U559">
        <v>3</v>
      </c>
      <c r="V559">
        <v>12</v>
      </c>
      <c r="W559">
        <v>12</v>
      </c>
      <c r="X559">
        <v>10</v>
      </c>
      <c r="Y559">
        <v>12</v>
      </c>
      <c r="Z559">
        <v>2</v>
      </c>
      <c r="AA559">
        <v>5</v>
      </c>
      <c r="AB559">
        <v>0</v>
      </c>
      <c r="AC559">
        <v>0</v>
      </c>
      <c r="AD559">
        <v>23</v>
      </c>
      <c r="AE559">
        <v>12</v>
      </c>
      <c r="AF559">
        <v>12</v>
      </c>
      <c r="AG559">
        <v>4</v>
      </c>
      <c r="AH559">
        <v>-1</v>
      </c>
      <c r="AI559">
        <v>0</v>
      </c>
    </row>
    <row r="560" spans="1:35" hidden="1" x14ac:dyDescent="0.25">
      <c r="A560">
        <v>2023</v>
      </c>
      <c r="B560" s="1">
        <v>45225</v>
      </c>
      <c r="C560">
        <v>29</v>
      </c>
      <c r="D560">
        <v>4793</v>
      </c>
      <c r="E560">
        <v>18238</v>
      </c>
      <c r="F560" t="s">
        <v>55</v>
      </c>
      <c r="G560" t="s">
        <v>313</v>
      </c>
      <c r="H560" t="s">
        <v>57</v>
      </c>
      <c r="I560" t="s">
        <v>314</v>
      </c>
      <c r="J560">
        <v>8</v>
      </c>
      <c r="K560">
        <v>17</v>
      </c>
      <c r="L560">
        <v>4025</v>
      </c>
      <c r="M560">
        <v>840</v>
      </c>
      <c r="N560" t="s">
        <v>289</v>
      </c>
      <c r="O560" t="s">
        <v>105</v>
      </c>
      <c r="P560">
        <v>5</v>
      </c>
      <c r="Q560">
        <v>3</v>
      </c>
      <c r="R560">
        <v>2</v>
      </c>
      <c r="S560">
        <v>2</v>
      </c>
      <c r="T560">
        <v>6</v>
      </c>
      <c r="U560">
        <v>1</v>
      </c>
      <c r="V560">
        <v>14</v>
      </c>
      <c r="W560">
        <v>21</v>
      </c>
      <c r="X560">
        <v>21</v>
      </c>
      <c r="Y560">
        <v>13</v>
      </c>
      <c r="Z560">
        <v>1</v>
      </c>
      <c r="AA560">
        <v>3</v>
      </c>
      <c r="AB560">
        <v>3</v>
      </c>
      <c r="AC560">
        <v>1</v>
      </c>
      <c r="AD560">
        <v>20</v>
      </c>
      <c r="AE560">
        <v>9</v>
      </c>
      <c r="AF560">
        <v>7</v>
      </c>
      <c r="AG560">
        <v>3</v>
      </c>
      <c r="AH560">
        <v>2</v>
      </c>
      <c r="AI560">
        <v>1</v>
      </c>
    </row>
    <row r="561" spans="1:35" hidden="1" x14ac:dyDescent="0.25">
      <c r="A561">
        <v>2023</v>
      </c>
      <c r="B561" s="1">
        <v>45183</v>
      </c>
      <c r="C561">
        <v>23</v>
      </c>
      <c r="D561">
        <v>20670</v>
      </c>
      <c r="E561">
        <v>21838</v>
      </c>
      <c r="F561" t="s">
        <v>77</v>
      </c>
      <c r="G561" t="s">
        <v>69</v>
      </c>
      <c r="H561" t="s">
        <v>329</v>
      </c>
      <c r="I561" t="s">
        <v>325</v>
      </c>
      <c r="J561">
        <v>4</v>
      </c>
      <c r="K561">
        <v>7</v>
      </c>
      <c r="L561">
        <v>8800</v>
      </c>
      <c r="M561">
        <v>2070</v>
      </c>
      <c r="N561" t="s">
        <v>99</v>
      </c>
      <c r="O561" t="s">
        <v>104</v>
      </c>
      <c r="P561">
        <v>0</v>
      </c>
      <c r="Q561">
        <v>3</v>
      </c>
      <c r="R561">
        <v>0</v>
      </c>
      <c r="S561">
        <v>1</v>
      </c>
      <c r="T561">
        <v>8</v>
      </c>
      <c r="U561">
        <v>2</v>
      </c>
      <c r="V561">
        <v>12</v>
      </c>
      <c r="W561">
        <v>19</v>
      </c>
      <c r="X561">
        <v>18</v>
      </c>
      <c r="Y561">
        <v>12</v>
      </c>
      <c r="Z561">
        <v>6</v>
      </c>
      <c r="AA561">
        <v>4</v>
      </c>
      <c r="AB561">
        <v>4</v>
      </c>
      <c r="AC561">
        <v>0</v>
      </c>
      <c r="AD561">
        <v>13</v>
      </c>
      <c r="AE561">
        <v>15</v>
      </c>
      <c r="AF561">
        <v>2</v>
      </c>
      <c r="AG561">
        <v>2</v>
      </c>
      <c r="AH561">
        <v>-3</v>
      </c>
      <c r="AI561">
        <v>0</v>
      </c>
    </row>
    <row r="562" spans="1:35" hidden="1" x14ac:dyDescent="0.25">
      <c r="A562">
        <v>2023</v>
      </c>
      <c r="B562" s="1">
        <v>45053</v>
      </c>
      <c r="C562">
        <v>4</v>
      </c>
      <c r="D562">
        <v>23760</v>
      </c>
      <c r="E562">
        <v>60540</v>
      </c>
      <c r="F562" t="s">
        <v>83</v>
      </c>
      <c r="G562" t="s">
        <v>56</v>
      </c>
      <c r="H562" t="s">
        <v>319</v>
      </c>
      <c r="I562" t="s">
        <v>58</v>
      </c>
      <c r="J562">
        <v>7</v>
      </c>
      <c r="K562">
        <v>12</v>
      </c>
      <c r="L562">
        <v>2160</v>
      </c>
      <c r="M562">
        <v>2900</v>
      </c>
      <c r="N562">
        <v>28</v>
      </c>
      <c r="O562" t="s">
        <v>278</v>
      </c>
      <c r="P562">
        <v>3</v>
      </c>
      <c r="Q562">
        <v>3</v>
      </c>
      <c r="R562">
        <v>1</v>
      </c>
      <c r="S562">
        <v>1</v>
      </c>
      <c r="T562">
        <v>4</v>
      </c>
      <c r="U562">
        <v>7</v>
      </c>
      <c r="V562">
        <v>9</v>
      </c>
      <c r="W562">
        <v>20</v>
      </c>
      <c r="X562">
        <v>18</v>
      </c>
      <c r="Y562">
        <v>7</v>
      </c>
      <c r="Z562">
        <v>5</v>
      </c>
      <c r="AA562">
        <v>0</v>
      </c>
      <c r="AB562">
        <v>3</v>
      </c>
      <c r="AC562">
        <v>2</v>
      </c>
      <c r="AD562">
        <v>11</v>
      </c>
      <c r="AE562">
        <v>21</v>
      </c>
      <c r="AF562">
        <v>4</v>
      </c>
      <c r="AG562">
        <v>6</v>
      </c>
      <c r="AH562">
        <v>0</v>
      </c>
      <c r="AI562">
        <v>0</v>
      </c>
    </row>
    <row r="563" spans="1:35" hidden="1" x14ac:dyDescent="0.25">
      <c r="A563">
        <v>2023</v>
      </c>
      <c r="B563" s="1">
        <v>45136</v>
      </c>
      <c r="C563">
        <v>17</v>
      </c>
      <c r="D563">
        <v>22730</v>
      </c>
      <c r="E563">
        <v>42372</v>
      </c>
      <c r="F563" t="s">
        <v>69</v>
      </c>
      <c r="G563" t="s">
        <v>50</v>
      </c>
      <c r="H563" t="s">
        <v>325</v>
      </c>
      <c r="I563" t="s">
        <v>335</v>
      </c>
      <c r="J563">
        <v>7</v>
      </c>
      <c r="K563">
        <v>10</v>
      </c>
      <c r="L563">
        <v>5580</v>
      </c>
      <c r="M563">
        <v>2125</v>
      </c>
      <c r="N563" t="s">
        <v>117</v>
      </c>
      <c r="O563" t="s">
        <v>134</v>
      </c>
      <c r="P563">
        <v>3</v>
      </c>
      <c r="Q563">
        <v>3</v>
      </c>
      <c r="R563">
        <v>1</v>
      </c>
      <c r="S563">
        <v>2</v>
      </c>
      <c r="T563">
        <v>7</v>
      </c>
      <c r="U563">
        <v>5</v>
      </c>
      <c r="V563">
        <v>16</v>
      </c>
      <c r="W563">
        <v>23</v>
      </c>
      <c r="X563">
        <v>23</v>
      </c>
      <c r="Y563">
        <v>15</v>
      </c>
      <c r="Z563">
        <v>2</v>
      </c>
      <c r="AA563">
        <v>3</v>
      </c>
      <c r="AB563">
        <v>1</v>
      </c>
      <c r="AC563">
        <v>1</v>
      </c>
      <c r="AD563">
        <v>15</v>
      </c>
      <c r="AE563">
        <v>14</v>
      </c>
      <c r="AF563">
        <v>6</v>
      </c>
      <c r="AG563">
        <v>5</v>
      </c>
      <c r="AH563">
        <v>0</v>
      </c>
      <c r="AI563">
        <v>0</v>
      </c>
    </row>
    <row r="564" spans="1:35" hidden="1" x14ac:dyDescent="0.25">
      <c r="A564">
        <v>2023</v>
      </c>
      <c r="B564" s="1">
        <v>45102</v>
      </c>
      <c r="C564">
        <v>12</v>
      </c>
      <c r="D564">
        <v>0</v>
      </c>
      <c r="E564">
        <v>20120</v>
      </c>
      <c r="F564" t="s">
        <v>326</v>
      </c>
      <c r="G564" t="s">
        <v>77</v>
      </c>
      <c r="H564" t="s">
        <v>355</v>
      </c>
      <c r="I564" t="s">
        <v>329</v>
      </c>
      <c r="J564">
        <v>13</v>
      </c>
      <c r="K564">
        <v>3</v>
      </c>
      <c r="L564">
        <v>3590</v>
      </c>
      <c r="M564">
        <v>7460</v>
      </c>
      <c r="N564">
        <v>27</v>
      </c>
      <c r="O564">
        <v>26</v>
      </c>
      <c r="P564">
        <v>2</v>
      </c>
      <c r="Q564">
        <v>3</v>
      </c>
      <c r="R564">
        <v>1</v>
      </c>
      <c r="S564">
        <v>1</v>
      </c>
      <c r="T564">
        <v>2</v>
      </c>
      <c r="U564">
        <v>7</v>
      </c>
      <c r="V564">
        <v>14</v>
      </c>
      <c r="W564">
        <v>11</v>
      </c>
      <c r="X564">
        <v>10</v>
      </c>
      <c r="Y564">
        <v>14</v>
      </c>
      <c r="Z564">
        <v>1</v>
      </c>
      <c r="AA564">
        <v>4</v>
      </c>
      <c r="AB564">
        <v>2</v>
      </c>
      <c r="AC564">
        <v>1</v>
      </c>
      <c r="AD564">
        <v>12</v>
      </c>
      <c r="AE564">
        <v>10</v>
      </c>
      <c r="AF564">
        <v>4</v>
      </c>
      <c r="AG564">
        <v>1</v>
      </c>
      <c r="AH564">
        <v>-1</v>
      </c>
      <c r="AI564">
        <v>0</v>
      </c>
    </row>
    <row r="565" spans="1:35" hidden="1" x14ac:dyDescent="0.25">
      <c r="A565">
        <v>2023</v>
      </c>
      <c r="B565" s="1">
        <v>45116</v>
      </c>
      <c r="C565">
        <v>14</v>
      </c>
      <c r="D565">
        <v>0</v>
      </c>
      <c r="E565">
        <v>20120</v>
      </c>
      <c r="F565" t="s">
        <v>326</v>
      </c>
      <c r="G565" t="s">
        <v>313</v>
      </c>
      <c r="H565" t="s">
        <v>308</v>
      </c>
      <c r="I565" t="s">
        <v>314</v>
      </c>
      <c r="J565">
        <v>13</v>
      </c>
      <c r="K565">
        <v>17</v>
      </c>
      <c r="L565">
        <v>3520</v>
      </c>
      <c r="M565">
        <v>1000</v>
      </c>
      <c r="N565" t="s">
        <v>233</v>
      </c>
      <c r="O565" t="s">
        <v>134</v>
      </c>
      <c r="P565">
        <v>4</v>
      </c>
      <c r="Q565">
        <v>3</v>
      </c>
      <c r="R565">
        <v>3</v>
      </c>
      <c r="S565">
        <v>1</v>
      </c>
      <c r="T565">
        <v>8</v>
      </c>
      <c r="U565">
        <v>13</v>
      </c>
      <c r="V565">
        <v>17</v>
      </c>
      <c r="W565">
        <v>19</v>
      </c>
      <c r="X565">
        <v>19</v>
      </c>
      <c r="Y565">
        <v>16</v>
      </c>
      <c r="Z565">
        <v>2</v>
      </c>
      <c r="AA565">
        <v>2</v>
      </c>
      <c r="AB565">
        <v>1</v>
      </c>
      <c r="AC565">
        <v>4</v>
      </c>
      <c r="AD565">
        <v>15</v>
      </c>
      <c r="AE565">
        <v>19</v>
      </c>
      <c r="AF565">
        <v>5</v>
      </c>
      <c r="AG565">
        <v>8</v>
      </c>
      <c r="AH565">
        <v>1</v>
      </c>
      <c r="AI565">
        <v>1</v>
      </c>
    </row>
    <row r="566" spans="1:35" hidden="1" x14ac:dyDescent="0.25">
      <c r="A566">
        <v>2023</v>
      </c>
      <c r="B566" s="1">
        <v>45184</v>
      </c>
      <c r="C566">
        <v>23</v>
      </c>
      <c r="D566">
        <v>12244</v>
      </c>
      <c r="E566">
        <v>20120</v>
      </c>
      <c r="F566" t="s">
        <v>326</v>
      </c>
      <c r="G566" t="s">
        <v>50</v>
      </c>
      <c r="H566" t="s">
        <v>342</v>
      </c>
      <c r="I566" t="s">
        <v>323</v>
      </c>
      <c r="J566">
        <v>18</v>
      </c>
      <c r="K566">
        <v>12</v>
      </c>
      <c r="L566">
        <v>3815</v>
      </c>
      <c r="M566">
        <v>2175</v>
      </c>
      <c r="N566" t="s">
        <v>135</v>
      </c>
      <c r="O566" t="s">
        <v>74</v>
      </c>
      <c r="P566">
        <v>0</v>
      </c>
      <c r="Q566">
        <v>3</v>
      </c>
      <c r="R566">
        <v>0</v>
      </c>
      <c r="S566">
        <v>1</v>
      </c>
      <c r="T566">
        <v>8</v>
      </c>
      <c r="U566">
        <v>9</v>
      </c>
      <c r="V566">
        <v>8</v>
      </c>
      <c r="W566">
        <v>13</v>
      </c>
      <c r="X566">
        <v>12</v>
      </c>
      <c r="Y566">
        <v>7</v>
      </c>
      <c r="Z566">
        <v>4</v>
      </c>
      <c r="AA566">
        <v>1</v>
      </c>
      <c r="AB566">
        <v>2</v>
      </c>
      <c r="AC566">
        <v>1</v>
      </c>
      <c r="AD566">
        <v>12</v>
      </c>
      <c r="AE566">
        <v>14</v>
      </c>
      <c r="AF566">
        <v>7</v>
      </c>
      <c r="AG566">
        <v>5</v>
      </c>
      <c r="AH566">
        <v>-3</v>
      </c>
      <c r="AI566">
        <v>0</v>
      </c>
    </row>
    <row r="567" spans="1:35" hidden="1" x14ac:dyDescent="0.25">
      <c r="A567">
        <v>2023</v>
      </c>
      <c r="B567" s="1">
        <v>45219</v>
      </c>
      <c r="C567">
        <v>27</v>
      </c>
      <c r="D567">
        <v>12850</v>
      </c>
      <c r="E567">
        <v>20120</v>
      </c>
      <c r="F567" t="s">
        <v>326</v>
      </c>
      <c r="G567" t="s">
        <v>56</v>
      </c>
      <c r="H567" t="s">
        <v>338</v>
      </c>
      <c r="I567" t="s">
        <v>58</v>
      </c>
      <c r="J567">
        <v>17</v>
      </c>
      <c r="K567">
        <v>2</v>
      </c>
      <c r="L567">
        <v>3630</v>
      </c>
      <c r="M567">
        <v>3340</v>
      </c>
      <c r="N567" t="s">
        <v>122</v>
      </c>
      <c r="O567" t="s">
        <v>99</v>
      </c>
      <c r="P567">
        <v>1</v>
      </c>
      <c r="Q567">
        <v>3</v>
      </c>
      <c r="R567">
        <v>0</v>
      </c>
      <c r="S567">
        <v>2</v>
      </c>
      <c r="T567">
        <v>5</v>
      </c>
      <c r="U567">
        <v>4</v>
      </c>
      <c r="V567">
        <v>8</v>
      </c>
      <c r="W567">
        <v>8</v>
      </c>
      <c r="X567">
        <v>8</v>
      </c>
      <c r="Y567">
        <v>6</v>
      </c>
      <c r="Z567">
        <v>6</v>
      </c>
      <c r="AA567">
        <v>6</v>
      </c>
      <c r="AB567">
        <v>5</v>
      </c>
      <c r="AC567">
        <v>0</v>
      </c>
      <c r="AD567">
        <v>26</v>
      </c>
      <c r="AE567">
        <v>15</v>
      </c>
      <c r="AF567">
        <v>12</v>
      </c>
      <c r="AG567">
        <v>1</v>
      </c>
      <c r="AH567">
        <v>-2</v>
      </c>
      <c r="AI567">
        <v>0</v>
      </c>
    </row>
    <row r="568" spans="1:35" hidden="1" x14ac:dyDescent="0.25">
      <c r="A568">
        <v>2023</v>
      </c>
      <c r="B568" s="1">
        <v>45259</v>
      </c>
      <c r="C568">
        <v>36</v>
      </c>
      <c r="D568">
        <v>12855</v>
      </c>
      <c r="E568">
        <v>20120</v>
      </c>
      <c r="F568" t="s">
        <v>326</v>
      </c>
      <c r="G568" t="s">
        <v>55</v>
      </c>
      <c r="H568" t="s">
        <v>338</v>
      </c>
      <c r="I568" t="s">
        <v>57</v>
      </c>
      <c r="J568">
        <v>15</v>
      </c>
      <c r="K568">
        <v>7</v>
      </c>
      <c r="L568">
        <v>4080</v>
      </c>
      <c r="M568">
        <v>4355</v>
      </c>
      <c r="N568" t="s">
        <v>209</v>
      </c>
      <c r="O568" t="s">
        <v>142</v>
      </c>
      <c r="P568">
        <v>0</v>
      </c>
      <c r="Q568">
        <v>3</v>
      </c>
      <c r="R568">
        <v>0</v>
      </c>
      <c r="S568">
        <v>2</v>
      </c>
      <c r="T568">
        <v>5</v>
      </c>
      <c r="U568">
        <v>3</v>
      </c>
      <c r="V568">
        <v>18</v>
      </c>
      <c r="W568">
        <v>9</v>
      </c>
      <c r="X568">
        <v>9</v>
      </c>
      <c r="Y568">
        <v>17</v>
      </c>
      <c r="Z568">
        <v>2</v>
      </c>
      <c r="AA568">
        <v>8</v>
      </c>
      <c r="AB568">
        <v>3</v>
      </c>
      <c r="AC568">
        <v>0</v>
      </c>
      <c r="AD568">
        <v>27</v>
      </c>
      <c r="AE568">
        <v>9</v>
      </c>
      <c r="AF568">
        <v>13</v>
      </c>
      <c r="AG568">
        <v>2</v>
      </c>
      <c r="AH568">
        <v>-3</v>
      </c>
      <c r="AI568">
        <v>0</v>
      </c>
    </row>
    <row r="569" spans="1:35" hidden="1" x14ac:dyDescent="0.25">
      <c r="A569">
        <v>2023</v>
      </c>
      <c r="B569" s="1">
        <v>45045</v>
      </c>
      <c r="C569">
        <v>3</v>
      </c>
      <c r="D569">
        <v>4829</v>
      </c>
      <c r="E569">
        <v>13212</v>
      </c>
      <c r="F569" t="s">
        <v>56</v>
      </c>
      <c r="G569" t="s">
        <v>50</v>
      </c>
      <c r="H569" t="s">
        <v>58</v>
      </c>
      <c r="I569" t="s">
        <v>335</v>
      </c>
      <c r="J569">
        <v>12</v>
      </c>
      <c r="K569">
        <v>6</v>
      </c>
      <c r="L569">
        <v>2730</v>
      </c>
      <c r="M569">
        <v>1610</v>
      </c>
      <c r="N569" t="s">
        <v>202</v>
      </c>
      <c r="O569" t="s">
        <v>92</v>
      </c>
      <c r="P569">
        <v>0</v>
      </c>
      <c r="Q569">
        <v>3</v>
      </c>
      <c r="R569">
        <v>0</v>
      </c>
      <c r="S569">
        <v>1</v>
      </c>
      <c r="T569">
        <v>5</v>
      </c>
      <c r="U569">
        <v>9</v>
      </c>
      <c r="V569">
        <v>18</v>
      </c>
      <c r="W569">
        <v>8</v>
      </c>
      <c r="X569">
        <v>8</v>
      </c>
      <c r="Y569">
        <v>17</v>
      </c>
      <c r="Z569">
        <v>2</v>
      </c>
      <c r="AA569">
        <v>5</v>
      </c>
      <c r="AB569">
        <v>1</v>
      </c>
      <c r="AC569">
        <v>4</v>
      </c>
      <c r="AD569">
        <v>12</v>
      </c>
      <c r="AE569">
        <v>18</v>
      </c>
      <c r="AF569">
        <v>5</v>
      </c>
      <c r="AG569">
        <v>7</v>
      </c>
      <c r="AH569">
        <v>-3</v>
      </c>
      <c r="AI569">
        <v>0</v>
      </c>
    </row>
    <row r="570" spans="1:35" hidden="1" x14ac:dyDescent="0.25">
      <c r="A570">
        <v>2023</v>
      </c>
      <c r="B570" s="1">
        <v>45136</v>
      </c>
      <c r="C570">
        <v>17</v>
      </c>
      <c r="D570">
        <v>26124</v>
      </c>
      <c r="E570">
        <v>60326</v>
      </c>
      <c r="F570" t="s">
        <v>63</v>
      </c>
      <c r="G570" t="s">
        <v>56</v>
      </c>
      <c r="H570" t="s">
        <v>65</v>
      </c>
      <c r="I570" t="s">
        <v>58</v>
      </c>
      <c r="J570">
        <v>11</v>
      </c>
      <c r="K570">
        <v>6</v>
      </c>
      <c r="L570">
        <v>1480</v>
      </c>
      <c r="M570">
        <v>4260</v>
      </c>
      <c r="N570" t="s">
        <v>193</v>
      </c>
      <c r="O570" t="s">
        <v>228</v>
      </c>
      <c r="P570">
        <v>0</v>
      </c>
      <c r="Q570">
        <v>3</v>
      </c>
      <c r="R570">
        <v>0</v>
      </c>
      <c r="S570">
        <v>1</v>
      </c>
      <c r="T570">
        <v>2</v>
      </c>
      <c r="U570">
        <v>9</v>
      </c>
      <c r="V570">
        <v>16</v>
      </c>
      <c r="W570">
        <v>24</v>
      </c>
      <c r="X570">
        <v>24</v>
      </c>
      <c r="Y570">
        <v>15</v>
      </c>
      <c r="Z570">
        <v>8</v>
      </c>
      <c r="AA570">
        <v>2</v>
      </c>
      <c r="AB570">
        <v>5</v>
      </c>
      <c r="AC570">
        <v>1</v>
      </c>
      <c r="AD570">
        <v>10</v>
      </c>
      <c r="AE570">
        <v>22</v>
      </c>
      <c r="AF570">
        <v>4</v>
      </c>
      <c r="AG570">
        <v>3</v>
      </c>
      <c r="AH570">
        <v>-3</v>
      </c>
      <c r="AI570">
        <v>0</v>
      </c>
    </row>
    <row r="571" spans="1:35" hidden="1" x14ac:dyDescent="0.25">
      <c r="A571">
        <v>2023</v>
      </c>
      <c r="B571" s="1">
        <v>45031</v>
      </c>
      <c r="C571">
        <v>1</v>
      </c>
      <c r="D571">
        <v>6653</v>
      </c>
      <c r="E571">
        <v>25000</v>
      </c>
      <c r="F571" t="s">
        <v>310</v>
      </c>
      <c r="G571" t="s">
        <v>55</v>
      </c>
      <c r="H571" t="s">
        <v>312</v>
      </c>
      <c r="I571" t="s">
        <v>57</v>
      </c>
      <c r="J571">
        <v>20</v>
      </c>
      <c r="K571">
        <v>1</v>
      </c>
      <c r="L571">
        <v>880</v>
      </c>
      <c r="M571">
        <v>3525</v>
      </c>
      <c r="N571" t="s">
        <v>356</v>
      </c>
      <c r="O571" t="s">
        <v>73</v>
      </c>
      <c r="P571">
        <v>0</v>
      </c>
      <c r="Q571">
        <v>3</v>
      </c>
      <c r="R571">
        <v>0</v>
      </c>
      <c r="S571">
        <v>0</v>
      </c>
      <c r="T571">
        <v>11</v>
      </c>
      <c r="U571">
        <v>1</v>
      </c>
      <c r="V571">
        <v>25</v>
      </c>
      <c r="W571">
        <v>9</v>
      </c>
      <c r="X571">
        <v>8</v>
      </c>
      <c r="Y571">
        <v>24</v>
      </c>
      <c r="Z571">
        <v>5</v>
      </c>
      <c r="AA571">
        <v>2</v>
      </c>
      <c r="AB571">
        <v>2</v>
      </c>
      <c r="AC571">
        <v>3</v>
      </c>
      <c r="AD571">
        <v>17</v>
      </c>
      <c r="AE571">
        <v>15</v>
      </c>
      <c r="AF571">
        <v>9</v>
      </c>
      <c r="AG571">
        <v>3</v>
      </c>
      <c r="AH571">
        <v>-3</v>
      </c>
      <c r="AI571">
        <v>0</v>
      </c>
    </row>
    <row r="572" spans="1:35" hidden="1" x14ac:dyDescent="0.25">
      <c r="A572">
        <v>2023</v>
      </c>
      <c r="B572" s="1">
        <v>45238</v>
      </c>
      <c r="C572">
        <v>33</v>
      </c>
      <c r="D572">
        <v>1943</v>
      </c>
      <c r="E572">
        <v>25000</v>
      </c>
      <c r="F572" t="s">
        <v>310</v>
      </c>
      <c r="G572" t="s">
        <v>321</v>
      </c>
      <c r="H572" t="s">
        <v>344</v>
      </c>
      <c r="I572" t="s">
        <v>322</v>
      </c>
      <c r="J572">
        <v>20</v>
      </c>
      <c r="K572">
        <v>19</v>
      </c>
      <c r="L572">
        <v>610</v>
      </c>
      <c r="M572">
        <v>1915</v>
      </c>
      <c r="N572" t="s">
        <v>92</v>
      </c>
      <c r="O572" t="s">
        <v>134</v>
      </c>
      <c r="P572">
        <v>0</v>
      </c>
      <c r="Q572">
        <v>3</v>
      </c>
      <c r="R572">
        <v>0</v>
      </c>
      <c r="S572">
        <v>2</v>
      </c>
      <c r="T572">
        <v>8</v>
      </c>
      <c r="U572">
        <v>4</v>
      </c>
      <c r="V572">
        <v>16</v>
      </c>
      <c r="W572">
        <v>13</v>
      </c>
      <c r="X572">
        <v>13</v>
      </c>
      <c r="Y572">
        <v>13</v>
      </c>
      <c r="Z572">
        <v>2</v>
      </c>
      <c r="AA572">
        <v>3</v>
      </c>
      <c r="AB572">
        <v>0</v>
      </c>
      <c r="AC572">
        <v>1</v>
      </c>
      <c r="AD572">
        <v>11</v>
      </c>
      <c r="AE572">
        <v>10</v>
      </c>
      <c r="AF572">
        <v>6</v>
      </c>
      <c r="AG572">
        <v>3</v>
      </c>
      <c r="AH572">
        <v>-3</v>
      </c>
      <c r="AI572">
        <v>0</v>
      </c>
    </row>
    <row r="573" spans="1:35" hidden="1" x14ac:dyDescent="0.25">
      <c r="A573">
        <v>2023</v>
      </c>
      <c r="B573" s="1">
        <v>45259</v>
      </c>
      <c r="C573">
        <v>36</v>
      </c>
      <c r="D573">
        <v>65305</v>
      </c>
      <c r="E573">
        <v>78838</v>
      </c>
      <c r="F573" t="s">
        <v>77</v>
      </c>
      <c r="G573" t="s">
        <v>89</v>
      </c>
      <c r="H573" t="s">
        <v>79</v>
      </c>
      <c r="I573" t="s">
        <v>336</v>
      </c>
      <c r="J573">
        <v>4</v>
      </c>
      <c r="K573">
        <v>3</v>
      </c>
      <c r="L573">
        <v>9950</v>
      </c>
      <c r="M573">
        <v>5070</v>
      </c>
      <c r="N573" t="s">
        <v>41</v>
      </c>
      <c r="O573" t="s">
        <v>111</v>
      </c>
      <c r="P573">
        <v>0</v>
      </c>
      <c r="Q573">
        <v>3</v>
      </c>
      <c r="R573">
        <v>0</v>
      </c>
      <c r="S573">
        <v>1</v>
      </c>
      <c r="T573">
        <v>10</v>
      </c>
      <c r="U573">
        <v>1</v>
      </c>
      <c r="V573">
        <v>12</v>
      </c>
      <c r="W573">
        <v>12</v>
      </c>
      <c r="X573">
        <v>12</v>
      </c>
      <c r="Y573">
        <v>12</v>
      </c>
      <c r="Z573">
        <v>3</v>
      </c>
      <c r="AA573">
        <v>4</v>
      </c>
      <c r="AB573">
        <v>0</v>
      </c>
      <c r="AC573">
        <v>3</v>
      </c>
      <c r="AD573">
        <v>19</v>
      </c>
      <c r="AE573">
        <v>11</v>
      </c>
      <c r="AF573">
        <v>10</v>
      </c>
      <c r="AG573">
        <v>3</v>
      </c>
      <c r="AH573">
        <v>-3</v>
      </c>
      <c r="AI573">
        <v>0</v>
      </c>
    </row>
    <row r="574" spans="1:35" hidden="1" x14ac:dyDescent="0.25">
      <c r="A574">
        <v>2023</v>
      </c>
      <c r="B574" s="1">
        <v>45259</v>
      </c>
      <c r="C574">
        <v>36</v>
      </c>
      <c r="D574">
        <v>20577</v>
      </c>
      <c r="E574">
        <v>24584</v>
      </c>
      <c r="F574" t="s">
        <v>82</v>
      </c>
      <c r="G574" t="s">
        <v>88</v>
      </c>
      <c r="H574" t="s">
        <v>84</v>
      </c>
      <c r="I574" t="s">
        <v>240</v>
      </c>
      <c r="J574">
        <v>16</v>
      </c>
      <c r="K574">
        <v>13</v>
      </c>
      <c r="L574">
        <v>2810</v>
      </c>
      <c r="M574">
        <v>3600</v>
      </c>
      <c r="N574" t="s">
        <v>86</v>
      </c>
      <c r="O574">
        <v>30</v>
      </c>
      <c r="P574">
        <v>2</v>
      </c>
      <c r="Q574">
        <v>4</v>
      </c>
      <c r="R574">
        <v>2</v>
      </c>
      <c r="S574">
        <v>2</v>
      </c>
      <c r="T574">
        <v>8</v>
      </c>
      <c r="U574">
        <v>3</v>
      </c>
      <c r="V574">
        <v>9</v>
      </c>
      <c r="W574">
        <v>5</v>
      </c>
      <c r="X574">
        <v>4</v>
      </c>
      <c r="Y574">
        <v>9</v>
      </c>
      <c r="Z574">
        <v>1</v>
      </c>
      <c r="AA574">
        <v>6</v>
      </c>
      <c r="AB574">
        <v>0</v>
      </c>
      <c r="AC574">
        <v>1</v>
      </c>
      <c r="AD574">
        <v>20</v>
      </c>
      <c r="AE574">
        <v>14</v>
      </c>
      <c r="AF574">
        <v>7</v>
      </c>
      <c r="AG574">
        <v>3</v>
      </c>
      <c r="AH574">
        <v>-2</v>
      </c>
      <c r="AI574">
        <v>0</v>
      </c>
    </row>
    <row r="575" spans="1:35" hidden="1" x14ac:dyDescent="0.25">
      <c r="A575">
        <v>2023</v>
      </c>
      <c r="B575" s="1">
        <v>45188</v>
      </c>
      <c r="C575">
        <v>15</v>
      </c>
      <c r="D575">
        <v>36076</v>
      </c>
      <c r="E575">
        <v>49205</v>
      </c>
      <c r="F575" t="s">
        <v>88</v>
      </c>
      <c r="G575" t="s">
        <v>83</v>
      </c>
      <c r="H575" t="s">
        <v>317</v>
      </c>
      <c r="I575" t="s">
        <v>319</v>
      </c>
      <c r="J575">
        <v>14</v>
      </c>
      <c r="K575">
        <v>3</v>
      </c>
      <c r="L575">
        <v>4630</v>
      </c>
      <c r="M575">
        <v>3620</v>
      </c>
      <c r="N575" t="s">
        <v>128</v>
      </c>
      <c r="O575" t="s">
        <v>200</v>
      </c>
      <c r="P575">
        <v>4</v>
      </c>
      <c r="Q575">
        <v>4</v>
      </c>
      <c r="R575">
        <v>3</v>
      </c>
      <c r="S575">
        <v>2</v>
      </c>
      <c r="T575">
        <v>6</v>
      </c>
      <c r="U575">
        <v>4</v>
      </c>
      <c r="V575">
        <v>17</v>
      </c>
      <c r="W575">
        <v>10</v>
      </c>
      <c r="X575">
        <v>10</v>
      </c>
      <c r="Y575">
        <v>17</v>
      </c>
      <c r="Z575">
        <v>3</v>
      </c>
      <c r="AA575">
        <v>4</v>
      </c>
      <c r="AB575">
        <v>1</v>
      </c>
      <c r="AC575">
        <v>1</v>
      </c>
      <c r="AD575">
        <v>23</v>
      </c>
      <c r="AE575">
        <v>16</v>
      </c>
      <c r="AF575">
        <v>9</v>
      </c>
      <c r="AG575">
        <v>6</v>
      </c>
      <c r="AH575">
        <v>0</v>
      </c>
      <c r="AI575">
        <v>0</v>
      </c>
    </row>
    <row r="576" spans="1:35" hidden="1" x14ac:dyDescent="0.25">
      <c r="A576">
        <v>2023</v>
      </c>
      <c r="B576" s="1">
        <v>45184</v>
      </c>
      <c r="C576">
        <v>23</v>
      </c>
      <c r="D576">
        <v>22961</v>
      </c>
      <c r="E576">
        <v>40502</v>
      </c>
      <c r="F576" t="s">
        <v>321</v>
      </c>
      <c r="G576" t="s">
        <v>38</v>
      </c>
      <c r="H576" t="s">
        <v>322</v>
      </c>
      <c r="I576" t="s">
        <v>40</v>
      </c>
      <c r="J576">
        <v>20</v>
      </c>
      <c r="K576">
        <v>15</v>
      </c>
      <c r="L576">
        <v>1085</v>
      </c>
      <c r="M576">
        <v>2435</v>
      </c>
      <c r="N576" t="s">
        <v>41</v>
      </c>
      <c r="O576" t="s">
        <v>66</v>
      </c>
      <c r="P576">
        <v>2</v>
      </c>
      <c r="Q576">
        <v>4</v>
      </c>
      <c r="R576">
        <v>1</v>
      </c>
      <c r="S576">
        <v>3</v>
      </c>
      <c r="T576">
        <v>7</v>
      </c>
      <c r="U576">
        <v>2</v>
      </c>
      <c r="V576">
        <v>14</v>
      </c>
      <c r="W576">
        <v>17</v>
      </c>
      <c r="X576">
        <v>16</v>
      </c>
      <c r="Y576">
        <v>14</v>
      </c>
      <c r="Z576">
        <v>5</v>
      </c>
      <c r="AA576">
        <v>4</v>
      </c>
      <c r="AB576">
        <v>5</v>
      </c>
      <c r="AC576">
        <v>1</v>
      </c>
      <c r="AD576">
        <v>15</v>
      </c>
      <c r="AE576">
        <v>18</v>
      </c>
      <c r="AF576">
        <v>8</v>
      </c>
      <c r="AG576">
        <v>7</v>
      </c>
      <c r="AH576">
        <v>-2</v>
      </c>
      <c r="AI576">
        <v>0</v>
      </c>
    </row>
    <row r="577" spans="1:35" hidden="1" x14ac:dyDescent="0.25">
      <c r="A577">
        <v>2023</v>
      </c>
      <c r="B577" s="1">
        <v>45232</v>
      </c>
      <c r="C577">
        <v>31</v>
      </c>
      <c r="D577">
        <v>34913</v>
      </c>
      <c r="E577">
        <v>46931</v>
      </c>
      <c r="F577" t="s">
        <v>51</v>
      </c>
      <c r="G577" t="s">
        <v>95</v>
      </c>
      <c r="H577" t="s">
        <v>320</v>
      </c>
      <c r="I577" t="s">
        <v>97</v>
      </c>
      <c r="J577">
        <v>1</v>
      </c>
      <c r="K577">
        <v>2</v>
      </c>
      <c r="L577">
        <v>2580</v>
      </c>
      <c r="M577">
        <v>8300</v>
      </c>
      <c r="N577" t="s">
        <v>109</v>
      </c>
      <c r="O577" t="s">
        <v>135</v>
      </c>
      <c r="P577">
        <v>3</v>
      </c>
      <c r="Q577">
        <v>4</v>
      </c>
      <c r="R577">
        <v>3</v>
      </c>
      <c r="S577">
        <v>0</v>
      </c>
      <c r="T577">
        <v>2</v>
      </c>
      <c r="U577">
        <v>6</v>
      </c>
      <c r="V577">
        <v>12</v>
      </c>
      <c r="W577">
        <v>13</v>
      </c>
      <c r="X577">
        <v>13</v>
      </c>
      <c r="Y577">
        <v>10</v>
      </c>
      <c r="Z577">
        <v>2</v>
      </c>
      <c r="AA577">
        <v>5</v>
      </c>
      <c r="AB577">
        <v>0</v>
      </c>
      <c r="AC577">
        <v>3</v>
      </c>
      <c r="AD577">
        <v>18</v>
      </c>
      <c r="AE577">
        <v>15</v>
      </c>
      <c r="AF577">
        <v>7</v>
      </c>
      <c r="AG577">
        <v>5</v>
      </c>
      <c r="AH577">
        <v>-1</v>
      </c>
      <c r="AI577">
        <v>0</v>
      </c>
    </row>
    <row r="578" spans="1:35" hidden="1" x14ac:dyDescent="0.25">
      <c r="A578">
        <v>2023</v>
      </c>
      <c r="B578" s="1">
        <v>45240</v>
      </c>
      <c r="C578">
        <v>33</v>
      </c>
      <c r="D578">
        <v>17708</v>
      </c>
      <c r="E578">
        <v>24931</v>
      </c>
      <c r="F578" t="s">
        <v>51</v>
      </c>
      <c r="G578" t="s">
        <v>83</v>
      </c>
      <c r="H578" t="s">
        <v>320</v>
      </c>
      <c r="I578" t="s">
        <v>319</v>
      </c>
      <c r="J578">
        <v>1</v>
      </c>
      <c r="K578">
        <v>2</v>
      </c>
      <c r="L578">
        <v>2530</v>
      </c>
      <c r="M578">
        <v>2500</v>
      </c>
      <c r="N578" t="s">
        <v>105</v>
      </c>
      <c r="O578" t="s">
        <v>128</v>
      </c>
      <c r="P578">
        <v>3</v>
      </c>
      <c r="Q578">
        <v>4</v>
      </c>
      <c r="R578">
        <v>2</v>
      </c>
      <c r="S578">
        <v>1</v>
      </c>
      <c r="T578">
        <v>2</v>
      </c>
      <c r="U578">
        <v>6</v>
      </c>
      <c r="V578">
        <v>8</v>
      </c>
      <c r="W578">
        <v>17</v>
      </c>
      <c r="X578">
        <v>17</v>
      </c>
      <c r="Y578">
        <v>8</v>
      </c>
      <c r="Z578">
        <v>2</v>
      </c>
      <c r="AA578">
        <v>2</v>
      </c>
      <c r="AB578">
        <v>0</v>
      </c>
      <c r="AC578">
        <v>0</v>
      </c>
      <c r="AD578">
        <v>12</v>
      </c>
      <c r="AE578">
        <v>13</v>
      </c>
      <c r="AF578">
        <v>4</v>
      </c>
      <c r="AG578">
        <v>4</v>
      </c>
      <c r="AH578">
        <v>-1</v>
      </c>
      <c r="AI578">
        <v>0</v>
      </c>
    </row>
    <row r="579" spans="1:35" hidden="1" x14ac:dyDescent="0.25">
      <c r="A579">
        <v>2023</v>
      </c>
      <c r="B579" s="1">
        <v>45083</v>
      </c>
      <c r="C579">
        <v>9</v>
      </c>
      <c r="D579">
        <v>46423</v>
      </c>
      <c r="E579">
        <v>82584</v>
      </c>
      <c r="F579" t="s">
        <v>82</v>
      </c>
      <c r="G579" t="s">
        <v>77</v>
      </c>
      <c r="H579" t="s">
        <v>341</v>
      </c>
      <c r="I579" t="s">
        <v>329</v>
      </c>
      <c r="J579">
        <v>19</v>
      </c>
      <c r="K579">
        <v>5</v>
      </c>
      <c r="L579">
        <v>3760</v>
      </c>
      <c r="M579">
        <v>8470</v>
      </c>
      <c r="N579" t="s">
        <v>80</v>
      </c>
      <c r="O579" t="s">
        <v>99</v>
      </c>
      <c r="P579">
        <v>1</v>
      </c>
      <c r="Q579">
        <v>4</v>
      </c>
      <c r="R579">
        <v>0</v>
      </c>
      <c r="S579">
        <v>4</v>
      </c>
      <c r="T579">
        <v>4</v>
      </c>
      <c r="U579">
        <v>0</v>
      </c>
      <c r="V579">
        <v>13</v>
      </c>
      <c r="W579">
        <v>18</v>
      </c>
      <c r="X579">
        <v>18</v>
      </c>
      <c r="Y579">
        <v>13</v>
      </c>
      <c r="Z579">
        <v>1</v>
      </c>
      <c r="AA579">
        <v>4</v>
      </c>
      <c r="AB579">
        <v>2</v>
      </c>
      <c r="AC579">
        <v>0</v>
      </c>
      <c r="AD579">
        <v>13</v>
      </c>
      <c r="AE579">
        <v>10</v>
      </c>
      <c r="AF579">
        <v>7</v>
      </c>
      <c r="AG579">
        <v>4</v>
      </c>
      <c r="AH579">
        <v>-3</v>
      </c>
      <c r="AI579">
        <v>0</v>
      </c>
    </row>
    <row r="580" spans="1:35" hidden="1" x14ac:dyDescent="0.25">
      <c r="A580">
        <v>2023</v>
      </c>
      <c r="B580" s="1">
        <v>45228</v>
      </c>
      <c r="C580">
        <v>30</v>
      </c>
      <c r="D580">
        <v>36272</v>
      </c>
      <c r="E580">
        <v>50848</v>
      </c>
      <c r="F580" t="s">
        <v>37</v>
      </c>
      <c r="G580" t="s">
        <v>321</v>
      </c>
      <c r="H580" t="s">
        <v>39</v>
      </c>
      <c r="I580" t="s">
        <v>322</v>
      </c>
      <c r="J580">
        <v>13</v>
      </c>
      <c r="K580">
        <v>19</v>
      </c>
      <c r="L580">
        <v>4460</v>
      </c>
      <c r="M580">
        <v>1685</v>
      </c>
      <c r="N580" t="s">
        <v>134</v>
      </c>
      <c r="O580" t="s">
        <v>98</v>
      </c>
      <c r="P580">
        <v>3</v>
      </c>
      <c r="Q580">
        <v>4</v>
      </c>
      <c r="R580">
        <v>1</v>
      </c>
      <c r="S580">
        <v>2</v>
      </c>
      <c r="T580">
        <v>5</v>
      </c>
      <c r="U580">
        <v>1</v>
      </c>
      <c r="V580">
        <v>13</v>
      </c>
      <c r="W580">
        <v>18</v>
      </c>
      <c r="X580">
        <v>17</v>
      </c>
      <c r="Y580">
        <v>11</v>
      </c>
      <c r="Z580">
        <v>2</v>
      </c>
      <c r="AA580">
        <v>7</v>
      </c>
      <c r="AB580">
        <v>0</v>
      </c>
      <c r="AC580">
        <v>1</v>
      </c>
      <c r="AD580">
        <v>18</v>
      </c>
      <c r="AE580">
        <v>12</v>
      </c>
      <c r="AF580">
        <v>5</v>
      </c>
      <c r="AG580">
        <v>4</v>
      </c>
      <c r="AH580">
        <v>-1</v>
      </c>
      <c r="AI580">
        <v>0</v>
      </c>
    </row>
    <row r="581" spans="1:35" hidden="1" x14ac:dyDescent="0.25">
      <c r="A581">
        <v>2023</v>
      </c>
      <c r="B581" s="1">
        <v>45060</v>
      </c>
      <c r="C581">
        <v>6</v>
      </c>
      <c r="D581">
        <v>4295</v>
      </c>
      <c r="E581">
        <v>25000</v>
      </c>
      <c r="F581" t="s">
        <v>310</v>
      </c>
      <c r="G581" t="s">
        <v>50</v>
      </c>
      <c r="H581" t="s">
        <v>312</v>
      </c>
      <c r="I581" t="s">
        <v>335</v>
      </c>
      <c r="J581">
        <v>20</v>
      </c>
      <c r="K581">
        <v>4</v>
      </c>
      <c r="L581">
        <v>845</v>
      </c>
      <c r="M581">
        <v>1710</v>
      </c>
      <c r="N581" t="s">
        <v>138</v>
      </c>
      <c r="O581" t="s">
        <v>123</v>
      </c>
      <c r="P581">
        <v>0</v>
      </c>
      <c r="Q581">
        <v>4</v>
      </c>
      <c r="R581">
        <v>0</v>
      </c>
      <c r="S581">
        <v>1</v>
      </c>
      <c r="T581">
        <v>5</v>
      </c>
      <c r="U581">
        <v>6</v>
      </c>
      <c r="V581">
        <v>10</v>
      </c>
      <c r="W581">
        <v>17</v>
      </c>
      <c r="X581">
        <v>16</v>
      </c>
      <c r="Y581">
        <v>10</v>
      </c>
      <c r="Z581">
        <v>4</v>
      </c>
      <c r="AA581">
        <v>2</v>
      </c>
      <c r="AB581">
        <v>5</v>
      </c>
      <c r="AC581">
        <v>3</v>
      </c>
      <c r="AD581">
        <v>15</v>
      </c>
      <c r="AE581">
        <v>16</v>
      </c>
      <c r="AF581">
        <v>10</v>
      </c>
      <c r="AG581">
        <v>6</v>
      </c>
      <c r="AH581">
        <v>-4</v>
      </c>
      <c r="AI581">
        <v>0</v>
      </c>
    </row>
    <row r="582" spans="1:35" hidden="1" x14ac:dyDescent="0.25">
      <c r="A582">
        <v>2023</v>
      </c>
      <c r="B582" s="1">
        <v>45137</v>
      </c>
      <c r="C582">
        <v>17</v>
      </c>
      <c r="D582">
        <v>5928</v>
      </c>
      <c r="E582">
        <v>25000</v>
      </c>
      <c r="F582" t="s">
        <v>310</v>
      </c>
      <c r="G582" t="s">
        <v>95</v>
      </c>
      <c r="H582" t="s">
        <v>312</v>
      </c>
      <c r="I582" t="s">
        <v>97</v>
      </c>
      <c r="J582">
        <v>20</v>
      </c>
      <c r="K582">
        <v>4</v>
      </c>
      <c r="L582">
        <v>1200</v>
      </c>
      <c r="M582">
        <v>8750</v>
      </c>
      <c r="N582" t="s">
        <v>134</v>
      </c>
      <c r="O582" t="s">
        <v>41</v>
      </c>
      <c r="P582">
        <v>1</v>
      </c>
      <c r="Q582">
        <v>4</v>
      </c>
      <c r="R582">
        <v>1</v>
      </c>
      <c r="S582">
        <v>2</v>
      </c>
      <c r="T582">
        <v>5</v>
      </c>
      <c r="U582">
        <v>4</v>
      </c>
      <c r="V582">
        <v>13</v>
      </c>
      <c r="W582">
        <v>12</v>
      </c>
      <c r="X582">
        <v>10</v>
      </c>
      <c r="Y582">
        <v>12</v>
      </c>
      <c r="Z582">
        <v>3</v>
      </c>
      <c r="AA582">
        <v>6</v>
      </c>
      <c r="AB582">
        <v>1</v>
      </c>
      <c r="AC582">
        <v>7</v>
      </c>
      <c r="AD582">
        <v>15</v>
      </c>
      <c r="AE582">
        <v>14</v>
      </c>
      <c r="AF582">
        <v>4</v>
      </c>
      <c r="AG582">
        <v>2</v>
      </c>
      <c r="AH582">
        <v>-3</v>
      </c>
      <c r="AI582">
        <v>0</v>
      </c>
    </row>
    <row r="583" spans="1:35" hidden="1" x14ac:dyDescent="0.25">
      <c r="A583">
        <v>2023</v>
      </c>
      <c r="B583" s="1">
        <v>45228</v>
      </c>
      <c r="C583">
        <v>30</v>
      </c>
      <c r="D583">
        <v>3008</v>
      </c>
      <c r="E583">
        <v>25000</v>
      </c>
      <c r="F583" t="s">
        <v>310</v>
      </c>
      <c r="G583" t="s">
        <v>83</v>
      </c>
      <c r="H583" t="s">
        <v>344</v>
      </c>
      <c r="I583" t="s">
        <v>319</v>
      </c>
      <c r="J583">
        <v>20</v>
      </c>
      <c r="K583">
        <v>5</v>
      </c>
      <c r="L583">
        <v>805</v>
      </c>
      <c r="M583">
        <v>2750</v>
      </c>
      <c r="N583">
        <v>30</v>
      </c>
      <c r="O583" t="s">
        <v>129</v>
      </c>
      <c r="P583">
        <v>3</v>
      </c>
      <c r="Q583">
        <v>4</v>
      </c>
      <c r="R583">
        <v>2</v>
      </c>
      <c r="S583">
        <v>2</v>
      </c>
      <c r="T583">
        <v>5</v>
      </c>
      <c r="U583">
        <v>7</v>
      </c>
      <c r="V583">
        <v>11</v>
      </c>
      <c r="W583">
        <v>5</v>
      </c>
      <c r="X583">
        <v>5</v>
      </c>
      <c r="Y583">
        <v>11</v>
      </c>
      <c r="Z583">
        <v>7</v>
      </c>
      <c r="AA583">
        <v>3</v>
      </c>
      <c r="AB583">
        <v>1</v>
      </c>
      <c r="AC583">
        <v>1</v>
      </c>
      <c r="AD583">
        <v>15</v>
      </c>
      <c r="AE583">
        <v>17</v>
      </c>
      <c r="AF583">
        <v>8</v>
      </c>
      <c r="AG583">
        <v>4</v>
      </c>
      <c r="AH583">
        <v>-1</v>
      </c>
      <c r="AI583">
        <v>0</v>
      </c>
    </row>
    <row r="584" spans="1:35" hidden="1" x14ac:dyDescent="0.25">
      <c r="A584">
        <v>2023</v>
      </c>
      <c r="B584" s="1">
        <v>45057</v>
      </c>
      <c r="C584">
        <v>5</v>
      </c>
      <c r="D584">
        <v>12029</v>
      </c>
      <c r="E584">
        <v>42968</v>
      </c>
      <c r="F584" t="s">
        <v>70</v>
      </c>
      <c r="G584" t="s">
        <v>89</v>
      </c>
      <c r="H584" t="s">
        <v>347</v>
      </c>
      <c r="I584" t="s">
        <v>39</v>
      </c>
      <c r="J584">
        <v>17</v>
      </c>
      <c r="K584">
        <v>8</v>
      </c>
      <c r="L584">
        <v>755</v>
      </c>
      <c r="M584">
        <v>4010</v>
      </c>
      <c r="N584" t="s">
        <v>137</v>
      </c>
      <c r="O584" t="s">
        <v>200</v>
      </c>
      <c r="P584">
        <v>0</v>
      </c>
      <c r="Q584">
        <v>4</v>
      </c>
      <c r="R584">
        <v>0</v>
      </c>
      <c r="S584">
        <v>1</v>
      </c>
      <c r="T584">
        <v>6</v>
      </c>
      <c r="U584">
        <v>1</v>
      </c>
      <c r="V584">
        <v>12</v>
      </c>
      <c r="W584">
        <v>17</v>
      </c>
      <c r="X584">
        <v>17</v>
      </c>
      <c r="Y584">
        <v>11</v>
      </c>
      <c r="Z584">
        <v>3</v>
      </c>
      <c r="AA584">
        <v>1</v>
      </c>
      <c r="AB584">
        <v>0</v>
      </c>
      <c r="AC584">
        <v>1</v>
      </c>
      <c r="AD584">
        <v>7</v>
      </c>
      <c r="AE584">
        <v>8</v>
      </c>
      <c r="AF584">
        <v>5</v>
      </c>
      <c r="AG584">
        <v>1</v>
      </c>
      <c r="AH584">
        <v>-4</v>
      </c>
      <c r="AI584">
        <v>0</v>
      </c>
    </row>
    <row r="585" spans="1:35" hidden="1" x14ac:dyDescent="0.25">
      <c r="A585">
        <v>2023</v>
      </c>
      <c r="B585" s="1">
        <v>45255</v>
      </c>
      <c r="C585">
        <v>35</v>
      </c>
      <c r="D585">
        <v>39403</v>
      </c>
      <c r="E585">
        <v>49205</v>
      </c>
      <c r="F585" t="s">
        <v>88</v>
      </c>
      <c r="G585" t="s">
        <v>38</v>
      </c>
      <c r="H585" t="s">
        <v>240</v>
      </c>
      <c r="I585" t="s">
        <v>40</v>
      </c>
      <c r="J585">
        <v>14</v>
      </c>
      <c r="K585">
        <v>17</v>
      </c>
      <c r="L585">
        <v>3550</v>
      </c>
      <c r="M585">
        <v>2805</v>
      </c>
      <c r="N585" t="s">
        <v>357</v>
      </c>
      <c r="O585" t="s">
        <v>41</v>
      </c>
      <c r="P585">
        <v>1</v>
      </c>
      <c r="Q585">
        <v>5</v>
      </c>
      <c r="R585">
        <v>0</v>
      </c>
      <c r="S585">
        <v>3</v>
      </c>
      <c r="T585">
        <v>3</v>
      </c>
      <c r="U585">
        <v>3</v>
      </c>
      <c r="V585">
        <v>9</v>
      </c>
      <c r="W585">
        <v>14</v>
      </c>
      <c r="X585">
        <v>14</v>
      </c>
      <c r="Y585">
        <v>8</v>
      </c>
      <c r="Z585">
        <v>2</v>
      </c>
      <c r="AA585">
        <v>3</v>
      </c>
      <c r="AB585">
        <v>1</v>
      </c>
      <c r="AC585">
        <v>1</v>
      </c>
      <c r="AD585">
        <v>14</v>
      </c>
      <c r="AE585">
        <v>13</v>
      </c>
      <c r="AF585">
        <v>9</v>
      </c>
      <c r="AG585">
        <v>4</v>
      </c>
      <c r="AH585">
        <v>-4</v>
      </c>
      <c r="AI585">
        <v>0</v>
      </c>
    </row>
    <row r="586" spans="1:35" hidden="1" x14ac:dyDescent="0.25">
      <c r="A586">
        <v>2023</v>
      </c>
      <c r="B586" s="1">
        <v>45053</v>
      </c>
      <c r="C586">
        <v>4</v>
      </c>
      <c r="D586">
        <v>13789</v>
      </c>
      <c r="E586">
        <v>14525</v>
      </c>
      <c r="F586" t="s">
        <v>313</v>
      </c>
      <c r="G586" t="s">
        <v>95</v>
      </c>
      <c r="H586" t="s">
        <v>337</v>
      </c>
      <c r="I586" t="s">
        <v>97</v>
      </c>
      <c r="J586">
        <v>18</v>
      </c>
      <c r="K586">
        <v>2</v>
      </c>
      <c r="L586">
        <v>1070</v>
      </c>
      <c r="M586">
        <v>8350</v>
      </c>
      <c r="N586" t="s">
        <v>137</v>
      </c>
      <c r="O586" t="s">
        <v>100</v>
      </c>
      <c r="P586">
        <v>0</v>
      </c>
      <c r="Q586">
        <v>5</v>
      </c>
      <c r="R586">
        <v>0</v>
      </c>
      <c r="S586">
        <v>1</v>
      </c>
      <c r="T586">
        <v>4</v>
      </c>
      <c r="U586">
        <v>6</v>
      </c>
      <c r="V586">
        <v>13</v>
      </c>
      <c r="W586">
        <v>29</v>
      </c>
      <c r="X586">
        <v>29</v>
      </c>
      <c r="Y586">
        <v>13</v>
      </c>
      <c r="Z586">
        <v>3</v>
      </c>
      <c r="AA586">
        <v>4</v>
      </c>
      <c r="AB586">
        <v>1</v>
      </c>
      <c r="AC586">
        <v>1</v>
      </c>
      <c r="AD586">
        <v>15</v>
      </c>
      <c r="AE586">
        <v>16</v>
      </c>
      <c r="AF586">
        <v>7</v>
      </c>
      <c r="AG586">
        <v>5</v>
      </c>
      <c r="AH586">
        <v>-5</v>
      </c>
      <c r="AI586">
        <v>0</v>
      </c>
    </row>
    <row r="587" spans="1:35" hidden="1" x14ac:dyDescent="0.25">
      <c r="A587">
        <v>2023</v>
      </c>
      <c r="B587" s="1">
        <v>45206</v>
      </c>
      <c r="C587">
        <v>26</v>
      </c>
      <c r="D587">
        <v>9001</v>
      </c>
      <c r="E587">
        <v>14525</v>
      </c>
      <c r="F587" t="s">
        <v>313</v>
      </c>
      <c r="G587" t="s">
        <v>38</v>
      </c>
      <c r="H587" t="s">
        <v>314</v>
      </c>
      <c r="I587" t="s">
        <v>40</v>
      </c>
      <c r="J587">
        <v>18</v>
      </c>
      <c r="K587">
        <v>16</v>
      </c>
      <c r="L587">
        <v>1048</v>
      </c>
      <c r="M587">
        <v>2105</v>
      </c>
      <c r="N587" t="s">
        <v>66</v>
      </c>
      <c r="O587" t="s">
        <v>100</v>
      </c>
      <c r="P587">
        <v>4</v>
      </c>
      <c r="Q587">
        <v>6</v>
      </c>
      <c r="R587">
        <v>3</v>
      </c>
      <c r="S587">
        <v>3</v>
      </c>
      <c r="T587">
        <v>6</v>
      </c>
      <c r="U587">
        <v>4</v>
      </c>
      <c r="V587">
        <v>8</v>
      </c>
      <c r="W587">
        <v>6</v>
      </c>
      <c r="X587">
        <v>6</v>
      </c>
      <c r="Y587">
        <v>6</v>
      </c>
      <c r="Z587">
        <v>3</v>
      </c>
      <c r="AA587">
        <v>2</v>
      </c>
      <c r="AB587">
        <v>2</v>
      </c>
      <c r="AC587">
        <v>1</v>
      </c>
      <c r="AD587">
        <v>22</v>
      </c>
      <c r="AE587">
        <v>13</v>
      </c>
      <c r="AF587">
        <v>10</v>
      </c>
      <c r="AG587">
        <v>4</v>
      </c>
      <c r="AH587">
        <v>-2</v>
      </c>
      <c r="AI587">
        <v>0</v>
      </c>
    </row>
    <row r="588" spans="1:35" hidden="1" x14ac:dyDescent="0.25">
      <c r="A588">
        <v>2022</v>
      </c>
      <c r="B588" s="1">
        <v>44667</v>
      </c>
      <c r="C588">
        <v>2</v>
      </c>
      <c r="D588">
        <v>12864</v>
      </c>
      <c r="E588">
        <v>14525</v>
      </c>
      <c r="F588" t="s">
        <v>313</v>
      </c>
      <c r="G588" t="s">
        <v>95</v>
      </c>
      <c r="H588" t="s">
        <v>78</v>
      </c>
      <c r="I588" t="s">
        <v>97</v>
      </c>
      <c r="J588">
        <v>19</v>
      </c>
      <c r="K588">
        <v>14</v>
      </c>
      <c r="L588">
        <v>8950000</v>
      </c>
      <c r="M588">
        <v>86000000</v>
      </c>
      <c r="N588" t="s">
        <v>66</v>
      </c>
      <c r="O588" t="s">
        <v>151</v>
      </c>
      <c r="P588">
        <v>1</v>
      </c>
      <c r="Q588">
        <v>1</v>
      </c>
      <c r="R588">
        <v>0</v>
      </c>
      <c r="S588">
        <v>0</v>
      </c>
      <c r="T588">
        <v>2</v>
      </c>
      <c r="U588">
        <v>6</v>
      </c>
      <c r="V588">
        <v>16</v>
      </c>
      <c r="W588">
        <v>7</v>
      </c>
      <c r="X588">
        <v>6</v>
      </c>
      <c r="Y588">
        <v>13</v>
      </c>
      <c r="Z588">
        <v>5</v>
      </c>
      <c r="AA588">
        <v>5</v>
      </c>
      <c r="AB588">
        <v>0</v>
      </c>
      <c r="AC588">
        <v>2</v>
      </c>
      <c r="AD588">
        <v>9</v>
      </c>
      <c r="AE588">
        <v>22</v>
      </c>
      <c r="AF588">
        <v>2</v>
      </c>
      <c r="AG588">
        <v>11</v>
      </c>
      <c r="AH588">
        <v>0</v>
      </c>
      <c r="AI588">
        <v>0</v>
      </c>
    </row>
    <row r="589" spans="1:35" hidden="1" x14ac:dyDescent="0.25">
      <c r="A589">
        <v>2022</v>
      </c>
      <c r="B589" s="1">
        <v>44697</v>
      </c>
      <c r="C589">
        <v>6</v>
      </c>
      <c r="D589">
        <v>9538</v>
      </c>
      <c r="E589">
        <v>14525</v>
      </c>
      <c r="F589" t="s">
        <v>313</v>
      </c>
      <c r="G589" t="s">
        <v>326</v>
      </c>
      <c r="H589" t="s">
        <v>78</v>
      </c>
      <c r="I589" t="s">
        <v>344</v>
      </c>
      <c r="J589">
        <v>17</v>
      </c>
      <c r="K589">
        <v>2</v>
      </c>
      <c r="L589">
        <v>6950000</v>
      </c>
      <c r="M589">
        <v>25900000</v>
      </c>
      <c r="N589" t="s">
        <v>168</v>
      </c>
      <c r="O589" t="s">
        <v>99</v>
      </c>
      <c r="P589">
        <v>1</v>
      </c>
      <c r="Q589">
        <v>0</v>
      </c>
      <c r="R589">
        <v>1</v>
      </c>
      <c r="S589">
        <v>0</v>
      </c>
      <c r="T589">
        <v>5</v>
      </c>
      <c r="U589">
        <v>9</v>
      </c>
      <c r="V589">
        <v>14</v>
      </c>
      <c r="W589">
        <v>11</v>
      </c>
      <c r="X589">
        <v>11</v>
      </c>
      <c r="Y589">
        <v>12</v>
      </c>
      <c r="Z589">
        <v>4</v>
      </c>
      <c r="AA589">
        <v>4</v>
      </c>
      <c r="AB589">
        <v>0</v>
      </c>
      <c r="AC589">
        <v>2</v>
      </c>
      <c r="AD589">
        <v>10</v>
      </c>
      <c r="AE589">
        <v>16</v>
      </c>
      <c r="AF589">
        <v>3</v>
      </c>
      <c r="AG589">
        <v>9</v>
      </c>
      <c r="AH589">
        <v>1</v>
      </c>
      <c r="AI589">
        <v>1</v>
      </c>
    </row>
    <row r="590" spans="1:35" hidden="1" x14ac:dyDescent="0.25">
      <c r="A590">
        <v>2022</v>
      </c>
      <c r="B590" s="1">
        <v>44738</v>
      </c>
      <c r="C590">
        <v>14</v>
      </c>
      <c r="D590">
        <v>8871</v>
      </c>
      <c r="E590">
        <v>14525</v>
      </c>
      <c r="F590" t="s">
        <v>313</v>
      </c>
      <c r="G590" t="s">
        <v>70</v>
      </c>
      <c r="H590" t="s">
        <v>78</v>
      </c>
      <c r="I590" t="s">
        <v>90</v>
      </c>
      <c r="J590">
        <v>17</v>
      </c>
      <c r="K590">
        <v>18</v>
      </c>
      <c r="L590">
        <v>8150000</v>
      </c>
      <c r="M590">
        <v>9800000</v>
      </c>
      <c r="N590" t="s">
        <v>233</v>
      </c>
      <c r="O590" t="s">
        <v>92</v>
      </c>
      <c r="P590">
        <v>1</v>
      </c>
      <c r="Q590">
        <v>0</v>
      </c>
      <c r="R590">
        <v>0</v>
      </c>
      <c r="S590">
        <v>0</v>
      </c>
      <c r="T590">
        <v>4</v>
      </c>
      <c r="U590">
        <v>6</v>
      </c>
      <c r="V590">
        <v>14</v>
      </c>
      <c r="W590">
        <v>16</v>
      </c>
      <c r="X590">
        <v>14</v>
      </c>
      <c r="Y590">
        <v>14</v>
      </c>
      <c r="Z590">
        <v>2</v>
      </c>
      <c r="AA590">
        <v>4</v>
      </c>
      <c r="AB590">
        <v>2</v>
      </c>
      <c r="AC590">
        <v>0</v>
      </c>
      <c r="AD590">
        <v>15</v>
      </c>
      <c r="AE590">
        <v>13</v>
      </c>
      <c r="AF590">
        <v>8</v>
      </c>
      <c r="AG590">
        <v>7</v>
      </c>
      <c r="AH590">
        <v>1</v>
      </c>
      <c r="AI590">
        <v>1</v>
      </c>
    </row>
    <row r="591" spans="1:35" hidden="1" x14ac:dyDescent="0.25">
      <c r="A591">
        <v>2022</v>
      </c>
      <c r="B591" s="1">
        <v>44752</v>
      </c>
      <c r="C591">
        <v>16</v>
      </c>
      <c r="D591">
        <v>9044</v>
      </c>
      <c r="E591">
        <v>14525</v>
      </c>
      <c r="F591" t="s">
        <v>313</v>
      </c>
      <c r="G591" t="s">
        <v>69</v>
      </c>
      <c r="H591" t="s">
        <v>78</v>
      </c>
      <c r="I591" t="s">
        <v>336</v>
      </c>
      <c r="J591">
        <v>17</v>
      </c>
      <c r="K591">
        <v>2</v>
      </c>
      <c r="L591">
        <v>7700000</v>
      </c>
      <c r="M591">
        <v>21350000</v>
      </c>
      <c r="N591" t="s">
        <v>168</v>
      </c>
      <c r="O591" t="s">
        <v>348</v>
      </c>
      <c r="P591">
        <v>2</v>
      </c>
      <c r="Q591">
        <v>1</v>
      </c>
      <c r="R591">
        <v>2</v>
      </c>
      <c r="S591">
        <v>0</v>
      </c>
      <c r="T591">
        <v>2</v>
      </c>
      <c r="U591">
        <v>2</v>
      </c>
      <c r="V591">
        <v>15</v>
      </c>
      <c r="W591">
        <v>10</v>
      </c>
      <c r="X591">
        <v>10</v>
      </c>
      <c r="Y591">
        <v>14</v>
      </c>
      <c r="Z591">
        <v>3</v>
      </c>
      <c r="AA591">
        <v>1</v>
      </c>
      <c r="AB591">
        <v>0</v>
      </c>
      <c r="AC591">
        <v>3</v>
      </c>
      <c r="AD591">
        <v>11</v>
      </c>
      <c r="AE591">
        <v>20</v>
      </c>
      <c r="AF591">
        <v>6</v>
      </c>
      <c r="AG591">
        <v>10</v>
      </c>
      <c r="AH591">
        <v>1</v>
      </c>
      <c r="AI591">
        <v>1</v>
      </c>
    </row>
    <row r="592" spans="1:35" hidden="1" x14ac:dyDescent="0.25">
      <c r="A592">
        <v>2022</v>
      </c>
      <c r="B592" s="1">
        <v>44772</v>
      </c>
      <c r="C592">
        <v>20</v>
      </c>
      <c r="D592">
        <v>11267</v>
      </c>
      <c r="E592">
        <v>14525</v>
      </c>
      <c r="F592" t="s">
        <v>313</v>
      </c>
      <c r="G592" t="s">
        <v>321</v>
      </c>
      <c r="H592" t="s">
        <v>78</v>
      </c>
      <c r="I592" t="s">
        <v>358</v>
      </c>
      <c r="J592">
        <v>14</v>
      </c>
      <c r="K592">
        <v>13</v>
      </c>
      <c r="L592">
        <v>10000000</v>
      </c>
      <c r="M592">
        <v>8200000</v>
      </c>
      <c r="N592">
        <v>27</v>
      </c>
      <c r="O592" t="s">
        <v>92</v>
      </c>
      <c r="P592">
        <v>1</v>
      </c>
      <c r="Q592">
        <v>0</v>
      </c>
      <c r="R592">
        <v>0</v>
      </c>
      <c r="S592">
        <v>0</v>
      </c>
      <c r="T592">
        <v>3</v>
      </c>
      <c r="U592">
        <v>7</v>
      </c>
      <c r="V592">
        <v>18</v>
      </c>
      <c r="W592">
        <v>11</v>
      </c>
      <c r="X592">
        <v>11</v>
      </c>
      <c r="Y592">
        <v>18</v>
      </c>
      <c r="Z592">
        <v>3</v>
      </c>
      <c r="AA592">
        <v>3</v>
      </c>
      <c r="AB592">
        <v>1</v>
      </c>
      <c r="AC592">
        <v>3</v>
      </c>
      <c r="AD592">
        <v>18</v>
      </c>
      <c r="AE592">
        <v>20</v>
      </c>
      <c r="AF592">
        <v>10</v>
      </c>
      <c r="AG592">
        <v>10</v>
      </c>
      <c r="AH592">
        <v>1</v>
      </c>
      <c r="AI592">
        <v>1</v>
      </c>
    </row>
    <row r="593" spans="1:35" hidden="1" x14ac:dyDescent="0.25">
      <c r="A593">
        <v>2022</v>
      </c>
      <c r="B593" s="1">
        <v>44800</v>
      </c>
      <c r="C593">
        <v>24</v>
      </c>
      <c r="D593">
        <v>13411</v>
      </c>
      <c r="E593">
        <v>14525</v>
      </c>
      <c r="F593" t="s">
        <v>313</v>
      </c>
      <c r="G593" t="s">
        <v>76</v>
      </c>
      <c r="J593">
        <v>11</v>
      </c>
      <c r="K593">
        <v>19</v>
      </c>
      <c r="L593">
        <v>9680000</v>
      </c>
      <c r="M593">
        <v>7450000</v>
      </c>
      <c r="N593">
        <v>28</v>
      </c>
      <c r="O593" t="s">
        <v>66</v>
      </c>
      <c r="P593">
        <v>2</v>
      </c>
      <c r="Q593">
        <v>1</v>
      </c>
      <c r="R593">
        <v>1</v>
      </c>
      <c r="S593">
        <v>0</v>
      </c>
      <c r="T593">
        <v>3</v>
      </c>
      <c r="U593">
        <v>3</v>
      </c>
      <c r="V593">
        <v>14</v>
      </c>
      <c r="W593">
        <v>9</v>
      </c>
      <c r="X593">
        <v>9</v>
      </c>
      <c r="Y593">
        <v>13</v>
      </c>
      <c r="Z593">
        <v>1</v>
      </c>
      <c r="AA593">
        <v>4</v>
      </c>
      <c r="AB593">
        <v>1</v>
      </c>
      <c r="AC593">
        <v>1</v>
      </c>
      <c r="AD593">
        <v>15</v>
      </c>
      <c r="AE593">
        <v>10</v>
      </c>
      <c r="AF593">
        <v>6</v>
      </c>
      <c r="AG593">
        <v>5</v>
      </c>
      <c r="AH593">
        <v>1</v>
      </c>
      <c r="AI593">
        <v>1</v>
      </c>
    </row>
    <row r="594" spans="1:35" hidden="1" x14ac:dyDescent="0.25">
      <c r="A594">
        <v>2022</v>
      </c>
      <c r="B594" s="1">
        <v>44815</v>
      </c>
      <c r="C594">
        <v>26</v>
      </c>
      <c r="D594">
        <v>13798</v>
      </c>
      <c r="E594">
        <v>14525</v>
      </c>
      <c r="F594" t="s">
        <v>313</v>
      </c>
      <c r="G594" t="s">
        <v>77</v>
      </c>
      <c r="H594" t="s">
        <v>78</v>
      </c>
      <c r="I594" t="s">
        <v>315</v>
      </c>
      <c r="J594">
        <v>9</v>
      </c>
      <c r="K594">
        <v>2</v>
      </c>
      <c r="L594">
        <v>9680000</v>
      </c>
      <c r="M594">
        <v>50500000</v>
      </c>
      <c r="N594">
        <v>28</v>
      </c>
      <c r="O594" t="s">
        <v>129</v>
      </c>
      <c r="P594">
        <v>1</v>
      </c>
      <c r="Q594">
        <v>1</v>
      </c>
      <c r="R594">
        <v>0</v>
      </c>
      <c r="S594">
        <v>0</v>
      </c>
      <c r="T594">
        <v>4</v>
      </c>
      <c r="U594">
        <v>9</v>
      </c>
      <c r="V594">
        <v>14</v>
      </c>
      <c r="W594">
        <v>13</v>
      </c>
      <c r="X594">
        <v>12</v>
      </c>
      <c r="Y594">
        <v>13</v>
      </c>
      <c r="Z594">
        <v>5</v>
      </c>
      <c r="AA594">
        <v>3</v>
      </c>
      <c r="AB594">
        <v>1</v>
      </c>
      <c r="AC594">
        <v>0</v>
      </c>
      <c r="AD594">
        <v>7</v>
      </c>
      <c r="AE594">
        <v>15</v>
      </c>
      <c r="AF594">
        <v>1</v>
      </c>
      <c r="AG594">
        <v>4</v>
      </c>
      <c r="AH594">
        <v>0</v>
      </c>
      <c r="AI594">
        <v>0</v>
      </c>
    </row>
    <row r="595" spans="1:35" hidden="1" x14ac:dyDescent="0.25">
      <c r="A595">
        <v>2022</v>
      </c>
      <c r="B595" s="1">
        <v>44833</v>
      </c>
      <c r="C595">
        <v>28</v>
      </c>
      <c r="D595">
        <v>10774</v>
      </c>
      <c r="E595">
        <v>14525</v>
      </c>
      <c r="F595" t="s">
        <v>313</v>
      </c>
      <c r="G595" t="s">
        <v>51</v>
      </c>
      <c r="H595" t="s">
        <v>78</v>
      </c>
      <c r="I595" t="s">
        <v>311</v>
      </c>
      <c r="J595">
        <v>9</v>
      </c>
      <c r="K595">
        <v>10</v>
      </c>
      <c r="L595">
        <v>10750000</v>
      </c>
      <c r="M595">
        <v>27400000</v>
      </c>
      <c r="N595" t="s">
        <v>66</v>
      </c>
      <c r="O595" t="s">
        <v>235</v>
      </c>
      <c r="P595">
        <v>0</v>
      </c>
      <c r="Q595">
        <v>1</v>
      </c>
      <c r="R595">
        <v>0</v>
      </c>
      <c r="S595">
        <v>0</v>
      </c>
      <c r="T595">
        <v>6</v>
      </c>
      <c r="U595">
        <v>11</v>
      </c>
      <c r="V595">
        <v>16</v>
      </c>
      <c r="W595">
        <v>14</v>
      </c>
      <c r="X595">
        <v>11</v>
      </c>
      <c r="Y595">
        <v>16</v>
      </c>
      <c r="Z595">
        <v>5</v>
      </c>
      <c r="AA595">
        <v>1</v>
      </c>
      <c r="AB595">
        <v>2</v>
      </c>
      <c r="AC595">
        <v>1</v>
      </c>
      <c r="AD595">
        <v>6</v>
      </c>
      <c r="AE595">
        <v>17</v>
      </c>
      <c r="AF595">
        <v>2</v>
      </c>
      <c r="AG595">
        <v>9</v>
      </c>
      <c r="AH595">
        <v>-1</v>
      </c>
      <c r="AI595">
        <v>0</v>
      </c>
    </row>
    <row r="596" spans="1:35" hidden="1" x14ac:dyDescent="0.25">
      <c r="A596">
        <v>2022</v>
      </c>
      <c r="B596" s="1">
        <v>44863</v>
      </c>
      <c r="C596">
        <v>32</v>
      </c>
      <c r="D596">
        <v>9497</v>
      </c>
      <c r="E596">
        <v>14525</v>
      </c>
      <c r="F596" t="s">
        <v>313</v>
      </c>
      <c r="G596" t="s">
        <v>88</v>
      </c>
      <c r="H596" t="s">
        <v>78</v>
      </c>
      <c r="I596" t="s">
        <v>359</v>
      </c>
      <c r="J596">
        <v>14</v>
      </c>
      <c r="K596">
        <v>3</v>
      </c>
      <c r="L596">
        <v>12830000</v>
      </c>
      <c r="M596">
        <v>53500000</v>
      </c>
      <c r="N596" t="s">
        <v>99</v>
      </c>
      <c r="O596" t="s">
        <v>233</v>
      </c>
      <c r="P596">
        <v>0</v>
      </c>
      <c r="Q596">
        <v>0</v>
      </c>
      <c r="R596">
        <v>0</v>
      </c>
      <c r="S596">
        <v>0</v>
      </c>
      <c r="T596">
        <v>2</v>
      </c>
      <c r="U596">
        <v>4</v>
      </c>
      <c r="V596">
        <v>11</v>
      </c>
      <c r="W596">
        <v>11</v>
      </c>
      <c r="X596">
        <v>11</v>
      </c>
      <c r="Y596">
        <v>10</v>
      </c>
      <c r="Z596">
        <v>2</v>
      </c>
      <c r="AA596">
        <v>2</v>
      </c>
      <c r="AB596">
        <v>2</v>
      </c>
      <c r="AC596">
        <v>1</v>
      </c>
      <c r="AD596">
        <v>12</v>
      </c>
      <c r="AE596">
        <v>21</v>
      </c>
      <c r="AF596">
        <v>6</v>
      </c>
      <c r="AG596">
        <v>10</v>
      </c>
      <c r="AH596">
        <v>0</v>
      </c>
      <c r="AI596">
        <v>0</v>
      </c>
    </row>
    <row r="597" spans="1:35" hidden="1" x14ac:dyDescent="0.25">
      <c r="A597">
        <v>2022</v>
      </c>
      <c r="B597" s="1">
        <v>44861</v>
      </c>
      <c r="C597">
        <v>34</v>
      </c>
      <c r="D597">
        <v>7274</v>
      </c>
      <c r="E597">
        <v>14525</v>
      </c>
      <c r="F597" t="s">
        <v>313</v>
      </c>
      <c r="G597" t="s">
        <v>310</v>
      </c>
      <c r="H597" t="s">
        <v>78</v>
      </c>
      <c r="I597" t="s">
        <v>312</v>
      </c>
      <c r="J597">
        <v>13</v>
      </c>
      <c r="K597">
        <v>9</v>
      </c>
      <c r="L597">
        <v>12800000</v>
      </c>
      <c r="M597">
        <v>8150000</v>
      </c>
      <c r="N597" t="s">
        <v>116</v>
      </c>
      <c r="O597" t="s">
        <v>67</v>
      </c>
      <c r="P597">
        <v>2</v>
      </c>
      <c r="Q597">
        <v>2</v>
      </c>
      <c r="R597">
        <v>0</v>
      </c>
      <c r="S597">
        <v>0</v>
      </c>
      <c r="T597">
        <v>3</v>
      </c>
      <c r="U597">
        <v>8</v>
      </c>
      <c r="V597">
        <v>14</v>
      </c>
      <c r="W597">
        <v>23</v>
      </c>
      <c r="X597">
        <v>22</v>
      </c>
      <c r="Y597">
        <v>12</v>
      </c>
      <c r="Z597">
        <v>3</v>
      </c>
      <c r="AA597">
        <v>3</v>
      </c>
      <c r="AB597">
        <v>1</v>
      </c>
      <c r="AC597">
        <v>0</v>
      </c>
      <c r="AD597">
        <v>12</v>
      </c>
      <c r="AE597">
        <v>16</v>
      </c>
      <c r="AF597">
        <v>4</v>
      </c>
      <c r="AG597">
        <v>8</v>
      </c>
      <c r="AH597">
        <v>0</v>
      </c>
      <c r="AI597">
        <v>0</v>
      </c>
    </row>
    <row r="598" spans="1:35" hidden="1" x14ac:dyDescent="0.25">
      <c r="A598">
        <v>2022</v>
      </c>
      <c r="B598" s="1">
        <v>44870</v>
      </c>
      <c r="C598">
        <v>36</v>
      </c>
      <c r="D598">
        <v>10480</v>
      </c>
      <c r="E598">
        <v>14525</v>
      </c>
      <c r="F598" t="s">
        <v>313</v>
      </c>
      <c r="G598" t="s">
        <v>44</v>
      </c>
      <c r="H598" t="s">
        <v>78</v>
      </c>
      <c r="I598" t="s">
        <v>360</v>
      </c>
      <c r="J598">
        <v>14</v>
      </c>
      <c r="K598">
        <v>20</v>
      </c>
      <c r="L598">
        <v>13050000</v>
      </c>
      <c r="M598">
        <v>5900000</v>
      </c>
      <c r="N598" t="s">
        <v>209</v>
      </c>
      <c r="O598" t="s">
        <v>73</v>
      </c>
      <c r="P598">
        <v>1</v>
      </c>
      <c r="Q598">
        <v>0</v>
      </c>
      <c r="R598">
        <v>0</v>
      </c>
      <c r="S598">
        <v>0</v>
      </c>
      <c r="T598">
        <v>5</v>
      </c>
      <c r="U598">
        <v>8</v>
      </c>
      <c r="V598">
        <v>15</v>
      </c>
      <c r="W598">
        <v>22</v>
      </c>
      <c r="X598">
        <v>21</v>
      </c>
      <c r="Y598">
        <v>15</v>
      </c>
      <c r="Z598">
        <v>2</v>
      </c>
      <c r="AA598">
        <v>0</v>
      </c>
      <c r="AB598">
        <v>1</v>
      </c>
      <c r="AC598">
        <v>0</v>
      </c>
      <c r="AD598">
        <v>8</v>
      </c>
      <c r="AE598">
        <v>14</v>
      </c>
      <c r="AF598">
        <v>3</v>
      </c>
      <c r="AG598">
        <v>8</v>
      </c>
      <c r="AH598">
        <v>1</v>
      </c>
      <c r="AI598">
        <v>1</v>
      </c>
    </row>
    <row r="599" spans="1:35" hidden="1" x14ac:dyDescent="0.25">
      <c r="A599">
        <v>2022</v>
      </c>
      <c r="B599" s="1">
        <v>44675</v>
      </c>
      <c r="C599">
        <v>3</v>
      </c>
      <c r="D599">
        <v>10374</v>
      </c>
      <c r="E599">
        <v>20120</v>
      </c>
      <c r="F599" t="s">
        <v>326</v>
      </c>
      <c r="G599" t="s">
        <v>310</v>
      </c>
      <c r="H599" t="s">
        <v>344</v>
      </c>
      <c r="I599" t="s">
        <v>312</v>
      </c>
      <c r="J599">
        <v>5</v>
      </c>
      <c r="K599">
        <v>9</v>
      </c>
      <c r="L599">
        <v>34900000</v>
      </c>
      <c r="M599">
        <v>10150000</v>
      </c>
      <c r="N599" t="s">
        <v>176</v>
      </c>
      <c r="O599" t="s">
        <v>138</v>
      </c>
      <c r="P599">
        <v>3</v>
      </c>
      <c r="Q599">
        <v>0</v>
      </c>
      <c r="R599">
        <v>1</v>
      </c>
      <c r="S599">
        <v>0</v>
      </c>
      <c r="T599">
        <v>3</v>
      </c>
      <c r="U599">
        <v>8</v>
      </c>
      <c r="V599">
        <v>16</v>
      </c>
      <c r="W599">
        <v>8</v>
      </c>
      <c r="X599">
        <v>8</v>
      </c>
      <c r="Y599">
        <v>15</v>
      </c>
      <c r="Z599">
        <v>2</v>
      </c>
      <c r="AA599">
        <v>4</v>
      </c>
      <c r="AB599">
        <v>2</v>
      </c>
      <c r="AC599">
        <v>1</v>
      </c>
      <c r="AD599">
        <v>18</v>
      </c>
      <c r="AE599">
        <v>19</v>
      </c>
      <c r="AF599">
        <v>5</v>
      </c>
      <c r="AG599">
        <v>11</v>
      </c>
      <c r="AH599">
        <v>3</v>
      </c>
      <c r="AI599">
        <v>1</v>
      </c>
    </row>
    <row r="600" spans="1:35" hidden="1" x14ac:dyDescent="0.25">
      <c r="A600">
        <v>2022</v>
      </c>
      <c r="B600" s="1">
        <v>44702</v>
      </c>
      <c r="C600">
        <v>7</v>
      </c>
      <c r="D600">
        <v>25797</v>
      </c>
      <c r="E600">
        <v>32120</v>
      </c>
      <c r="F600" t="s">
        <v>326</v>
      </c>
      <c r="G600" t="s">
        <v>361</v>
      </c>
      <c r="H600" t="s">
        <v>344</v>
      </c>
      <c r="I600" t="s">
        <v>315</v>
      </c>
      <c r="J600">
        <v>5</v>
      </c>
      <c r="K600">
        <v>14</v>
      </c>
      <c r="L600">
        <v>27400000</v>
      </c>
      <c r="M600">
        <v>10100000</v>
      </c>
      <c r="N600">
        <v>26</v>
      </c>
      <c r="O600" t="s">
        <v>123</v>
      </c>
      <c r="P600">
        <v>0</v>
      </c>
      <c r="Q600">
        <v>0</v>
      </c>
      <c r="R600">
        <v>0</v>
      </c>
      <c r="S600">
        <v>0</v>
      </c>
      <c r="T600">
        <v>6</v>
      </c>
      <c r="U600">
        <v>2</v>
      </c>
      <c r="V600">
        <v>9</v>
      </c>
      <c r="W600">
        <v>13</v>
      </c>
      <c r="X600">
        <v>13</v>
      </c>
      <c r="Y600">
        <v>9</v>
      </c>
      <c r="Z600">
        <v>4</v>
      </c>
      <c r="AA600">
        <v>3</v>
      </c>
      <c r="AB600">
        <v>2</v>
      </c>
      <c r="AC600">
        <v>1</v>
      </c>
      <c r="AD600">
        <v>16</v>
      </c>
      <c r="AE600">
        <v>11</v>
      </c>
      <c r="AF600">
        <v>11</v>
      </c>
      <c r="AG600">
        <v>6</v>
      </c>
      <c r="AH600">
        <v>0</v>
      </c>
      <c r="AI600">
        <v>0</v>
      </c>
    </row>
    <row r="601" spans="1:35" hidden="1" x14ac:dyDescent="0.25">
      <c r="A601">
        <v>2022</v>
      </c>
      <c r="B601" s="1">
        <v>44710</v>
      </c>
      <c r="C601">
        <v>8</v>
      </c>
      <c r="D601">
        <v>14220</v>
      </c>
      <c r="E601">
        <v>20120</v>
      </c>
      <c r="F601" t="s">
        <v>326</v>
      </c>
      <c r="G601" t="s">
        <v>95</v>
      </c>
      <c r="H601" t="s">
        <v>344</v>
      </c>
      <c r="I601" t="s">
        <v>97</v>
      </c>
      <c r="J601">
        <v>6</v>
      </c>
      <c r="K601">
        <v>2</v>
      </c>
      <c r="L601">
        <v>28400000</v>
      </c>
      <c r="M601">
        <v>72450000</v>
      </c>
      <c r="N601" t="s">
        <v>332</v>
      </c>
      <c r="O601" t="s">
        <v>137</v>
      </c>
      <c r="P601">
        <v>0</v>
      </c>
      <c r="Q601">
        <v>1</v>
      </c>
      <c r="R601">
        <v>0</v>
      </c>
      <c r="S601">
        <v>0</v>
      </c>
      <c r="T601">
        <v>3</v>
      </c>
      <c r="U601">
        <v>4</v>
      </c>
      <c r="V601">
        <v>19</v>
      </c>
      <c r="W601">
        <v>15</v>
      </c>
      <c r="X601">
        <v>15</v>
      </c>
      <c r="Y601">
        <v>18</v>
      </c>
      <c r="Z601">
        <v>3</v>
      </c>
      <c r="AA601">
        <v>3</v>
      </c>
      <c r="AB601">
        <v>1</v>
      </c>
      <c r="AC601">
        <v>2</v>
      </c>
      <c r="AD601">
        <v>17</v>
      </c>
      <c r="AE601">
        <v>17</v>
      </c>
      <c r="AF601">
        <v>7</v>
      </c>
      <c r="AG601">
        <v>9</v>
      </c>
      <c r="AH601">
        <v>-1</v>
      </c>
      <c r="AI601">
        <v>0</v>
      </c>
    </row>
    <row r="602" spans="1:35" hidden="1" x14ac:dyDescent="0.25">
      <c r="A602">
        <v>2022</v>
      </c>
      <c r="B602" s="1">
        <v>44721</v>
      </c>
      <c r="C602">
        <v>10</v>
      </c>
      <c r="D602">
        <v>8845</v>
      </c>
      <c r="E602">
        <v>20120</v>
      </c>
      <c r="F602" t="s">
        <v>326</v>
      </c>
      <c r="G602" t="s">
        <v>37</v>
      </c>
      <c r="H602" t="s">
        <v>344</v>
      </c>
      <c r="I602" t="s">
        <v>240</v>
      </c>
      <c r="J602">
        <v>9</v>
      </c>
      <c r="K602">
        <v>7</v>
      </c>
      <c r="L602">
        <v>26100000</v>
      </c>
      <c r="M602">
        <v>34400000</v>
      </c>
      <c r="N602" t="s">
        <v>168</v>
      </c>
      <c r="O602" t="s">
        <v>111</v>
      </c>
      <c r="P602">
        <v>1</v>
      </c>
      <c r="Q602">
        <v>1</v>
      </c>
      <c r="R602">
        <v>0</v>
      </c>
      <c r="S602">
        <v>0</v>
      </c>
      <c r="T602">
        <v>10</v>
      </c>
      <c r="U602">
        <v>3</v>
      </c>
      <c r="V602">
        <v>11</v>
      </c>
      <c r="W602">
        <v>15</v>
      </c>
      <c r="X602">
        <v>14</v>
      </c>
      <c r="Y602">
        <v>11</v>
      </c>
      <c r="Z602">
        <v>5</v>
      </c>
      <c r="AA602">
        <v>4</v>
      </c>
      <c r="AB602">
        <v>2</v>
      </c>
      <c r="AC602">
        <v>1</v>
      </c>
      <c r="AD602">
        <v>22</v>
      </c>
      <c r="AE602">
        <v>11</v>
      </c>
      <c r="AF602">
        <v>11</v>
      </c>
      <c r="AG602">
        <v>3</v>
      </c>
      <c r="AH602">
        <v>0</v>
      </c>
      <c r="AI602">
        <v>0</v>
      </c>
    </row>
    <row r="603" spans="1:35" hidden="1" x14ac:dyDescent="0.25">
      <c r="A603">
        <v>2022</v>
      </c>
      <c r="B603" s="1">
        <v>44752</v>
      </c>
      <c r="C603">
        <v>16</v>
      </c>
      <c r="D603">
        <v>8588</v>
      </c>
      <c r="E603">
        <v>20120</v>
      </c>
      <c r="F603" t="s">
        <v>326</v>
      </c>
      <c r="G603" t="s">
        <v>76</v>
      </c>
      <c r="J603">
        <v>10</v>
      </c>
      <c r="K603">
        <v>16</v>
      </c>
      <c r="L603">
        <v>28600000</v>
      </c>
      <c r="M603">
        <v>6700000</v>
      </c>
      <c r="N603" t="s">
        <v>120</v>
      </c>
      <c r="O603" t="s">
        <v>73</v>
      </c>
      <c r="P603">
        <v>1</v>
      </c>
      <c r="Q603">
        <v>0</v>
      </c>
      <c r="R603">
        <v>0</v>
      </c>
      <c r="S603">
        <v>0</v>
      </c>
      <c r="T603">
        <v>9</v>
      </c>
      <c r="U603">
        <v>10</v>
      </c>
      <c r="V603">
        <v>13</v>
      </c>
      <c r="W603">
        <v>18</v>
      </c>
      <c r="X603">
        <v>16</v>
      </c>
      <c r="Y603">
        <v>13</v>
      </c>
      <c r="Z603">
        <v>4</v>
      </c>
      <c r="AA603">
        <v>4</v>
      </c>
      <c r="AB603">
        <v>0</v>
      </c>
      <c r="AC603">
        <v>0</v>
      </c>
      <c r="AD603">
        <v>19</v>
      </c>
      <c r="AE603">
        <v>15</v>
      </c>
      <c r="AF603">
        <v>6</v>
      </c>
      <c r="AG603">
        <v>6</v>
      </c>
      <c r="AH603">
        <v>1</v>
      </c>
      <c r="AI603">
        <v>1</v>
      </c>
    </row>
    <row r="604" spans="1:35" hidden="1" x14ac:dyDescent="0.25">
      <c r="A604">
        <v>2022</v>
      </c>
      <c r="B604" s="1">
        <v>44763</v>
      </c>
      <c r="C604">
        <v>18</v>
      </c>
      <c r="D604">
        <v>8453</v>
      </c>
      <c r="E604">
        <v>20120</v>
      </c>
      <c r="F604" t="s">
        <v>326</v>
      </c>
      <c r="G604" t="s">
        <v>51</v>
      </c>
      <c r="H604" t="s">
        <v>338</v>
      </c>
      <c r="I604" t="s">
        <v>311</v>
      </c>
      <c r="J604">
        <v>10</v>
      </c>
      <c r="K604">
        <v>11</v>
      </c>
      <c r="L604">
        <v>35800000</v>
      </c>
      <c r="M604">
        <v>21400000</v>
      </c>
      <c r="N604" t="s">
        <v>270</v>
      </c>
      <c r="O604" t="s">
        <v>117</v>
      </c>
      <c r="P604">
        <v>2</v>
      </c>
      <c r="Q604">
        <v>0</v>
      </c>
      <c r="R604">
        <v>1</v>
      </c>
      <c r="S604">
        <v>0</v>
      </c>
      <c r="T604">
        <v>4</v>
      </c>
      <c r="U604">
        <v>4</v>
      </c>
      <c r="V604">
        <v>15</v>
      </c>
      <c r="W604">
        <v>18</v>
      </c>
      <c r="X604">
        <v>18</v>
      </c>
      <c r="Y604">
        <v>14</v>
      </c>
      <c r="Z604">
        <v>10</v>
      </c>
      <c r="AA604">
        <v>5</v>
      </c>
      <c r="AB604">
        <v>2</v>
      </c>
      <c r="AC604">
        <v>2</v>
      </c>
      <c r="AD604">
        <v>16</v>
      </c>
      <c r="AE604">
        <v>23</v>
      </c>
      <c r="AF604">
        <v>7</v>
      </c>
      <c r="AG604">
        <v>6</v>
      </c>
      <c r="AH604">
        <v>2</v>
      </c>
      <c r="AI604">
        <v>1</v>
      </c>
    </row>
    <row r="605" spans="1:35" hidden="1" x14ac:dyDescent="0.25">
      <c r="A605">
        <v>2022</v>
      </c>
      <c r="B605" s="1">
        <v>44775</v>
      </c>
      <c r="C605">
        <v>20</v>
      </c>
      <c r="D605">
        <v>11943</v>
      </c>
      <c r="E605">
        <v>20120</v>
      </c>
      <c r="F605" t="s">
        <v>326</v>
      </c>
      <c r="G605" t="s">
        <v>55</v>
      </c>
      <c r="H605" t="s">
        <v>362</v>
      </c>
      <c r="I605" t="s">
        <v>57</v>
      </c>
      <c r="J605">
        <v>9</v>
      </c>
      <c r="K605">
        <v>3</v>
      </c>
      <c r="L605">
        <v>25500000</v>
      </c>
      <c r="M605">
        <v>27000000</v>
      </c>
      <c r="N605" t="s">
        <v>41</v>
      </c>
      <c r="O605" t="s">
        <v>66</v>
      </c>
      <c r="P605">
        <v>2</v>
      </c>
      <c r="Q605">
        <v>2</v>
      </c>
      <c r="R605">
        <v>1</v>
      </c>
      <c r="S605">
        <v>0</v>
      </c>
      <c r="T605">
        <v>5</v>
      </c>
      <c r="U605">
        <v>5</v>
      </c>
      <c r="V605">
        <v>14</v>
      </c>
      <c r="W605">
        <v>13</v>
      </c>
      <c r="X605">
        <v>12</v>
      </c>
      <c r="Y605">
        <v>14</v>
      </c>
      <c r="Z605">
        <v>5</v>
      </c>
      <c r="AA605">
        <v>1</v>
      </c>
      <c r="AB605">
        <v>2</v>
      </c>
      <c r="AC605">
        <v>0</v>
      </c>
      <c r="AD605">
        <v>10</v>
      </c>
      <c r="AE605">
        <v>12</v>
      </c>
      <c r="AF605">
        <v>5</v>
      </c>
      <c r="AG605">
        <v>3</v>
      </c>
      <c r="AH605">
        <v>0</v>
      </c>
      <c r="AI605">
        <v>0</v>
      </c>
    </row>
    <row r="606" spans="1:35" hidden="1" x14ac:dyDescent="0.25">
      <c r="A606">
        <v>2022</v>
      </c>
      <c r="B606" s="1">
        <v>44794</v>
      </c>
      <c r="C606">
        <v>23</v>
      </c>
      <c r="D606">
        <v>12598</v>
      </c>
      <c r="E606">
        <v>20120</v>
      </c>
      <c r="F606" t="s">
        <v>326</v>
      </c>
      <c r="G606" t="s">
        <v>62</v>
      </c>
      <c r="H606" t="s">
        <v>362</v>
      </c>
      <c r="I606" t="s">
        <v>40</v>
      </c>
      <c r="J606">
        <v>10</v>
      </c>
      <c r="K606">
        <v>11</v>
      </c>
      <c r="L606">
        <v>40400000</v>
      </c>
      <c r="M606">
        <v>26250000</v>
      </c>
      <c r="N606" t="s">
        <v>104</v>
      </c>
      <c r="O606" t="s">
        <v>134</v>
      </c>
      <c r="P606">
        <v>1</v>
      </c>
      <c r="Q606">
        <v>0</v>
      </c>
      <c r="R606">
        <v>1</v>
      </c>
      <c r="S606">
        <v>0</v>
      </c>
      <c r="T606">
        <v>5</v>
      </c>
      <c r="U606">
        <v>9</v>
      </c>
      <c r="V606">
        <v>12</v>
      </c>
      <c r="W606">
        <v>9</v>
      </c>
      <c r="X606">
        <v>8</v>
      </c>
      <c r="Y606">
        <v>11</v>
      </c>
      <c r="Z606">
        <v>6</v>
      </c>
      <c r="AA606">
        <v>4</v>
      </c>
      <c r="AB606">
        <v>1</v>
      </c>
      <c r="AC606">
        <v>0</v>
      </c>
      <c r="AD606">
        <v>13</v>
      </c>
      <c r="AE606">
        <v>18</v>
      </c>
      <c r="AF606">
        <v>5</v>
      </c>
      <c r="AG606">
        <v>8</v>
      </c>
      <c r="AH606">
        <v>1</v>
      </c>
      <c r="AI606">
        <v>1</v>
      </c>
    </row>
    <row r="607" spans="1:35" hidden="1" x14ac:dyDescent="0.25">
      <c r="A607">
        <v>2022</v>
      </c>
      <c r="B607" s="1">
        <v>44832</v>
      </c>
      <c r="C607">
        <v>28</v>
      </c>
      <c r="D607">
        <v>7464</v>
      </c>
      <c r="E607">
        <v>20120</v>
      </c>
      <c r="F607" t="s">
        <v>326</v>
      </c>
      <c r="G607" t="s">
        <v>69</v>
      </c>
      <c r="H607" t="s">
        <v>363</v>
      </c>
      <c r="I607" t="s">
        <v>336</v>
      </c>
      <c r="J607">
        <v>11</v>
      </c>
      <c r="K607">
        <v>6</v>
      </c>
      <c r="L607">
        <v>45400000</v>
      </c>
      <c r="M607">
        <v>27000000</v>
      </c>
      <c r="N607" t="s">
        <v>104</v>
      </c>
      <c r="O607" t="s">
        <v>209</v>
      </c>
      <c r="P607">
        <v>2</v>
      </c>
      <c r="Q607">
        <v>0</v>
      </c>
      <c r="R607">
        <v>1</v>
      </c>
      <c r="S607">
        <v>0</v>
      </c>
      <c r="T607">
        <v>5</v>
      </c>
      <c r="U607">
        <v>4</v>
      </c>
      <c r="V607">
        <v>19</v>
      </c>
      <c r="W607">
        <v>21</v>
      </c>
      <c r="X607">
        <v>19</v>
      </c>
      <c r="Y607">
        <v>19</v>
      </c>
      <c r="Z607">
        <v>3</v>
      </c>
      <c r="AA607">
        <v>3</v>
      </c>
      <c r="AB607">
        <v>1</v>
      </c>
      <c r="AC607">
        <v>2</v>
      </c>
      <c r="AD607">
        <v>11</v>
      </c>
      <c r="AE607">
        <v>14</v>
      </c>
      <c r="AF607">
        <v>5</v>
      </c>
      <c r="AG607">
        <v>7</v>
      </c>
      <c r="AH607">
        <v>2</v>
      </c>
      <c r="AI607">
        <v>1</v>
      </c>
    </row>
    <row r="608" spans="1:35" hidden="1" x14ac:dyDescent="0.25">
      <c r="A608">
        <v>2022</v>
      </c>
      <c r="B608" s="1">
        <v>44840</v>
      </c>
      <c r="C608">
        <v>30</v>
      </c>
      <c r="D608">
        <v>9278</v>
      </c>
      <c r="E608">
        <v>20120</v>
      </c>
      <c r="F608" t="s">
        <v>326</v>
      </c>
      <c r="G608" t="s">
        <v>89</v>
      </c>
      <c r="H608" t="s">
        <v>363</v>
      </c>
      <c r="I608" t="s">
        <v>71</v>
      </c>
      <c r="J608">
        <v>12</v>
      </c>
      <c r="K608">
        <v>7</v>
      </c>
      <c r="L608">
        <v>49800000</v>
      </c>
      <c r="M608">
        <v>56000000</v>
      </c>
      <c r="N608">
        <v>26</v>
      </c>
      <c r="O608" t="s">
        <v>100</v>
      </c>
      <c r="P608">
        <v>1</v>
      </c>
      <c r="Q608">
        <v>2</v>
      </c>
      <c r="R608">
        <v>0</v>
      </c>
      <c r="S608">
        <v>0</v>
      </c>
      <c r="T608">
        <v>5</v>
      </c>
      <c r="U608">
        <v>4</v>
      </c>
      <c r="V608">
        <v>18</v>
      </c>
      <c r="W608">
        <v>18</v>
      </c>
      <c r="X608">
        <v>18</v>
      </c>
      <c r="Y608">
        <v>18</v>
      </c>
      <c r="Z608">
        <v>1</v>
      </c>
      <c r="AA608">
        <v>4</v>
      </c>
      <c r="AB608">
        <v>4</v>
      </c>
      <c r="AC608">
        <v>1</v>
      </c>
      <c r="AD608">
        <v>10</v>
      </c>
      <c r="AE608">
        <v>12</v>
      </c>
      <c r="AF608">
        <v>4</v>
      </c>
      <c r="AG608">
        <v>3</v>
      </c>
      <c r="AH608">
        <v>-1</v>
      </c>
      <c r="AI608">
        <v>0</v>
      </c>
    </row>
    <row r="609" spans="1:35" hidden="1" x14ac:dyDescent="0.25">
      <c r="A609">
        <v>2022</v>
      </c>
      <c r="B609" s="1">
        <v>44845</v>
      </c>
      <c r="C609">
        <v>31</v>
      </c>
      <c r="D609">
        <v>9171</v>
      </c>
      <c r="E609">
        <v>20120</v>
      </c>
      <c r="F609" t="s">
        <v>326</v>
      </c>
      <c r="G609" t="s">
        <v>44</v>
      </c>
      <c r="H609" t="s">
        <v>363</v>
      </c>
      <c r="I609" t="s">
        <v>364</v>
      </c>
      <c r="J609">
        <v>14</v>
      </c>
      <c r="K609">
        <v>20</v>
      </c>
      <c r="L609">
        <v>41600000</v>
      </c>
      <c r="M609">
        <v>5750000</v>
      </c>
      <c r="N609" t="s">
        <v>252</v>
      </c>
      <c r="O609" t="s">
        <v>135</v>
      </c>
      <c r="P609">
        <v>4</v>
      </c>
      <c r="Q609">
        <v>1</v>
      </c>
      <c r="R609">
        <v>1</v>
      </c>
      <c r="S609">
        <v>0</v>
      </c>
      <c r="T609">
        <v>3</v>
      </c>
      <c r="U609">
        <v>8</v>
      </c>
      <c r="V609">
        <v>13</v>
      </c>
      <c r="W609">
        <v>10</v>
      </c>
      <c r="X609">
        <v>10</v>
      </c>
      <c r="Y609">
        <v>12</v>
      </c>
      <c r="Z609">
        <v>2</v>
      </c>
      <c r="AA609">
        <v>4</v>
      </c>
      <c r="AB609">
        <v>0</v>
      </c>
      <c r="AC609">
        <v>1</v>
      </c>
      <c r="AD609">
        <v>19</v>
      </c>
      <c r="AE609">
        <v>16</v>
      </c>
      <c r="AF609">
        <v>8</v>
      </c>
      <c r="AG609">
        <v>10</v>
      </c>
      <c r="AH609">
        <v>3</v>
      </c>
      <c r="AI609">
        <v>1</v>
      </c>
    </row>
    <row r="610" spans="1:35" hidden="1" x14ac:dyDescent="0.25">
      <c r="A610">
        <v>2022</v>
      </c>
      <c r="B610" s="1">
        <v>44857</v>
      </c>
      <c r="C610">
        <v>33</v>
      </c>
      <c r="D610">
        <v>12872</v>
      </c>
      <c r="E610">
        <v>20120</v>
      </c>
      <c r="F610" t="s">
        <v>326</v>
      </c>
      <c r="G610" t="s">
        <v>88</v>
      </c>
      <c r="H610" t="s">
        <v>363</v>
      </c>
      <c r="I610" t="s">
        <v>359</v>
      </c>
      <c r="J610">
        <v>12</v>
      </c>
      <c r="K610">
        <v>4</v>
      </c>
      <c r="L610">
        <v>39000000</v>
      </c>
      <c r="M610">
        <v>58800000</v>
      </c>
      <c r="N610" t="s">
        <v>332</v>
      </c>
      <c r="O610" t="s">
        <v>80</v>
      </c>
      <c r="P610">
        <v>0</v>
      </c>
      <c r="Q610">
        <v>1</v>
      </c>
      <c r="R610">
        <v>0</v>
      </c>
      <c r="S610">
        <v>0</v>
      </c>
      <c r="T610">
        <v>7</v>
      </c>
      <c r="U610">
        <v>4</v>
      </c>
      <c r="V610">
        <v>15</v>
      </c>
      <c r="W610">
        <v>11</v>
      </c>
      <c r="X610">
        <v>10</v>
      </c>
      <c r="Y610">
        <v>12</v>
      </c>
      <c r="Z610">
        <v>1</v>
      </c>
      <c r="AA610">
        <v>2</v>
      </c>
      <c r="AB610">
        <v>1</v>
      </c>
      <c r="AC610">
        <v>0</v>
      </c>
      <c r="AD610">
        <v>12</v>
      </c>
      <c r="AE610">
        <v>8</v>
      </c>
      <c r="AF610">
        <v>4</v>
      </c>
      <c r="AG610">
        <v>2</v>
      </c>
      <c r="AH610">
        <v>-1</v>
      </c>
      <c r="AI610">
        <v>0</v>
      </c>
    </row>
    <row r="611" spans="1:35" hidden="1" x14ac:dyDescent="0.25">
      <c r="A611">
        <v>2022</v>
      </c>
      <c r="B611" s="1">
        <v>44870</v>
      </c>
      <c r="C611">
        <v>36</v>
      </c>
      <c r="D611">
        <v>18686</v>
      </c>
      <c r="E611">
        <v>32500</v>
      </c>
      <c r="F611" t="s">
        <v>326</v>
      </c>
      <c r="G611" t="s">
        <v>365</v>
      </c>
      <c r="H611" t="s">
        <v>363</v>
      </c>
      <c r="I611" t="s">
        <v>366</v>
      </c>
      <c r="J611">
        <v>12</v>
      </c>
      <c r="K611">
        <v>19</v>
      </c>
      <c r="L611">
        <v>41700000</v>
      </c>
      <c r="M611">
        <v>5500000</v>
      </c>
      <c r="N611" t="s">
        <v>99</v>
      </c>
      <c r="O611" t="s">
        <v>135</v>
      </c>
      <c r="P611">
        <v>1</v>
      </c>
      <c r="Q611">
        <v>1</v>
      </c>
      <c r="R611">
        <v>1</v>
      </c>
      <c r="S611">
        <v>0</v>
      </c>
      <c r="T611">
        <v>9</v>
      </c>
      <c r="U611">
        <v>4</v>
      </c>
      <c r="V611">
        <v>14</v>
      </c>
      <c r="W611">
        <v>13</v>
      </c>
      <c r="X611">
        <v>12</v>
      </c>
      <c r="Y611">
        <v>14</v>
      </c>
      <c r="Z611">
        <v>5</v>
      </c>
      <c r="AA611">
        <v>4</v>
      </c>
      <c r="AB611">
        <v>1</v>
      </c>
      <c r="AC611">
        <v>0</v>
      </c>
      <c r="AD611">
        <v>9</v>
      </c>
      <c r="AE611">
        <v>15</v>
      </c>
      <c r="AF611">
        <v>3</v>
      </c>
      <c r="AG611">
        <v>6</v>
      </c>
      <c r="AH611">
        <v>0</v>
      </c>
      <c r="AI611">
        <v>0</v>
      </c>
    </row>
    <row r="612" spans="1:35" hidden="1" x14ac:dyDescent="0.25">
      <c r="A612">
        <v>2022</v>
      </c>
      <c r="B612" s="1">
        <v>44878</v>
      </c>
      <c r="C612">
        <v>38</v>
      </c>
      <c r="D612">
        <v>11565</v>
      </c>
      <c r="E612">
        <v>20120</v>
      </c>
      <c r="F612" t="s">
        <v>326</v>
      </c>
      <c r="G612" t="s">
        <v>63</v>
      </c>
      <c r="H612" t="s">
        <v>363</v>
      </c>
      <c r="I612" t="s">
        <v>65</v>
      </c>
      <c r="J612">
        <v>12</v>
      </c>
      <c r="K612">
        <v>10</v>
      </c>
      <c r="L612">
        <v>43500000</v>
      </c>
      <c r="M612">
        <v>14150000</v>
      </c>
      <c r="N612" t="s">
        <v>221</v>
      </c>
      <c r="O612" t="s">
        <v>74</v>
      </c>
      <c r="P612">
        <v>0</v>
      </c>
      <c r="Q612">
        <v>2</v>
      </c>
      <c r="R612">
        <v>0</v>
      </c>
      <c r="S612">
        <v>0</v>
      </c>
      <c r="T612">
        <v>5</v>
      </c>
      <c r="U612">
        <v>7</v>
      </c>
      <c r="V612">
        <v>17</v>
      </c>
      <c r="W612">
        <v>14</v>
      </c>
      <c r="X612">
        <v>14</v>
      </c>
      <c r="Y612">
        <v>16</v>
      </c>
      <c r="Z612">
        <v>4</v>
      </c>
      <c r="AA612">
        <v>3</v>
      </c>
      <c r="AB612">
        <v>0</v>
      </c>
      <c r="AC612">
        <v>2</v>
      </c>
      <c r="AD612">
        <v>14</v>
      </c>
      <c r="AE612">
        <v>13</v>
      </c>
      <c r="AF612">
        <v>7</v>
      </c>
      <c r="AG612">
        <v>5</v>
      </c>
      <c r="AH612">
        <v>-2</v>
      </c>
      <c r="AI612">
        <v>0</v>
      </c>
    </row>
    <row r="613" spans="1:35" hidden="1" x14ac:dyDescent="0.25">
      <c r="A613">
        <v>2022</v>
      </c>
      <c r="B613" s="1">
        <v>44662</v>
      </c>
      <c r="C613">
        <v>1</v>
      </c>
      <c r="D613">
        <v>5081</v>
      </c>
      <c r="E613">
        <v>17800</v>
      </c>
      <c r="F613" t="s">
        <v>365</v>
      </c>
      <c r="G613" t="s">
        <v>310</v>
      </c>
      <c r="H613" t="s">
        <v>367</v>
      </c>
      <c r="I613" t="s">
        <v>368</v>
      </c>
      <c r="J613">
        <v>6</v>
      </c>
      <c r="K613">
        <v>15</v>
      </c>
      <c r="L613">
        <v>4280000</v>
      </c>
      <c r="M613">
        <v>11300000</v>
      </c>
      <c r="N613" t="s">
        <v>144</v>
      </c>
      <c r="O613" t="s">
        <v>235</v>
      </c>
      <c r="P613">
        <v>1</v>
      </c>
      <c r="Q613">
        <v>0</v>
      </c>
      <c r="R613">
        <v>0</v>
      </c>
      <c r="S613">
        <v>0</v>
      </c>
      <c r="T613">
        <v>6</v>
      </c>
      <c r="U613">
        <v>1</v>
      </c>
      <c r="V613">
        <v>20</v>
      </c>
      <c r="W613">
        <v>18</v>
      </c>
      <c r="X613">
        <v>17</v>
      </c>
      <c r="Y613">
        <v>18</v>
      </c>
      <c r="Z613">
        <v>1</v>
      </c>
      <c r="AA613">
        <v>1</v>
      </c>
      <c r="AB613">
        <v>3</v>
      </c>
      <c r="AC613">
        <v>2</v>
      </c>
      <c r="AD613">
        <v>13</v>
      </c>
      <c r="AE613">
        <v>7</v>
      </c>
      <c r="AF613">
        <v>8</v>
      </c>
      <c r="AG613">
        <v>3</v>
      </c>
      <c r="AH613">
        <v>1</v>
      </c>
      <c r="AI613">
        <v>1</v>
      </c>
    </row>
    <row r="614" spans="1:35" hidden="1" x14ac:dyDescent="0.25">
      <c r="A614">
        <v>2022</v>
      </c>
      <c r="B614" s="1">
        <v>44677</v>
      </c>
      <c r="C614">
        <v>3</v>
      </c>
      <c r="D614">
        <v>5883</v>
      </c>
      <c r="E614">
        <v>17800</v>
      </c>
      <c r="F614" t="s">
        <v>365</v>
      </c>
      <c r="G614" t="s">
        <v>313</v>
      </c>
      <c r="H614" t="s">
        <v>367</v>
      </c>
      <c r="I614" t="s">
        <v>78</v>
      </c>
      <c r="J614">
        <v>14</v>
      </c>
      <c r="K614">
        <v>17</v>
      </c>
      <c r="L614">
        <v>5980000</v>
      </c>
      <c r="M614">
        <v>6900000</v>
      </c>
      <c r="N614" t="s">
        <v>105</v>
      </c>
      <c r="O614" t="s">
        <v>107</v>
      </c>
      <c r="P614">
        <v>3</v>
      </c>
      <c r="Q614">
        <v>2</v>
      </c>
      <c r="R614">
        <v>1</v>
      </c>
      <c r="S614">
        <v>0</v>
      </c>
      <c r="T614">
        <v>3</v>
      </c>
      <c r="U614">
        <v>5</v>
      </c>
      <c r="V614">
        <v>20</v>
      </c>
      <c r="W614">
        <v>20</v>
      </c>
      <c r="X614">
        <v>16</v>
      </c>
      <c r="Y614">
        <v>20</v>
      </c>
      <c r="Z614">
        <v>3</v>
      </c>
      <c r="AA614">
        <v>1</v>
      </c>
      <c r="AB614">
        <v>0</v>
      </c>
      <c r="AC614">
        <v>3</v>
      </c>
      <c r="AD614">
        <v>14</v>
      </c>
      <c r="AE614">
        <v>18</v>
      </c>
      <c r="AF614">
        <v>6</v>
      </c>
      <c r="AG614">
        <v>4</v>
      </c>
      <c r="AH614">
        <v>1</v>
      </c>
      <c r="AI614">
        <v>1</v>
      </c>
    </row>
    <row r="615" spans="1:35" hidden="1" x14ac:dyDescent="0.25">
      <c r="A615">
        <v>2022</v>
      </c>
      <c r="B615" s="1">
        <v>44691</v>
      </c>
      <c r="C615">
        <v>5</v>
      </c>
      <c r="D615">
        <v>8548</v>
      </c>
      <c r="E615">
        <v>17800</v>
      </c>
      <c r="F615" t="s">
        <v>365</v>
      </c>
      <c r="G615" t="s">
        <v>321</v>
      </c>
      <c r="H615" t="s">
        <v>367</v>
      </c>
      <c r="I615" t="s">
        <v>358</v>
      </c>
      <c r="J615">
        <v>9</v>
      </c>
      <c r="K615">
        <v>4</v>
      </c>
      <c r="L615">
        <v>5980000</v>
      </c>
      <c r="M615">
        <v>6650000</v>
      </c>
      <c r="N615" t="s">
        <v>105</v>
      </c>
      <c r="O615" t="s">
        <v>48</v>
      </c>
      <c r="P615">
        <v>2</v>
      </c>
      <c r="Q615">
        <v>1</v>
      </c>
      <c r="R615">
        <v>0</v>
      </c>
      <c r="S615">
        <v>0</v>
      </c>
      <c r="T615">
        <v>5</v>
      </c>
      <c r="U615">
        <v>7</v>
      </c>
      <c r="V615">
        <v>14</v>
      </c>
      <c r="W615">
        <v>13</v>
      </c>
      <c r="X615">
        <v>13</v>
      </c>
      <c r="Y615">
        <v>14</v>
      </c>
      <c r="Z615">
        <v>3</v>
      </c>
      <c r="AA615">
        <v>4</v>
      </c>
      <c r="AB615">
        <v>0</v>
      </c>
      <c r="AC615">
        <v>1</v>
      </c>
      <c r="AD615">
        <v>12</v>
      </c>
      <c r="AE615">
        <v>8</v>
      </c>
      <c r="AF615">
        <v>4</v>
      </c>
      <c r="AG615">
        <v>3</v>
      </c>
      <c r="AH615">
        <v>1</v>
      </c>
      <c r="AI615">
        <v>1</v>
      </c>
    </row>
    <row r="616" spans="1:35" hidden="1" x14ac:dyDescent="0.25">
      <c r="A616">
        <v>2022</v>
      </c>
      <c r="B616" s="1">
        <v>44738</v>
      </c>
      <c r="C616">
        <v>14</v>
      </c>
      <c r="D616">
        <v>15233</v>
      </c>
      <c r="E616">
        <v>17800</v>
      </c>
      <c r="F616" t="s">
        <v>365</v>
      </c>
      <c r="G616" t="s">
        <v>95</v>
      </c>
      <c r="H616" t="s">
        <v>367</v>
      </c>
      <c r="I616" t="s">
        <v>97</v>
      </c>
      <c r="J616">
        <v>11</v>
      </c>
      <c r="K616">
        <v>1</v>
      </c>
      <c r="L616">
        <v>7380000</v>
      </c>
      <c r="M616">
        <v>57200000</v>
      </c>
      <c r="N616" t="s">
        <v>105</v>
      </c>
      <c r="O616" t="s">
        <v>209</v>
      </c>
      <c r="P616">
        <v>2</v>
      </c>
      <c r="Q616">
        <v>2</v>
      </c>
      <c r="R616">
        <v>1</v>
      </c>
      <c r="S616">
        <v>0</v>
      </c>
      <c r="T616">
        <v>2</v>
      </c>
      <c r="U616">
        <v>5</v>
      </c>
      <c r="V616">
        <v>18</v>
      </c>
      <c r="W616">
        <v>17</v>
      </c>
      <c r="X616">
        <v>16</v>
      </c>
      <c r="Y616">
        <v>16</v>
      </c>
      <c r="Z616">
        <v>2</v>
      </c>
      <c r="AA616">
        <v>2</v>
      </c>
      <c r="AB616">
        <v>0</v>
      </c>
      <c r="AC616">
        <v>1</v>
      </c>
      <c r="AD616">
        <v>7</v>
      </c>
      <c r="AE616">
        <v>15</v>
      </c>
      <c r="AF616">
        <v>3</v>
      </c>
      <c r="AG616">
        <v>8</v>
      </c>
      <c r="AH616">
        <v>0</v>
      </c>
      <c r="AI616">
        <v>0</v>
      </c>
    </row>
    <row r="617" spans="1:35" hidden="1" x14ac:dyDescent="0.25">
      <c r="A617">
        <v>2022</v>
      </c>
      <c r="B617" s="1">
        <v>44745</v>
      </c>
      <c r="C617">
        <v>15</v>
      </c>
      <c r="D617">
        <v>13103</v>
      </c>
      <c r="E617">
        <v>17800</v>
      </c>
      <c r="F617" t="s">
        <v>365</v>
      </c>
      <c r="G617" t="s">
        <v>70</v>
      </c>
      <c r="H617" t="s">
        <v>367</v>
      </c>
      <c r="I617" t="s">
        <v>90</v>
      </c>
      <c r="J617">
        <v>11</v>
      </c>
      <c r="K617">
        <v>18</v>
      </c>
      <c r="L617">
        <v>5930000</v>
      </c>
      <c r="M617">
        <v>9900000</v>
      </c>
      <c r="N617" t="s">
        <v>123</v>
      </c>
      <c r="O617" t="s">
        <v>134</v>
      </c>
      <c r="P617">
        <v>1</v>
      </c>
      <c r="Q617">
        <v>2</v>
      </c>
      <c r="R617">
        <v>1</v>
      </c>
      <c r="S617">
        <v>0</v>
      </c>
      <c r="T617">
        <v>4</v>
      </c>
      <c r="U617">
        <v>4</v>
      </c>
      <c r="V617">
        <v>10</v>
      </c>
      <c r="W617">
        <v>12</v>
      </c>
      <c r="X617">
        <v>12</v>
      </c>
      <c r="Y617">
        <v>8</v>
      </c>
      <c r="Z617">
        <v>1</v>
      </c>
      <c r="AA617">
        <v>2</v>
      </c>
      <c r="AB617">
        <v>3</v>
      </c>
      <c r="AC617">
        <v>2</v>
      </c>
      <c r="AD617">
        <v>12</v>
      </c>
      <c r="AE617">
        <v>13</v>
      </c>
      <c r="AF617">
        <v>7</v>
      </c>
      <c r="AG617">
        <v>6</v>
      </c>
      <c r="AH617">
        <v>-1</v>
      </c>
      <c r="AI617">
        <v>0</v>
      </c>
    </row>
    <row r="618" spans="1:35" hidden="1" x14ac:dyDescent="0.25">
      <c r="A618">
        <v>2022</v>
      </c>
      <c r="B618" s="1">
        <v>44759</v>
      </c>
      <c r="C618">
        <v>17</v>
      </c>
      <c r="D618">
        <v>8674</v>
      </c>
      <c r="E618">
        <v>17800</v>
      </c>
      <c r="F618" t="s">
        <v>365</v>
      </c>
      <c r="G618" t="s">
        <v>326</v>
      </c>
      <c r="H618" t="s">
        <v>367</v>
      </c>
      <c r="I618" t="s">
        <v>338</v>
      </c>
      <c r="J618">
        <v>16</v>
      </c>
      <c r="K618">
        <v>8</v>
      </c>
      <c r="L618">
        <v>7800000</v>
      </c>
      <c r="M618">
        <v>28200000</v>
      </c>
      <c r="N618" t="s">
        <v>200</v>
      </c>
      <c r="O618" t="s">
        <v>41</v>
      </c>
      <c r="P618">
        <v>1</v>
      </c>
      <c r="Q618">
        <v>0</v>
      </c>
      <c r="R618">
        <v>1</v>
      </c>
      <c r="S618">
        <v>0</v>
      </c>
      <c r="T618">
        <v>6</v>
      </c>
      <c r="U618">
        <v>8</v>
      </c>
      <c r="V618">
        <v>17</v>
      </c>
      <c r="W618">
        <v>12</v>
      </c>
      <c r="X618">
        <v>10</v>
      </c>
      <c r="Y618">
        <v>17</v>
      </c>
      <c r="Z618">
        <v>2</v>
      </c>
      <c r="AA618">
        <v>3</v>
      </c>
      <c r="AB618">
        <v>3</v>
      </c>
      <c r="AC618">
        <v>1</v>
      </c>
      <c r="AD618">
        <v>14</v>
      </c>
      <c r="AE618">
        <v>6</v>
      </c>
      <c r="AF618">
        <v>6</v>
      </c>
      <c r="AG618">
        <v>1</v>
      </c>
      <c r="AH618">
        <v>1</v>
      </c>
      <c r="AI618">
        <v>1</v>
      </c>
    </row>
    <row r="619" spans="1:35" hidden="1" x14ac:dyDescent="0.25">
      <c r="A619">
        <v>2022</v>
      </c>
      <c r="B619" s="1">
        <v>44766</v>
      </c>
      <c r="C619">
        <v>19</v>
      </c>
      <c r="D619">
        <v>17557</v>
      </c>
      <c r="E619">
        <v>17800</v>
      </c>
      <c r="F619" t="s">
        <v>365</v>
      </c>
      <c r="G619" t="s">
        <v>77</v>
      </c>
      <c r="H619" t="s">
        <v>367</v>
      </c>
      <c r="I619" t="s">
        <v>315</v>
      </c>
      <c r="J619">
        <v>13</v>
      </c>
      <c r="K619">
        <v>7</v>
      </c>
      <c r="L619">
        <v>8550000</v>
      </c>
      <c r="M619">
        <v>95300000</v>
      </c>
      <c r="N619" t="s">
        <v>123</v>
      </c>
      <c r="O619">
        <v>28</v>
      </c>
      <c r="P619">
        <v>1</v>
      </c>
      <c r="Q619">
        <v>2</v>
      </c>
      <c r="R619">
        <v>0</v>
      </c>
      <c r="S619">
        <v>0</v>
      </c>
      <c r="T619">
        <v>6</v>
      </c>
      <c r="U619">
        <v>5</v>
      </c>
      <c r="V619">
        <v>19</v>
      </c>
      <c r="W619">
        <v>19</v>
      </c>
      <c r="X619">
        <v>18</v>
      </c>
      <c r="Y619">
        <v>19</v>
      </c>
      <c r="Z619">
        <v>5</v>
      </c>
      <c r="AA619">
        <v>3</v>
      </c>
      <c r="AB619">
        <v>1</v>
      </c>
      <c r="AC619">
        <v>0</v>
      </c>
      <c r="AD619">
        <v>13</v>
      </c>
      <c r="AE619">
        <v>19</v>
      </c>
      <c r="AF619">
        <v>6</v>
      </c>
      <c r="AG619">
        <v>5</v>
      </c>
      <c r="AH619">
        <v>-1</v>
      </c>
      <c r="AI619">
        <v>0</v>
      </c>
    </row>
    <row r="620" spans="1:35" hidden="1" x14ac:dyDescent="0.25">
      <c r="A620">
        <v>2022</v>
      </c>
      <c r="B620" s="1">
        <v>44796</v>
      </c>
      <c r="C620">
        <v>23</v>
      </c>
      <c r="D620">
        <v>13911</v>
      </c>
      <c r="E620">
        <v>17800</v>
      </c>
      <c r="F620" t="s">
        <v>365</v>
      </c>
      <c r="G620" t="s">
        <v>37</v>
      </c>
      <c r="H620" t="s">
        <v>367</v>
      </c>
      <c r="I620" t="s">
        <v>240</v>
      </c>
      <c r="J620">
        <v>17</v>
      </c>
      <c r="K620">
        <v>6</v>
      </c>
      <c r="L620">
        <v>8030000</v>
      </c>
      <c r="M620">
        <v>30250000</v>
      </c>
      <c r="N620" t="s">
        <v>138</v>
      </c>
      <c r="O620" t="s">
        <v>117</v>
      </c>
      <c r="P620">
        <v>0</v>
      </c>
      <c r="Q620">
        <v>1</v>
      </c>
      <c r="R620">
        <v>0</v>
      </c>
      <c r="S620">
        <v>0</v>
      </c>
      <c r="T620">
        <v>8</v>
      </c>
      <c r="U620">
        <v>4</v>
      </c>
      <c r="V620">
        <v>15</v>
      </c>
      <c r="W620">
        <v>9</v>
      </c>
      <c r="X620">
        <v>9</v>
      </c>
      <c r="Y620">
        <v>12</v>
      </c>
      <c r="Z620">
        <v>4</v>
      </c>
      <c r="AA620">
        <v>2</v>
      </c>
      <c r="AB620">
        <v>0</v>
      </c>
      <c r="AC620">
        <v>0</v>
      </c>
      <c r="AD620">
        <v>10</v>
      </c>
      <c r="AE620">
        <v>13</v>
      </c>
      <c r="AF620">
        <v>5</v>
      </c>
      <c r="AG620">
        <v>4</v>
      </c>
      <c r="AH620">
        <v>-1</v>
      </c>
      <c r="AI620">
        <v>0</v>
      </c>
    </row>
    <row r="621" spans="1:35" hidden="1" x14ac:dyDescent="0.25">
      <c r="A621">
        <v>2022</v>
      </c>
      <c r="B621" s="1">
        <v>44815</v>
      </c>
      <c r="C621">
        <v>26</v>
      </c>
      <c r="D621">
        <v>9487</v>
      </c>
      <c r="E621">
        <v>17800</v>
      </c>
      <c r="F621" t="s">
        <v>365</v>
      </c>
      <c r="G621" t="s">
        <v>69</v>
      </c>
      <c r="H621" t="s">
        <v>367</v>
      </c>
      <c r="I621" t="s">
        <v>336</v>
      </c>
      <c r="J621">
        <v>18</v>
      </c>
      <c r="K621">
        <v>6</v>
      </c>
      <c r="L621">
        <v>7500000</v>
      </c>
      <c r="M621">
        <v>36400000</v>
      </c>
      <c r="N621" t="s">
        <v>356</v>
      </c>
      <c r="O621" t="s">
        <v>117</v>
      </c>
      <c r="P621">
        <v>1</v>
      </c>
      <c r="Q621">
        <v>1</v>
      </c>
      <c r="R621">
        <v>1</v>
      </c>
      <c r="S621">
        <v>0</v>
      </c>
      <c r="T621">
        <v>7</v>
      </c>
      <c r="U621">
        <v>2</v>
      </c>
      <c r="V621">
        <v>17</v>
      </c>
      <c r="W621">
        <v>20</v>
      </c>
      <c r="X621">
        <v>18</v>
      </c>
      <c r="Y621">
        <v>16</v>
      </c>
      <c r="Z621">
        <v>1</v>
      </c>
      <c r="AA621">
        <v>2</v>
      </c>
      <c r="AB621">
        <v>1</v>
      </c>
      <c r="AC621">
        <v>1</v>
      </c>
      <c r="AD621">
        <v>15</v>
      </c>
      <c r="AE621">
        <v>9</v>
      </c>
      <c r="AF621">
        <v>4</v>
      </c>
      <c r="AG621">
        <v>5</v>
      </c>
      <c r="AH621">
        <v>0</v>
      </c>
      <c r="AI621">
        <v>0</v>
      </c>
    </row>
    <row r="622" spans="1:35" hidden="1" x14ac:dyDescent="0.25">
      <c r="A622">
        <v>2022</v>
      </c>
      <c r="B622" s="1">
        <v>44821</v>
      </c>
      <c r="C622">
        <v>27</v>
      </c>
      <c r="D622">
        <v>5081</v>
      </c>
      <c r="E622">
        <v>17800</v>
      </c>
      <c r="F622" t="s">
        <v>365</v>
      </c>
      <c r="G622" t="s">
        <v>89</v>
      </c>
      <c r="H622" t="s">
        <v>362</v>
      </c>
      <c r="I622" t="s">
        <v>71</v>
      </c>
      <c r="J622">
        <v>18</v>
      </c>
      <c r="K622">
        <v>7</v>
      </c>
      <c r="L622">
        <v>13100000</v>
      </c>
      <c r="M622">
        <v>42500000</v>
      </c>
      <c r="N622" t="s">
        <v>142</v>
      </c>
      <c r="O622" t="s">
        <v>100</v>
      </c>
      <c r="P622">
        <v>1</v>
      </c>
      <c r="Q622">
        <v>0</v>
      </c>
      <c r="R622">
        <v>0</v>
      </c>
      <c r="S622">
        <v>0</v>
      </c>
      <c r="T622">
        <v>2</v>
      </c>
      <c r="U622">
        <v>10</v>
      </c>
      <c r="V622">
        <v>15</v>
      </c>
      <c r="W622">
        <v>20</v>
      </c>
      <c r="X622">
        <v>18</v>
      </c>
      <c r="Y622">
        <v>12</v>
      </c>
      <c r="Z622">
        <v>2</v>
      </c>
      <c r="AA622">
        <v>3</v>
      </c>
      <c r="AB622">
        <v>2</v>
      </c>
      <c r="AC622">
        <v>1</v>
      </c>
      <c r="AD622">
        <v>9</v>
      </c>
      <c r="AE622">
        <v>13</v>
      </c>
      <c r="AF622">
        <v>2</v>
      </c>
      <c r="AG622">
        <v>8</v>
      </c>
      <c r="AH622">
        <v>1</v>
      </c>
      <c r="AI622">
        <v>1</v>
      </c>
    </row>
    <row r="623" spans="1:35" hidden="1" x14ac:dyDescent="0.25">
      <c r="A623">
        <v>2022</v>
      </c>
      <c r="B623" s="1">
        <v>44841</v>
      </c>
      <c r="C623">
        <v>30</v>
      </c>
      <c r="D623">
        <v>6097</v>
      </c>
      <c r="E623">
        <v>17800</v>
      </c>
      <c r="F623" t="s">
        <v>365</v>
      </c>
      <c r="G623" t="s">
        <v>51</v>
      </c>
      <c r="H623" t="s">
        <v>362</v>
      </c>
      <c r="I623" t="s">
        <v>311</v>
      </c>
      <c r="J623">
        <v>18</v>
      </c>
      <c r="K623">
        <v>11</v>
      </c>
      <c r="L623">
        <v>10580000</v>
      </c>
      <c r="M623">
        <v>22400000</v>
      </c>
      <c r="N623">
        <v>30</v>
      </c>
      <c r="O623" t="s">
        <v>208</v>
      </c>
      <c r="P623">
        <v>1</v>
      </c>
      <c r="Q623">
        <v>2</v>
      </c>
      <c r="R623">
        <v>1</v>
      </c>
      <c r="S623">
        <v>0</v>
      </c>
      <c r="T623">
        <v>3</v>
      </c>
      <c r="U623">
        <v>5</v>
      </c>
      <c r="V623">
        <v>17</v>
      </c>
      <c r="W623">
        <v>20</v>
      </c>
      <c r="X623">
        <v>19</v>
      </c>
      <c r="Y623">
        <v>17</v>
      </c>
      <c r="Z623">
        <v>4</v>
      </c>
      <c r="AA623">
        <v>1</v>
      </c>
      <c r="AB623">
        <v>2</v>
      </c>
      <c r="AC623">
        <v>1</v>
      </c>
      <c r="AD623">
        <v>6</v>
      </c>
      <c r="AE623">
        <v>14</v>
      </c>
      <c r="AF623">
        <v>0</v>
      </c>
      <c r="AG623">
        <v>4</v>
      </c>
      <c r="AH623">
        <v>-1</v>
      </c>
      <c r="AI623">
        <v>0</v>
      </c>
    </row>
    <row r="624" spans="1:35" hidden="1" x14ac:dyDescent="0.25">
      <c r="A624">
        <v>2022</v>
      </c>
      <c r="B624" s="1">
        <v>44867</v>
      </c>
      <c r="C624">
        <v>35</v>
      </c>
      <c r="D624">
        <v>3022</v>
      </c>
      <c r="E624">
        <v>17800</v>
      </c>
      <c r="F624" t="s">
        <v>365</v>
      </c>
      <c r="G624" t="s">
        <v>56</v>
      </c>
      <c r="H624" t="s">
        <v>366</v>
      </c>
      <c r="I624" t="s">
        <v>341</v>
      </c>
      <c r="J624">
        <v>19</v>
      </c>
      <c r="K624">
        <v>14</v>
      </c>
      <c r="L624">
        <v>9150000</v>
      </c>
      <c r="M624">
        <v>43200000</v>
      </c>
      <c r="N624" t="s">
        <v>86</v>
      </c>
      <c r="O624" t="s">
        <v>228</v>
      </c>
      <c r="P624">
        <v>1</v>
      </c>
      <c r="Q624">
        <v>2</v>
      </c>
      <c r="R624">
        <v>0</v>
      </c>
      <c r="S624">
        <v>0</v>
      </c>
      <c r="T624">
        <v>2</v>
      </c>
      <c r="U624">
        <v>7</v>
      </c>
      <c r="V624">
        <v>17</v>
      </c>
      <c r="W624">
        <v>17</v>
      </c>
      <c r="X624">
        <v>15</v>
      </c>
      <c r="Y624">
        <v>17</v>
      </c>
      <c r="Z624">
        <v>4</v>
      </c>
      <c r="AA624">
        <v>0</v>
      </c>
      <c r="AB624">
        <v>0</v>
      </c>
      <c r="AC624">
        <v>0</v>
      </c>
      <c r="AD624">
        <v>8</v>
      </c>
      <c r="AE624">
        <v>12</v>
      </c>
      <c r="AF624">
        <v>6</v>
      </c>
      <c r="AG624">
        <v>6</v>
      </c>
      <c r="AH624">
        <v>-1</v>
      </c>
      <c r="AI624">
        <v>0</v>
      </c>
    </row>
    <row r="625" spans="1:35" hidden="1" x14ac:dyDescent="0.25">
      <c r="A625">
        <v>2022</v>
      </c>
      <c r="B625" s="1">
        <v>44874</v>
      </c>
      <c r="C625">
        <v>37</v>
      </c>
      <c r="D625">
        <v>2025</v>
      </c>
      <c r="E625">
        <v>17800</v>
      </c>
      <c r="F625" t="s">
        <v>365</v>
      </c>
      <c r="G625" t="s">
        <v>361</v>
      </c>
      <c r="H625" t="s">
        <v>366</v>
      </c>
      <c r="I625" t="s">
        <v>213</v>
      </c>
      <c r="J625">
        <v>19</v>
      </c>
      <c r="K625">
        <v>18</v>
      </c>
      <c r="L625">
        <v>4900000</v>
      </c>
      <c r="M625">
        <v>9850000</v>
      </c>
      <c r="N625" t="s">
        <v>135</v>
      </c>
      <c r="O625" t="s">
        <v>205</v>
      </c>
      <c r="P625">
        <v>2</v>
      </c>
      <c r="Q625">
        <v>0</v>
      </c>
      <c r="R625">
        <v>0</v>
      </c>
      <c r="S625">
        <v>0</v>
      </c>
      <c r="T625">
        <v>6</v>
      </c>
      <c r="U625">
        <v>6</v>
      </c>
      <c r="V625">
        <v>17</v>
      </c>
      <c r="W625">
        <v>21</v>
      </c>
      <c r="X625">
        <v>21</v>
      </c>
      <c r="Y625">
        <v>15</v>
      </c>
      <c r="Z625">
        <v>3</v>
      </c>
      <c r="AA625">
        <v>1</v>
      </c>
      <c r="AB625">
        <v>2</v>
      </c>
      <c r="AC625">
        <v>1</v>
      </c>
      <c r="AD625">
        <v>14</v>
      </c>
      <c r="AE625">
        <v>15</v>
      </c>
      <c r="AF625">
        <v>7</v>
      </c>
      <c r="AG625">
        <v>9</v>
      </c>
      <c r="AH625">
        <v>2</v>
      </c>
      <c r="AI625">
        <v>1</v>
      </c>
    </row>
    <row r="626" spans="1:35" hidden="1" x14ac:dyDescent="0.25">
      <c r="A626">
        <v>2022</v>
      </c>
      <c r="B626" s="1">
        <v>44682</v>
      </c>
      <c r="C626">
        <v>4</v>
      </c>
      <c r="D626">
        <v>34734</v>
      </c>
      <c r="E626">
        <v>46931</v>
      </c>
      <c r="F626" t="s">
        <v>51</v>
      </c>
      <c r="G626" t="s">
        <v>44</v>
      </c>
      <c r="H626" t="s">
        <v>311</v>
      </c>
      <c r="I626" t="s">
        <v>369</v>
      </c>
      <c r="J626">
        <v>13</v>
      </c>
      <c r="K626">
        <v>19</v>
      </c>
      <c r="L626">
        <v>29780000</v>
      </c>
      <c r="M626">
        <v>7400000</v>
      </c>
      <c r="N626" t="s">
        <v>137</v>
      </c>
      <c r="O626">
        <v>29</v>
      </c>
      <c r="P626">
        <v>1</v>
      </c>
      <c r="Q626">
        <v>1</v>
      </c>
      <c r="R626">
        <v>0</v>
      </c>
      <c r="S626">
        <v>0</v>
      </c>
      <c r="T626">
        <v>6</v>
      </c>
      <c r="U626">
        <v>4</v>
      </c>
      <c r="V626">
        <v>14</v>
      </c>
      <c r="W626">
        <v>17</v>
      </c>
      <c r="X626">
        <v>14</v>
      </c>
      <c r="Y626">
        <v>13</v>
      </c>
      <c r="Z626">
        <v>3</v>
      </c>
      <c r="AA626">
        <v>3</v>
      </c>
      <c r="AB626">
        <v>2</v>
      </c>
      <c r="AC626">
        <v>3</v>
      </c>
      <c r="AD626">
        <v>17</v>
      </c>
      <c r="AE626">
        <v>8</v>
      </c>
      <c r="AF626">
        <v>7</v>
      </c>
      <c r="AG626">
        <v>4</v>
      </c>
      <c r="AH626">
        <v>0</v>
      </c>
      <c r="AI626">
        <v>0</v>
      </c>
    </row>
    <row r="627" spans="1:35" hidden="1" x14ac:dyDescent="0.25">
      <c r="A627">
        <v>2022</v>
      </c>
      <c r="B627" s="1">
        <v>44719</v>
      </c>
      <c r="C627">
        <v>9</v>
      </c>
      <c r="D627">
        <v>30954</v>
      </c>
      <c r="E627">
        <v>39930</v>
      </c>
      <c r="F627" t="s">
        <v>51</v>
      </c>
      <c r="G627" t="s">
        <v>313</v>
      </c>
      <c r="H627" t="s">
        <v>311</v>
      </c>
      <c r="I627" t="s">
        <v>78</v>
      </c>
      <c r="J627">
        <v>7</v>
      </c>
      <c r="K627">
        <v>16</v>
      </c>
      <c r="L627">
        <v>16480000</v>
      </c>
      <c r="M627">
        <v>7000000</v>
      </c>
      <c r="N627">
        <v>27</v>
      </c>
      <c r="O627" t="s">
        <v>41</v>
      </c>
      <c r="P627">
        <v>1</v>
      </c>
      <c r="Q627">
        <v>2</v>
      </c>
      <c r="R627">
        <v>1</v>
      </c>
      <c r="S627">
        <v>0</v>
      </c>
      <c r="T627">
        <v>9</v>
      </c>
      <c r="U627">
        <v>2</v>
      </c>
      <c r="V627">
        <v>11</v>
      </c>
      <c r="W627">
        <v>22</v>
      </c>
      <c r="X627">
        <v>19</v>
      </c>
      <c r="Y627">
        <v>9</v>
      </c>
      <c r="Z627">
        <v>2</v>
      </c>
      <c r="AA627">
        <v>4</v>
      </c>
      <c r="AB627">
        <v>1</v>
      </c>
      <c r="AC627">
        <v>1</v>
      </c>
      <c r="AD627">
        <v>16</v>
      </c>
      <c r="AE627">
        <v>11</v>
      </c>
      <c r="AF627">
        <v>5</v>
      </c>
      <c r="AG627">
        <v>5</v>
      </c>
      <c r="AH627">
        <v>-1</v>
      </c>
      <c r="AI627">
        <v>0</v>
      </c>
    </row>
    <row r="628" spans="1:35" hidden="1" x14ac:dyDescent="0.25">
      <c r="A628">
        <v>2022</v>
      </c>
      <c r="B628" s="1">
        <v>44728</v>
      </c>
      <c r="C628">
        <v>12</v>
      </c>
      <c r="D628">
        <v>18677</v>
      </c>
      <c r="E628">
        <v>46931</v>
      </c>
      <c r="F628" t="s">
        <v>51</v>
      </c>
      <c r="G628" t="s">
        <v>62</v>
      </c>
      <c r="H628" t="s">
        <v>311</v>
      </c>
      <c r="I628" t="s">
        <v>40</v>
      </c>
      <c r="J628">
        <v>17</v>
      </c>
      <c r="K628">
        <v>3</v>
      </c>
      <c r="L628">
        <v>29150000</v>
      </c>
      <c r="M628">
        <v>35500000</v>
      </c>
      <c r="N628" t="s">
        <v>163</v>
      </c>
      <c r="O628" t="s">
        <v>209</v>
      </c>
      <c r="P628">
        <v>1</v>
      </c>
      <c r="Q628">
        <v>0</v>
      </c>
      <c r="R628">
        <v>0</v>
      </c>
      <c r="S628">
        <v>0</v>
      </c>
      <c r="T628">
        <v>3</v>
      </c>
      <c r="U628">
        <v>3</v>
      </c>
      <c r="V628">
        <v>17</v>
      </c>
      <c r="W628">
        <v>17</v>
      </c>
      <c r="X628">
        <v>17</v>
      </c>
      <c r="Y628">
        <v>15</v>
      </c>
      <c r="Z628">
        <v>2</v>
      </c>
      <c r="AA628">
        <v>2</v>
      </c>
      <c r="AB628">
        <v>1</v>
      </c>
      <c r="AC628">
        <v>4</v>
      </c>
      <c r="AD628">
        <v>17</v>
      </c>
      <c r="AE628">
        <v>6</v>
      </c>
      <c r="AF628">
        <v>11</v>
      </c>
      <c r="AG628">
        <v>2</v>
      </c>
      <c r="AH628">
        <v>1</v>
      </c>
      <c r="AI628">
        <v>1</v>
      </c>
    </row>
    <row r="629" spans="1:35" hidden="1" x14ac:dyDescent="0.25">
      <c r="A629">
        <v>2022</v>
      </c>
      <c r="B629" s="1">
        <v>44738</v>
      </c>
      <c r="C629">
        <v>14</v>
      </c>
      <c r="D629">
        <v>29791</v>
      </c>
      <c r="E629">
        <v>46931</v>
      </c>
      <c r="F629" t="s">
        <v>51</v>
      </c>
      <c r="G629" t="s">
        <v>55</v>
      </c>
      <c r="H629" t="s">
        <v>311</v>
      </c>
      <c r="I629" t="s">
        <v>57</v>
      </c>
      <c r="J629">
        <v>7</v>
      </c>
      <c r="K629">
        <v>6</v>
      </c>
      <c r="L629">
        <v>20700000</v>
      </c>
      <c r="M629">
        <v>33850000</v>
      </c>
      <c r="N629" t="s">
        <v>41</v>
      </c>
      <c r="O629" t="s">
        <v>134</v>
      </c>
      <c r="P629">
        <v>0</v>
      </c>
      <c r="Q629">
        <v>1</v>
      </c>
      <c r="R629">
        <v>0</v>
      </c>
      <c r="S629">
        <v>0</v>
      </c>
      <c r="T629">
        <v>1</v>
      </c>
      <c r="U629">
        <v>6</v>
      </c>
      <c r="V629">
        <v>18</v>
      </c>
      <c r="W629">
        <v>14</v>
      </c>
      <c r="X629">
        <v>13</v>
      </c>
      <c r="Y629">
        <v>17</v>
      </c>
      <c r="Z629">
        <v>2</v>
      </c>
      <c r="AA629">
        <v>1</v>
      </c>
      <c r="AB629">
        <v>1</v>
      </c>
      <c r="AC629">
        <v>1</v>
      </c>
      <c r="AD629">
        <v>9</v>
      </c>
      <c r="AE629">
        <v>11</v>
      </c>
      <c r="AF629">
        <v>4</v>
      </c>
      <c r="AG629">
        <v>6</v>
      </c>
      <c r="AH629">
        <v>-1</v>
      </c>
      <c r="AI629">
        <v>0</v>
      </c>
    </row>
    <row r="630" spans="1:35" hidden="1" x14ac:dyDescent="0.25">
      <c r="A630">
        <v>2022</v>
      </c>
      <c r="B630" s="1">
        <v>44759</v>
      </c>
      <c r="C630">
        <v>17</v>
      </c>
      <c r="D630">
        <v>8678</v>
      </c>
      <c r="E630">
        <v>46931</v>
      </c>
      <c r="F630" t="s">
        <v>51</v>
      </c>
      <c r="G630" t="s">
        <v>89</v>
      </c>
      <c r="H630" t="s">
        <v>311</v>
      </c>
      <c r="I630" t="s">
        <v>370</v>
      </c>
      <c r="J630">
        <v>10</v>
      </c>
      <c r="K630">
        <v>4</v>
      </c>
      <c r="L630">
        <v>16750000</v>
      </c>
      <c r="M630">
        <v>64400000</v>
      </c>
      <c r="N630" t="s">
        <v>163</v>
      </c>
      <c r="O630" t="s">
        <v>200</v>
      </c>
      <c r="P630">
        <v>0</v>
      </c>
      <c r="Q630">
        <v>1</v>
      </c>
      <c r="R630">
        <v>0</v>
      </c>
      <c r="S630">
        <v>0</v>
      </c>
      <c r="T630">
        <v>6</v>
      </c>
      <c r="U630">
        <v>2</v>
      </c>
      <c r="V630">
        <v>21</v>
      </c>
      <c r="W630">
        <v>18</v>
      </c>
      <c r="X630">
        <v>17</v>
      </c>
      <c r="Y630">
        <v>21</v>
      </c>
      <c r="Z630">
        <v>1</v>
      </c>
      <c r="AA630">
        <v>2</v>
      </c>
      <c r="AB630">
        <v>1</v>
      </c>
      <c r="AC630">
        <v>3</v>
      </c>
      <c r="AD630">
        <v>14</v>
      </c>
      <c r="AE630">
        <v>15</v>
      </c>
      <c r="AF630">
        <v>5</v>
      </c>
      <c r="AG630">
        <v>6</v>
      </c>
      <c r="AH630">
        <v>-1</v>
      </c>
      <c r="AI630">
        <v>0</v>
      </c>
    </row>
    <row r="631" spans="1:35" hidden="1" x14ac:dyDescent="0.25">
      <c r="A631">
        <v>2022</v>
      </c>
      <c r="B631" s="1">
        <v>44766</v>
      </c>
      <c r="C631">
        <v>19</v>
      </c>
      <c r="D631">
        <v>8105</v>
      </c>
      <c r="E631">
        <v>46931</v>
      </c>
      <c r="F631" t="s">
        <v>51</v>
      </c>
      <c r="G631" t="s">
        <v>69</v>
      </c>
      <c r="H631" t="s">
        <v>311</v>
      </c>
      <c r="I631" t="s">
        <v>336</v>
      </c>
      <c r="J631">
        <v>12</v>
      </c>
      <c r="K631">
        <v>5</v>
      </c>
      <c r="L631">
        <v>15080000</v>
      </c>
      <c r="M631">
        <v>22200000</v>
      </c>
      <c r="N631">
        <v>28</v>
      </c>
      <c r="O631" t="s">
        <v>252</v>
      </c>
      <c r="P631">
        <v>2</v>
      </c>
      <c r="Q631">
        <v>0</v>
      </c>
      <c r="R631">
        <v>1</v>
      </c>
      <c r="S631">
        <v>0</v>
      </c>
      <c r="T631">
        <v>2</v>
      </c>
      <c r="U631">
        <v>11</v>
      </c>
      <c r="V631">
        <v>16</v>
      </c>
      <c r="W631">
        <v>15</v>
      </c>
      <c r="X631">
        <v>15</v>
      </c>
      <c r="Y631">
        <v>16</v>
      </c>
      <c r="Z631">
        <v>4</v>
      </c>
      <c r="AA631">
        <v>4</v>
      </c>
      <c r="AB631">
        <v>0</v>
      </c>
      <c r="AC631">
        <v>3</v>
      </c>
      <c r="AD631">
        <v>17</v>
      </c>
      <c r="AE631">
        <v>16</v>
      </c>
      <c r="AF631">
        <v>10</v>
      </c>
      <c r="AG631">
        <v>5</v>
      </c>
      <c r="AH631">
        <v>2</v>
      </c>
      <c r="AI631">
        <v>1</v>
      </c>
    </row>
    <row r="632" spans="1:35" hidden="1" x14ac:dyDescent="0.25">
      <c r="A632">
        <v>2022</v>
      </c>
      <c r="B632" s="1">
        <v>44787</v>
      </c>
      <c r="C632">
        <v>22</v>
      </c>
      <c r="D632">
        <v>12230</v>
      </c>
      <c r="E632">
        <v>46931</v>
      </c>
      <c r="F632" t="s">
        <v>51</v>
      </c>
      <c r="G632" t="s">
        <v>76</v>
      </c>
      <c r="J632">
        <v>12</v>
      </c>
      <c r="K632">
        <v>19</v>
      </c>
      <c r="L632">
        <v>20580000</v>
      </c>
      <c r="M632">
        <v>7700000</v>
      </c>
      <c r="N632" t="s">
        <v>123</v>
      </c>
      <c r="O632" t="s">
        <v>129</v>
      </c>
      <c r="P632">
        <v>0</v>
      </c>
      <c r="Q632">
        <v>0</v>
      </c>
      <c r="R632">
        <v>0</v>
      </c>
      <c r="S632">
        <v>0</v>
      </c>
      <c r="T632">
        <v>8</v>
      </c>
      <c r="U632">
        <v>3</v>
      </c>
      <c r="V632">
        <v>18</v>
      </c>
      <c r="W632">
        <v>10</v>
      </c>
      <c r="X632">
        <v>7</v>
      </c>
      <c r="Y632">
        <v>17</v>
      </c>
      <c r="Z632">
        <v>2</v>
      </c>
      <c r="AA632">
        <v>5</v>
      </c>
      <c r="AB632">
        <v>0</v>
      </c>
      <c r="AC632">
        <v>3</v>
      </c>
      <c r="AD632">
        <v>14</v>
      </c>
      <c r="AE632">
        <v>11</v>
      </c>
      <c r="AF632">
        <v>5</v>
      </c>
      <c r="AG632">
        <v>7</v>
      </c>
      <c r="AH632">
        <v>0</v>
      </c>
      <c r="AI632">
        <v>0</v>
      </c>
    </row>
    <row r="633" spans="1:35" hidden="1" x14ac:dyDescent="0.25">
      <c r="A633">
        <v>2022</v>
      </c>
      <c r="B633" s="1">
        <v>44801</v>
      </c>
      <c r="C633">
        <v>24</v>
      </c>
      <c r="D633">
        <v>14442</v>
      </c>
      <c r="E633">
        <v>46931</v>
      </c>
      <c r="F633" t="s">
        <v>51</v>
      </c>
      <c r="G633" t="s">
        <v>77</v>
      </c>
      <c r="H633" t="s">
        <v>311</v>
      </c>
      <c r="I633" t="s">
        <v>315</v>
      </c>
      <c r="J633">
        <v>14</v>
      </c>
      <c r="K633">
        <v>3</v>
      </c>
      <c r="L633">
        <v>18400000</v>
      </c>
      <c r="M633">
        <v>72400000</v>
      </c>
      <c r="N633" t="s">
        <v>235</v>
      </c>
      <c r="O633" t="s">
        <v>114</v>
      </c>
      <c r="P633">
        <v>0</v>
      </c>
      <c r="Q633">
        <v>1</v>
      </c>
      <c r="R633">
        <v>0</v>
      </c>
      <c r="S633">
        <v>0</v>
      </c>
      <c r="T633">
        <v>3</v>
      </c>
      <c r="U633">
        <v>4</v>
      </c>
      <c r="V633">
        <v>19</v>
      </c>
      <c r="W633">
        <v>14</v>
      </c>
      <c r="X633">
        <v>13</v>
      </c>
      <c r="Y633">
        <v>18</v>
      </c>
      <c r="Z633">
        <v>0</v>
      </c>
      <c r="AA633">
        <v>4</v>
      </c>
      <c r="AB633">
        <v>0</v>
      </c>
      <c r="AC633">
        <v>2</v>
      </c>
      <c r="AD633">
        <v>14</v>
      </c>
      <c r="AE633">
        <v>6</v>
      </c>
      <c r="AF633">
        <v>8</v>
      </c>
      <c r="AG633">
        <v>3</v>
      </c>
      <c r="AH633">
        <v>-1</v>
      </c>
      <c r="AI633">
        <v>0</v>
      </c>
    </row>
    <row r="634" spans="1:35" hidden="1" x14ac:dyDescent="0.25">
      <c r="A634">
        <v>2022</v>
      </c>
      <c r="B634" s="1">
        <v>44815</v>
      </c>
      <c r="C634">
        <v>26</v>
      </c>
      <c r="D634">
        <v>32285</v>
      </c>
      <c r="E634">
        <v>46931</v>
      </c>
      <c r="F634" t="s">
        <v>51</v>
      </c>
      <c r="G634" t="s">
        <v>310</v>
      </c>
      <c r="H634" t="s">
        <v>311</v>
      </c>
      <c r="I634" t="s">
        <v>312</v>
      </c>
      <c r="J634">
        <v>13</v>
      </c>
      <c r="K634">
        <v>8</v>
      </c>
      <c r="L634">
        <v>22300000</v>
      </c>
      <c r="M634">
        <v>7450000</v>
      </c>
      <c r="N634" t="s">
        <v>92</v>
      </c>
      <c r="O634" t="s">
        <v>205</v>
      </c>
      <c r="P634">
        <v>0</v>
      </c>
      <c r="Q634">
        <v>0</v>
      </c>
      <c r="R634">
        <v>0</v>
      </c>
      <c r="S634">
        <v>0</v>
      </c>
      <c r="T634">
        <v>6</v>
      </c>
      <c r="U634">
        <v>11</v>
      </c>
      <c r="V634">
        <v>11</v>
      </c>
      <c r="W634">
        <v>20</v>
      </c>
      <c r="X634">
        <v>20</v>
      </c>
      <c r="Y634">
        <v>11</v>
      </c>
      <c r="Z634">
        <v>2</v>
      </c>
      <c r="AA634">
        <v>5</v>
      </c>
      <c r="AB634">
        <v>1</v>
      </c>
      <c r="AC634">
        <v>3</v>
      </c>
      <c r="AD634">
        <v>20</v>
      </c>
      <c r="AE634">
        <v>12</v>
      </c>
      <c r="AF634">
        <v>11</v>
      </c>
      <c r="AG634">
        <v>4</v>
      </c>
      <c r="AH634">
        <v>0</v>
      </c>
      <c r="AI634">
        <v>0</v>
      </c>
    </row>
    <row r="635" spans="1:35" hidden="1" x14ac:dyDescent="0.25">
      <c r="A635">
        <v>2022</v>
      </c>
      <c r="B635" s="1">
        <v>44822</v>
      </c>
      <c r="C635">
        <v>27</v>
      </c>
      <c r="D635">
        <v>15080</v>
      </c>
      <c r="E635">
        <v>46931</v>
      </c>
      <c r="F635" t="s">
        <v>51</v>
      </c>
      <c r="G635" t="s">
        <v>321</v>
      </c>
      <c r="H635" t="s">
        <v>311</v>
      </c>
      <c r="I635" t="s">
        <v>340</v>
      </c>
      <c r="J635">
        <v>12</v>
      </c>
      <c r="K635">
        <v>16</v>
      </c>
      <c r="L635">
        <v>20400000</v>
      </c>
      <c r="M635">
        <v>9900000</v>
      </c>
      <c r="N635" t="s">
        <v>296</v>
      </c>
      <c r="O635" t="s">
        <v>209</v>
      </c>
      <c r="P635">
        <v>2</v>
      </c>
      <c r="Q635">
        <v>0</v>
      </c>
      <c r="R635">
        <v>0</v>
      </c>
      <c r="S635">
        <v>0</v>
      </c>
      <c r="T635">
        <v>5</v>
      </c>
      <c r="U635">
        <v>10</v>
      </c>
      <c r="V635">
        <v>12</v>
      </c>
      <c r="W635">
        <v>17</v>
      </c>
      <c r="X635">
        <v>17</v>
      </c>
      <c r="Y635">
        <v>12</v>
      </c>
      <c r="Z635">
        <v>2</v>
      </c>
      <c r="AA635">
        <v>2</v>
      </c>
      <c r="AB635">
        <v>1</v>
      </c>
      <c r="AC635">
        <v>3</v>
      </c>
      <c r="AD635">
        <v>12</v>
      </c>
      <c r="AE635">
        <v>18</v>
      </c>
      <c r="AF635">
        <v>5</v>
      </c>
      <c r="AG635">
        <v>6</v>
      </c>
      <c r="AH635">
        <v>2</v>
      </c>
      <c r="AI635">
        <v>1</v>
      </c>
    </row>
    <row r="636" spans="1:35" hidden="1" x14ac:dyDescent="0.25">
      <c r="A636">
        <v>2022</v>
      </c>
      <c r="B636" s="1">
        <v>44850</v>
      </c>
      <c r="C636">
        <v>32</v>
      </c>
      <c r="D636">
        <v>24445</v>
      </c>
      <c r="E636">
        <v>46931</v>
      </c>
      <c r="F636" t="s">
        <v>51</v>
      </c>
      <c r="G636" t="s">
        <v>37</v>
      </c>
      <c r="H636" t="s">
        <v>311</v>
      </c>
      <c r="I636" t="s">
        <v>240</v>
      </c>
      <c r="J636">
        <v>9</v>
      </c>
      <c r="K636">
        <v>2</v>
      </c>
      <c r="L636">
        <v>21400000</v>
      </c>
      <c r="M636">
        <v>35050000</v>
      </c>
      <c r="N636" t="s">
        <v>200</v>
      </c>
      <c r="O636" t="s">
        <v>128</v>
      </c>
      <c r="P636">
        <v>0</v>
      </c>
      <c r="Q636">
        <v>1</v>
      </c>
      <c r="R636">
        <v>0</v>
      </c>
      <c r="S636">
        <v>0</v>
      </c>
      <c r="T636">
        <v>3</v>
      </c>
      <c r="U636">
        <v>4</v>
      </c>
      <c r="V636">
        <v>15</v>
      </c>
      <c r="W636">
        <v>13</v>
      </c>
      <c r="X636">
        <v>12</v>
      </c>
      <c r="Y636">
        <v>15</v>
      </c>
      <c r="Z636">
        <v>0</v>
      </c>
      <c r="AA636">
        <v>4</v>
      </c>
      <c r="AB636">
        <v>1</v>
      </c>
      <c r="AC636">
        <v>3</v>
      </c>
      <c r="AD636">
        <v>12</v>
      </c>
      <c r="AE636">
        <v>11</v>
      </c>
      <c r="AF636">
        <v>4</v>
      </c>
      <c r="AG636">
        <v>3</v>
      </c>
      <c r="AH636">
        <v>-1</v>
      </c>
      <c r="AI636">
        <v>0</v>
      </c>
    </row>
    <row r="637" spans="1:35" hidden="1" x14ac:dyDescent="0.25">
      <c r="A637">
        <v>2022</v>
      </c>
      <c r="B637" s="1">
        <v>44861</v>
      </c>
      <c r="C637">
        <v>34</v>
      </c>
      <c r="D637">
        <v>11093</v>
      </c>
      <c r="E637">
        <v>46931</v>
      </c>
      <c r="F637" t="s">
        <v>51</v>
      </c>
      <c r="G637" t="s">
        <v>56</v>
      </c>
      <c r="H637" t="s">
        <v>311</v>
      </c>
      <c r="I637" t="s">
        <v>341</v>
      </c>
      <c r="J637">
        <v>11</v>
      </c>
      <c r="K637">
        <v>14</v>
      </c>
      <c r="L637">
        <v>22600000</v>
      </c>
      <c r="M637">
        <v>35700000</v>
      </c>
      <c r="N637" t="s">
        <v>92</v>
      </c>
      <c r="O637">
        <v>24</v>
      </c>
      <c r="P637">
        <v>2</v>
      </c>
      <c r="Q637">
        <v>1</v>
      </c>
      <c r="R637">
        <v>1</v>
      </c>
      <c r="S637">
        <v>0</v>
      </c>
      <c r="T637">
        <v>5</v>
      </c>
      <c r="U637">
        <v>4</v>
      </c>
      <c r="V637">
        <v>12</v>
      </c>
      <c r="W637">
        <v>12</v>
      </c>
      <c r="X637">
        <v>12</v>
      </c>
      <c r="Y637">
        <v>11</v>
      </c>
      <c r="Z637">
        <v>0</v>
      </c>
      <c r="AA637">
        <v>5</v>
      </c>
      <c r="AB637">
        <v>1</v>
      </c>
      <c r="AC637">
        <v>2</v>
      </c>
      <c r="AD637">
        <v>18</v>
      </c>
      <c r="AE637">
        <v>5</v>
      </c>
      <c r="AF637">
        <v>4</v>
      </c>
      <c r="AG637">
        <v>3</v>
      </c>
      <c r="AH637">
        <v>1</v>
      </c>
      <c r="AI637">
        <v>1</v>
      </c>
    </row>
    <row r="638" spans="1:35" hidden="1" x14ac:dyDescent="0.25">
      <c r="A638">
        <v>2022</v>
      </c>
      <c r="B638" s="1">
        <v>44876</v>
      </c>
      <c r="C638">
        <v>37</v>
      </c>
      <c r="D638">
        <v>28139</v>
      </c>
      <c r="E638">
        <v>46931</v>
      </c>
      <c r="F638" t="s">
        <v>51</v>
      </c>
      <c r="G638" t="s">
        <v>326</v>
      </c>
      <c r="H638" t="s">
        <v>311</v>
      </c>
      <c r="I638" t="s">
        <v>363</v>
      </c>
      <c r="J638">
        <v>10</v>
      </c>
      <c r="K638">
        <v>12</v>
      </c>
      <c r="L638">
        <v>22100000</v>
      </c>
      <c r="M638">
        <v>43300000</v>
      </c>
      <c r="N638" t="s">
        <v>114</v>
      </c>
      <c r="O638" t="s">
        <v>239</v>
      </c>
      <c r="P638">
        <v>3</v>
      </c>
      <c r="Q638">
        <v>0</v>
      </c>
      <c r="R638">
        <v>1</v>
      </c>
      <c r="S638">
        <v>0</v>
      </c>
      <c r="T638">
        <v>3</v>
      </c>
      <c r="U638">
        <v>4</v>
      </c>
      <c r="V638">
        <v>15</v>
      </c>
      <c r="W638">
        <v>17</v>
      </c>
      <c r="X638">
        <v>16</v>
      </c>
      <c r="Y638">
        <v>15</v>
      </c>
      <c r="Z638">
        <v>0</v>
      </c>
      <c r="AA638">
        <v>4</v>
      </c>
      <c r="AB638">
        <v>6</v>
      </c>
      <c r="AC638">
        <v>1</v>
      </c>
      <c r="AD638">
        <v>14</v>
      </c>
      <c r="AE638">
        <v>4</v>
      </c>
      <c r="AF638">
        <v>3</v>
      </c>
      <c r="AG638">
        <v>4</v>
      </c>
      <c r="AH638">
        <v>3</v>
      </c>
      <c r="AI638">
        <v>1</v>
      </c>
    </row>
    <row r="639" spans="1:35" hidden="1" x14ac:dyDescent="0.25">
      <c r="A639">
        <v>2022</v>
      </c>
      <c r="B639" s="1">
        <v>44672</v>
      </c>
      <c r="C639">
        <v>4</v>
      </c>
      <c r="D639">
        <v>69997</v>
      </c>
      <c r="E639">
        <v>78838</v>
      </c>
      <c r="F639" t="s">
        <v>77</v>
      </c>
      <c r="G639" t="s">
        <v>95</v>
      </c>
      <c r="H639" t="s">
        <v>371</v>
      </c>
      <c r="I639" t="s">
        <v>97</v>
      </c>
      <c r="J639">
        <v>12</v>
      </c>
      <c r="K639">
        <v>11</v>
      </c>
      <c r="L639">
        <v>83800000</v>
      </c>
      <c r="M639">
        <v>88000000</v>
      </c>
      <c r="N639" t="s">
        <v>137</v>
      </c>
      <c r="O639">
        <v>28</v>
      </c>
      <c r="P639">
        <v>0</v>
      </c>
      <c r="Q639">
        <v>0</v>
      </c>
      <c r="R639">
        <v>0</v>
      </c>
      <c r="S639">
        <v>0</v>
      </c>
      <c r="T639">
        <v>9</v>
      </c>
      <c r="U639">
        <v>6</v>
      </c>
      <c r="V639">
        <v>15</v>
      </c>
      <c r="W639">
        <v>21</v>
      </c>
      <c r="X639">
        <v>21</v>
      </c>
      <c r="Y639">
        <v>14</v>
      </c>
      <c r="Z639">
        <v>2</v>
      </c>
      <c r="AA639">
        <v>2</v>
      </c>
      <c r="AB639">
        <v>1</v>
      </c>
      <c r="AC639">
        <v>1</v>
      </c>
      <c r="AD639">
        <v>17</v>
      </c>
      <c r="AE639">
        <v>10</v>
      </c>
      <c r="AF639">
        <v>9</v>
      </c>
      <c r="AG639">
        <v>3</v>
      </c>
      <c r="AH639">
        <v>0</v>
      </c>
      <c r="AI639">
        <v>0</v>
      </c>
    </row>
    <row r="640" spans="1:35" hidden="1" x14ac:dyDescent="0.25">
      <c r="A640">
        <v>2022</v>
      </c>
      <c r="B640" s="1">
        <v>44689</v>
      </c>
      <c r="C640">
        <v>5</v>
      </c>
      <c r="D640">
        <v>54981</v>
      </c>
      <c r="E640">
        <v>72838</v>
      </c>
      <c r="F640" t="s">
        <v>77</v>
      </c>
      <c r="G640" t="s">
        <v>51</v>
      </c>
      <c r="H640" t="s">
        <v>371</v>
      </c>
      <c r="I640" t="s">
        <v>311</v>
      </c>
      <c r="J640">
        <v>13</v>
      </c>
      <c r="K640">
        <v>14</v>
      </c>
      <c r="L640">
        <v>82300000</v>
      </c>
      <c r="M640">
        <v>20880000</v>
      </c>
      <c r="N640" t="s">
        <v>200</v>
      </c>
      <c r="O640" t="s">
        <v>66</v>
      </c>
      <c r="P640">
        <v>0</v>
      </c>
      <c r="Q640">
        <v>1</v>
      </c>
      <c r="R640">
        <v>0</v>
      </c>
      <c r="S640">
        <v>0</v>
      </c>
      <c r="T640">
        <v>10</v>
      </c>
      <c r="U640">
        <v>4</v>
      </c>
      <c r="V640">
        <v>13</v>
      </c>
      <c r="W640">
        <v>18</v>
      </c>
      <c r="X640">
        <v>18</v>
      </c>
      <c r="Y640">
        <v>13</v>
      </c>
      <c r="Z640">
        <v>7</v>
      </c>
      <c r="AA640">
        <v>7</v>
      </c>
      <c r="AB640">
        <v>8</v>
      </c>
      <c r="AC640">
        <v>1</v>
      </c>
      <c r="AD640">
        <v>17</v>
      </c>
      <c r="AE640">
        <v>13</v>
      </c>
      <c r="AF640">
        <v>9</v>
      </c>
      <c r="AG640">
        <v>1</v>
      </c>
      <c r="AH640">
        <v>-1</v>
      </c>
      <c r="AI640">
        <v>0</v>
      </c>
    </row>
    <row r="641" spans="1:35" hidden="1" x14ac:dyDescent="0.25">
      <c r="A641">
        <v>2022</v>
      </c>
      <c r="B641" s="1">
        <v>44702</v>
      </c>
      <c r="C641">
        <v>7</v>
      </c>
      <c r="D641">
        <v>51962</v>
      </c>
      <c r="E641">
        <v>78838</v>
      </c>
      <c r="F641" t="s">
        <v>77</v>
      </c>
      <c r="G641" t="s">
        <v>313</v>
      </c>
      <c r="H641" t="s">
        <v>371</v>
      </c>
      <c r="I641" t="s">
        <v>78</v>
      </c>
      <c r="J641">
        <v>17</v>
      </c>
      <c r="K641">
        <v>13</v>
      </c>
      <c r="L641">
        <v>100500000</v>
      </c>
      <c r="M641">
        <v>6600000</v>
      </c>
      <c r="N641" t="s">
        <v>41</v>
      </c>
      <c r="O641" t="s">
        <v>41</v>
      </c>
      <c r="P641">
        <v>1</v>
      </c>
      <c r="Q641">
        <v>0</v>
      </c>
      <c r="R641">
        <v>1</v>
      </c>
      <c r="S641">
        <v>0</v>
      </c>
      <c r="T641">
        <v>6</v>
      </c>
      <c r="U641">
        <v>4</v>
      </c>
      <c r="V641">
        <v>14</v>
      </c>
      <c r="W641">
        <v>19</v>
      </c>
      <c r="X641">
        <v>18</v>
      </c>
      <c r="Y641">
        <v>13</v>
      </c>
      <c r="Z641">
        <v>0</v>
      </c>
      <c r="AA641">
        <v>5</v>
      </c>
      <c r="AB641">
        <v>1</v>
      </c>
      <c r="AC641">
        <v>3</v>
      </c>
      <c r="AD641">
        <v>12</v>
      </c>
      <c r="AE641">
        <v>3</v>
      </c>
      <c r="AF641">
        <v>5</v>
      </c>
      <c r="AG641">
        <v>3</v>
      </c>
      <c r="AH641">
        <v>1</v>
      </c>
      <c r="AI641">
        <v>1</v>
      </c>
    </row>
    <row r="642" spans="1:35" hidden="1" x14ac:dyDescent="0.25">
      <c r="A642">
        <v>2022</v>
      </c>
      <c r="B642" s="1">
        <v>44728</v>
      </c>
      <c r="C642">
        <v>12</v>
      </c>
      <c r="D642">
        <v>43930</v>
      </c>
      <c r="E642">
        <v>78838</v>
      </c>
      <c r="F642" t="s">
        <v>77</v>
      </c>
      <c r="G642" t="s">
        <v>70</v>
      </c>
      <c r="H642" t="s">
        <v>315</v>
      </c>
      <c r="I642" t="s">
        <v>90</v>
      </c>
      <c r="J642">
        <v>16</v>
      </c>
      <c r="K642">
        <v>18</v>
      </c>
      <c r="L642">
        <v>93800000</v>
      </c>
      <c r="M642">
        <v>9300000</v>
      </c>
      <c r="N642" t="s">
        <v>123</v>
      </c>
      <c r="O642" t="s">
        <v>142</v>
      </c>
      <c r="P642">
        <v>2</v>
      </c>
      <c r="Q642">
        <v>0</v>
      </c>
      <c r="R642">
        <v>1</v>
      </c>
      <c r="S642">
        <v>0</v>
      </c>
      <c r="T642">
        <v>4</v>
      </c>
      <c r="U642">
        <v>3</v>
      </c>
      <c r="V642">
        <v>17</v>
      </c>
      <c r="W642">
        <v>14</v>
      </c>
      <c r="X642">
        <v>13</v>
      </c>
      <c r="Y642">
        <v>17</v>
      </c>
      <c r="Z642">
        <v>1</v>
      </c>
      <c r="AA642">
        <v>5</v>
      </c>
      <c r="AB642">
        <v>3</v>
      </c>
      <c r="AC642">
        <v>0</v>
      </c>
      <c r="AD642">
        <v>15</v>
      </c>
      <c r="AE642">
        <v>6</v>
      </c>
      <c r="AF642">
        <v>5</v>
      </c>
      <c r="AG642">
        <v>5</v>
      </c>
      <c r="AH642">
        <v>2</v>
      </c>
      <c r="AI642">
        <v>1</v>
      </c>
    </row>
    <row r="643" spans="1:35" hidden="1" x14ac:dyDescent="0.25">
      <c r="A643">
        <v>2022</v>
      </c>
      <c r="B643" s="1">
        <v>44738</v>
      </c>
      <c r="C643">
        <v>14</v>
      </c>
      <c r="D643">
        <v>42931</v>
      </c>
      <c r="E643">
        <v>78838</v>
      </c>
      <c r="F643" t="s">
        <v>77</v>
      </c>
      <c r="G643" t="s">
        <v>310</v>
      </c>
      <c r="H643" t="s">
        <v>315</v>
      </c>
      <c r="I643" t="s">
        <v>312</v>
      </c>
      <c r="J643">
        <v>14</v>
      </c>
      <c r="K643">
        <v>16</v>
      </c>
      <c r="L643">
        <v>90300000</v>
      </c>
      <c r="M643">
        <v>7950000</v>
      </c>
      <c r="N643" t="s">
        <v>116</v>
      </c>
      <c r="O643" t="s">
        <v>59</v>
      </c>
      <c r="P643">
        <v>3</v>
      </c>
      <c r="Q643">
        <v>0</v>
      </c>
      <c r="R643">
        <v>1</v>
      </c>
      <c r="S643">
        <v>0</v>
      </c>
      <c r="T643">
        <v>7</v>
      </c>
      <c r="U643">
        <v>7</v>
      </c>
      <c r="V643">
        <v>17</v>
      </c>
      <c r="W643">
        <v>13</v>
      </c>
      <c r="X643">
        <v>11</v>
      </c>
      <c r="Y643">
        <v>16</v>
      </c>
      <c r="Z643">
        <v>5</v>
      </c>
      <c r="AA643">
        <v>4</v>
      </c>
      <c r="AB643">
        <v>2</v>
      </c>
      <c r="AC643">
        <v>1</v>
      </c>
      <c r="AD643">
        <v>23</v>
      </c>
      <c r="AE643">
        <v>15</v>
      </c>
      <c r="AF643">
        <v>10</v>
      </c>
      <c r="AG643">
        <v>6</v>
      </c>
      <c r="AH643">
        <v>3</v>
      </c>
      <c r="AI643">
        <v>1</v>
      </c>
    </row>
    <row r="644" spans="1:35" hidden="1" x14ac:dyDescent="0.25">
      <c r="A644">
        <v>2022</v>
      </c>
      <c r="B644" s="1">
        <v>44759</v>
      </c>
      <c r="C644">
        <v>17</v>
      </c>
      <c r="D644">
        <v>33778</v>
      </c>
      <c r="E644">
        <v>78838</v>
      </c>
      <c r="F644" t="s">
        <v>77</v>
      </c>
      <c r="G644" t="s">
        <v>321</v>
      </c>
      <c r="H644" t="s">
        <v>315</v>
      </c>
      <c r="I644" t="s">
        <v>358</v>
      </c>
      <c r="J644">
        <v>9</v>
      </c>
      <c r="K644">
        <v>14</v>
      </c>
      <c r="L644">
        <v>54600000</v>
      </c>
      <c r="M644">
        <v>5600000</v>
      </c>
      <c r="N644" t="s">
        <v>117</v>
      </c>
      <c r="O644" t="s">
        <v>174</v>
      </c>
      <c r="P644">
        <v>2</v>
      </c>
      <c r="Q644">
        <v>0</v>
      </c>
      <c r="R644">
        <v>2</v>
      </c>
      <c r="S644">
        <v>0</v>
      </c>
      <c r="T644">
        <v>8</v>
      </c>
      <c r="U644">
        <v>6</v>
      </c>
      <c r="V644">
        <v>13</v>
      </c>
      <c r="W644">
        <v>11</v>
      </c>
      <c r="X644">
        <v>9</v>
      </c>
      <c r="Y644">
        <v>13</v>
      </c>
      <c r="Z644">
        <v>0</v>
      </c>
      <c r="AA644">
        <v>2</v>
      </c>
      <c r="AB644">
        <v>0</v>
      </c>
      <c r="AC644">
        <v>1</v>
      </c>
      <c r="AD644">
        <v>17</v>
      </c>
      <c r="AE644">
        <v>17</v>
      </c>
      <c r="AF644">
        <v>8</v>
      </c>
      <c r="AG644">
        <v>7</v>
      </c>
      <c r="AH644">
        <v>2</v>
      </c>
      <c r="AI644">
        <v>1</v>
      </c>
    </row>
    <row r="645" spans="1:35" hidden="1" x14ac:dyDescent="0.25">
      <c r="A645">
        <v>2022</v>
      </c>
      <c r="B645" s="1">
        <v>44763</v>
      </c>
      <c r="C645">
        <v>18</v>
      </c>
      <c r="D645">
        <v>65392</v>
      </c>
      <c r="E645">
        <v>72838</v>
      </c>
      <c r="F645" t="s">
        <v>77</v>
      </c>
      <c r="G645" t="s">
        <v>44</v>
      </c>
      <c r="H645" t="s">
        <v>346</v>
      </c>
      <c r="I645" t="s">
        <v>238</v>
      </c>
      <c r="J645">
        <v>7</v>
      </c>
      <c r="K645">
        <v>20</v>
      </c>
      <c r="L645">
        <v>84300000</v>
      </c>
      <c r="M645">
        <v>5900000</v>
      </c>
      <c r="N645" t="s">
        <v>74</v>
      </c>
      <c r="O645" t="s">
        <v>123</v>
      </c>
      <c r="P645">
        <v>4</v>
      </c>
      <c r="Q645">
        <v>0</v>
      </c>
      <c r="R645">
        <v>3</v>
      </c>
      <c r="S645">
        <v>0</v>
      </c>
      <c r="T645">
        <v>5</v>
      </c>
      <c r="U645">
        <v>4</v>
      </c>
      <c r="V645">
        <v>14</v>
      </c>
      <c r="W645">
        <v>13</v>
      </c>
      <c r="X645">
        <v>12</v>
      </c>
      <c r="Y645">
        <v>11</v>
      </c>
      <c r="Z645">
        <v>2</v>
      </c>
      <c r="AA645">
        <v>7</v>
      </c>
      <c r="AB645">
        <v>2</v>
      </c>
      <c r="AC645">
        <v>1</v>
      </c>
      <c r="AD645">
        <v>27</v>
      </c>
      <c r="AE645">
        <v>8</v>
      </c>
      <c r="AF645">
        <v>5</v>
      </c>
      <c r="AG645">
        <v>5</v>
      </c>
      <c r="AH645">
        <v>4</v>
      </c>
      <c r="AI645">
        <v>1</v>
      </c>
    </row>
    <row r="646" spans="1:35" hidden="1" x14ac:dyDescent="0.25">
      <c r="A646">
        <v>2022</v>
      </c>
      <c r="B646" s="1">
        <v>44773</v>
      </c>
      <c r="C646">
        <v>20</v>
      </c>
      <c r="D646">
        <v>59999</v>
      </c>
      <c r="E646">
        <v>78838</v>
      </c>
      <c r="F646" t="s">
        <v>77</v>
      </c>
      <c r="G646" t="s">
        <v>76</v>
      </c>
      <c r="J646">
        <v>6</v>
      </c>
      <c r="K646">
        <v>18</v>
      </c>
      <c r="L646">
        <v>53300000</v>
      </c>
      <c r="M646">
        <v>9700000</v>
      </c>
      <c r="N646" t="s">
        <v>135</v>
      </c>
      <c r="O646" t="s">
        <v>151</v>
      </c>
      <c r="P646">
        <v>4</v>
      </c>
      <c r="Q646">
        <v>1</v>
      </c>
      <c r="R646">
        <v>4</v>
      </c>
      <c r="S646">
        <v>0</v>
      </c>
      <c r="T646">
        <v>6</v>
      </c>
      <c r="U646">
        <v>3</v>
      </c>
      <c r="V646">
        <v>12</v>
      </c>
      <c r="W646">
        <v>16</v>
      </c>
      <c r="X646">
        <v>14</v>
      </c>
      <c r="Y646">
        <v>12</v>
      </c>
      <c r="Z646">
        <v>0</v>
      </c>
      <c r="AA646">
        <v>2</v>
      </c>
      <c r="AB646">
        <v>1</v>
      </c>
      <c r="AC646">
        <v>0</v>
      </c>
      <c r="AD646">
        <v>16</v>
      </c>
      <c r="AE646">
        <v>5</v>
      </c>
      <c r="AF646">
        <v>8</v>
      </c>
      <c r="AG646">
        <v>2</v>
      </c>
      <c r="AH646">
        <v>3</v>
      </c>
      <c r="AI646">
        <v>1</v>
      </c>
    </row>
    <row r="647" spans="1:35" hidden="1" x14ac:dyDescent="0.25">
      <c r="A647">
        <v>2022</v>
      </c>
      <c r="B647" s="1">
        <v>44787</v>
      </c>
      <c r="C647">
        <v>22</v>
      </c>
      <c r="D647">
        <v>64378</v>
      </c>
      <c r="E647">
        <v>78838</v>
      </c>
      <c r="F647" t="s">
        <v>77</v>
      </c>
      <c r="G647" t="s">
        <v>69</v>
      </c>
      <c r="H647" t="s">
        <v>315</v>
      </c>
      <c r="I647" t="s">
        <v>336</v>
      </c>
      <c r="J647">
        <v>5</v>
      </c>
      <c r="K647">
        <v>4</v>
      </c>
      <c r="L647">
        <v>56800000</v>
      </c>
      <c r="M647">
        <v>15400000</v>
      </c>
      <c r="N647">
        <v>27</v>
      </c>
      <c r="O647" t="s">
        <v>318</v>
      </c>
      <c r="P647">
        <v>5</v>
      </c>
      <c r="Q647">
        <v>0</v>
      </c>
      <c r="R647">
        <v>0</v>
      </c>
      <c r="S647">
        <v>0</v>
      </c>
      <c r="T647">
        <v>12</v>
      </c>
      <c r="U647">
        <v>4</v>
      </c>
      <c r="V647">
        <v>13</v>
      </c>
      <c r="W647">
        <v>14</v>
      </c>
      <c r="X647">
        <v>13</v>
      </c>
      <c r="Y647">
        <v>12</v>
      </c>
      <c r="Z647">
        <v>3</v>
      </c>
      <c r="AA647">
        <v>8</v>
      </c>
      <c r="AB647">
        <v>0</v>
      </c>
      <c r="AC647">
        <v>1</v>
      </c>
      <c r="AD647">
        <v>19</v>
      </c>
      <c r="AE647">
        <v>5</v>
      </c>
      <c r="AF647">
        <v>1</v>
      </c>
      <c r="AG647">
        <v>1</v>
      </c>
      <c r="AH647">
        <v>5</v>
      </c>
      <c r="AI647">
        <v>1</v>
      </c>
    </row>
    <row r="648" spans="1:35" hidden="1" x14ac:dyDescent="0.25">
      <c r="A648">
        <v>2022</v>
      </c>
      <c r="B648" s="1">
        <v>44836</v>
      </c>
      <c r="C648">
        <v>29</v>
      </c>
      <c r="D648">
        <v>46698</v>
      </c>
      <c r="E648">
        <v>78838</v>
      </c>
      <c r="F648" t="s">
        <v>77</v>
      </c>
      <c r="G648" t="s">
        <v>56</v>
      </c>
      <c r="H648" t="s">
        <v>346</v>
      </c>
      <c r="I648" t="s">
        <v>341</v>
      </c>
      <c r="J648">
        <v>5</v>
      </c>
      <c r="K648">
        <v>13</v>
      </c>
      <c r="L648">
        <v>82500000</v>
      </c>
      <c r="M648">
        <v>49700000</v>
      </c>
      <c r="N648" t="s">
        <v>74</v>
      </c>
      <c r="O648" t="s">
        <v>252</v>
      </c>
      <c r="P648">
        <v>4</v>
      </c>
      <c r="Q648">
        <v>1</v>
      </c>
      <c r="R648">
        <v>1</v>
      </c>
      <c r="S648">
        <v>0</v>
      </c>
      <c r="T648">
        <v>10</v>
      </c>
      <c r="U648">
        <v>1</v>
      </c>
      <c r="V648">
        <v>7</v>
      </c>
      <c r="W648">
        <v>6</v>
      </c>
      <c r="X648">
        <v>6</v>
      </c>
      <c r="Y648">
        <v>7</v>
      </c>
      <c r="Z648">
        <v>2</v>
      </c>
      <c r="AA648">
        <v>5</v>
      </c>
      <c r="AB648">
        <v>0</v>
      </c>
      <c r="AC648">
        <v>1</v>
      </c>
      <c r="AD648">
        <v>23</v>
      </c>
      <c r="AE648">
        <v>5</v>
      </c>
      <c r="AF648">
        <v>7</v>
      </c>
      <c r="AG648">
        <v>1</v>
      </c>
      <c r="AH648">
        <v>3</v>
      </c>
      <c r="AI648">
        <v>1</v>
      </c>
    </row>
    <row r="649" spans="1:35" hidden="1" x14ac:dyDescent="0.25">
      <c r="A649">
        <v>2022</v>
      </c>
      <c r="B649" s="1">
        <v>44840</v>
      </c>
      <c r="C649">
        <v>30</v>
      </c>
      <c r="D649">
        <v>43710</v>
      </c>
      <c r="E649">
        <v>78838</v>
      </c>
      <c r="F649" t="s">
        <v>77</v>
      </c>
      <c r="G649" t="s">
        <v>37</v>
      </c>
      <c r="H649" t="s">
        <v>315</v>
      </c>
      <c r="I649" t="s">
        <v>240</v>
      </c>
      <c r="J649">
        <v>5</v>
      </c>
      <c r="K649">
        <v>2</v>
      </c>
      <c r="L649">
        <v>83000000</v>
      </c>
      <c r="M649">
        <v>28450000</v>
      </c>
      <c r="N649" t="s">
        <v>174</v>
      </c>
      <c r="O649">
        <v>28</v>
      </c>
      <c r="P649">
        <v>0</v>
      </c>
      <c r="Q649">
        <v>0</v>
      </c>
      <c r="R649">
        <v>0</v>
      </c>
      <c r="S649">
        <v>0</v>
      </c>
      <c r="T649">
        <v>11</v>
      </c>
      <c r="U649">
        <v>3</v>
      </c>
      <c r="V649">
        <v>13</v>
      </c>
      <c r="W649">
        <v>8</v>
      </c>
      <c r="X649">
        <v>8</v>
      </c>
      <c r="Y649">
        <v>12</v>
      </c>
      <c r="Z649">
        <v>6</v>
      </c>
      <c r="AA649">
        <v>6</v>
      </c>
      <c r="AB649">
        <v>0</v>
      </c>
      <c r="AC649">
        <v>2</v>
      </c>
      <c r="AD649">
        <v>21</v>
      </c>
      <c r="AE649">
        <v>16</v>
      </c>
      <c r="AF649">
        <v>7</v>
      </c>
      <c r="AG649">
        <v>5</v>
      </c>
      <c r="AH649">
        <v>0</v>
      </c>
      <c r="AI649">
        <v>0</v>
      </c>
    </row>
    <row r="650" spans="1:35" hidden="1" x14ac:dyDescent="0.25">
      <c r="A650">
        <v>2022</v>
      </c>
      <c r="B650" s="1">
        <v>44850</v>
      </c>
      <c r="C650">
        <v>32</v>
      </c>
      <c r="D650">
        <v>51179</v>
      </c>
      <c r="E650">
        <v>78838</v>
      </c>
      <c r="F650" t="s">
        <v>77</v>
      </c>
      <c r="G650" t="s">
        <v>89</v>
      </c>
      <c r="H650" t="s">
        <v>315</v>
      </c>
      <c r="I650" t="s">
        <v>71</v>
      </c>
      <c r="J650">
        <v>4</v>
      </c>
      <c r="K650">
        <v>7</v>
      </c>
      <c r="L650">
        <v>58000000</v>
      </c>
      <c r="M650">
        <v>59000000</v>
      </c>
      <c r="N650" t="s">
        <v>233</v>
      </c>
      <c r="O650" t="s">
        <v>174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10</v>
      </c>
      <c r="V650">
        <v>12</v>
      </c>
      <c r="W650">
        <v>12</v>
      </c>
      <c r="X650">
        <v>12</v>
      </c>
      <c r="Y650">
        <v>12</v>
      </c>
      <c r="Z650">
        <v>3</v>
      </c>
      <c r="AA650">
        <v>3</v>
      </c>
      <c r="AB650">
        <v>0</v>
      </c>
      <c r="AC650">
        <v>1</v>
      </c>
      <c r="AD650">
        <v>7</v>
      </c>
      <c r="AE650">
        <v>13</v>
      </c>
      <c r="AF650">
        <v>2</v>
      </c>
      <c r="AG650">
        <v>9</v>
      </c>
      <c r="AH650">
        <v>1</v>
      </c>
      <c r="AI650">
        <v>1</v>
      </c>
    </row>
    <row r="651" spans="1:35" hidden="1" x14ac:dyDescent="0.25">
      <c r="A651">
        <v>2022</v>
      </c>
      <c r="B651" s="1">
        <v>44860</v>
      </c>
      <c r="C651">
        <v>34</v>
      </c>
      <c r="D651">
        <v>44679</v>
      </c>
      <c r="E651">
        <v>78838</v>
      </c>
      <c r="F651" t="s">
        <v>77</v>
      </c>
      <c r="G651" t="s">
        <v>326</v>
      </c>
      <c r="H651" t="s">
        <v>315</v>
      </c>
      <c r="I651" t="s">
        <v>363</v>
      </c>
      <c r="J651">
        <v>3</v>
      </c>
      <c r="K651">
        <v>12</v>
      </c>
      <c r="L651">
        <v>59350000</v>
      </c>
      <c r="M651">
        <v>40100000</v>
      </c>
      <c r="N651" t="s">
        <v>123</v>
      </c>
      <c r="O651" t="s">
        <v>176</v>
      </c>
      <c r="P651">
        <v>3</v>
      </c>
      <c r="Q651">
        <v>2</v>
      </c>
      <c r="R651">
        <v>1</v>
      </c>
      <c r="S651">
        <v>0</v>
      </c>
      <c r="T651">
        <v>7</v>
      </c>
      <c r="U651">
        <v>2</v>
      </c>
      <c r="V651">
        <v>14</v>
      </c>
      <c r="W651">
        <v>16</v>
      </c>
      <c r="X651">
        <v>16</v>
      </c>
      <c r="Y651">
        <v>14</v>
      </c>
      <c r="Z651">
        <v>2</v>
      </c>
      <c r="AA651">
        <v>9</v>
      </c>
      <c r="AB651">
        <v>1</v>
      </c>
      <c r="AC651">
        <v>2</v>
      </c>
      <c r="AD651">
        <v>19</v>
      </c>
      <c r="AE651">
        <v>8</v>
      </c>
      <c r="AF651">
        <v>4</v>
      </c>
      <c r="AG651">
        <v>3</v>
      </c>
      <c r="AH651">
        <v>1</v>
      </c>
      <c r="AI651">
        <v>1</v>
      </c>
    </row>
    <row r="652" spans="1:35" hidden="1" x14ac:dyDescent="0.25">
      <c r="A652">
        <v>2022</v>
      </c>
      <c r="B652" s="1">
        <v>44717</v>
      </c>
      <c r="C652">
        <v>9</v>
      </c>
      <c r="D652">
        <v>27602</v>
      </c>
      <c r="E652">
        <v>60326</v>
      </c>
      <c r="F652" t="s">
        <v>361</v>
      </c>
      <c r="G652" t="s">
        <v>321</v>
      </c>
      <c r="H652" t="s">
        <v>315</v>
      </c>
      <c r="I652" t="s">
        <v>358</v>
      </c>
      <c r="J652">
        <v>15</v>
      </c>
      <c r="K652">
        <v>4</v>
      </c>
      <c r="L652">
        <v>9800000</v>
      </c>
      <c r="M652">
        <v>4950000</v>
      </c>
      <c r="N652" t="s">
        <v>105</v>
      </c>
      <c r="O652" t="s">
        <v>163</v>
      </c>
      <c r="P652">
        <v>1</v>
      </c>
      <c r="Q652">
        <v>1</v>
      </c>
      <c r="R652">
        <v>1</v>
      </c>
      <c r="S652">
        <v>0</v>
      </c>
      <c r="T652">
        <v>5</v>
      </c>
      <c r="U652">
        <v>6</v>
      </c>
      <c r="V652">
        <v>14</v>
      </c>
      <c r="W652">
        <v>9</v>
      </c>
      <c r="X652">
        <v>9</v>
      </c>
      <c r="Y652">
        <v>13</v>
      </c>
      <c r="Z652">
        <v>4</v>
      </c>
      <c r="AA652">
        <v>9</v>
      </c>
      <c r="AB652">
        <v>4</v>
      </c>
      <c r="AC652">
        <v>1</v>
      </c>
      <c r="AD652">
        <v>22</v>
      </c>
      <c r="AE652">
        <v>14</v>
      </c>
      <c r="AF652">
        <v>6</v>
      </c>
      <c r="AG652">
        <v>4</v>
      </c>
      <c r="AH652">
        <v>0</v>
      </c>
      <c r="AI652">
        <v>0</v>
      </c>
    </row>
    <row r="653" spans="1:35" hidden="1" x14ac:dyDescent="0.25">
      <c r="A653">
        <v>2022</v>
      </c>
      <c r="B653" s="1">
        <v>44728</v>
      </c>
      <c r="C653">
        <v>12</v>
      </c>
      <c r="D653">
        <v>26774</v>
      </c>
      <c r="E653">
        <v>60326</v>
      </c>
      <c r="F653" t="s">
        <v>361</v>
      </c>
      <c r="G653" t="s">
        <v>89</v>
      </c>
      <c r="H653" t="s">
        <v>368</v>
      </c>
      <c r="I653" t="s">
        <v>370</v>
      </c>
      <c r="J653">
        <v>13</v>
      </c>
      <c r="K653">
        <v>6</v>
      </c>
      <c r="L653">
        <v>10400000</v>
      </c>
      <c r="M653">
        <v>50900000</v>
      </c>
      <c r="N653" t="s">
        <v>235</v>
      </c>
      <c r="O653" t="s">
        <v>74</v>
      </c>
      <c r="P653">
        <v>0</v>
      </c>
      <c r="Q653">
        <v>0</v>
      </c>
      <c r="R653">
        <v>0</v>
      </c>
      <c r="S653">
        <v>0</v>
      </c>
      <c r="T653">
        <v>5</v>
      </c>
      <c r="U653">
        <v>2</v>
      </c>
      <c r="V653">
        <v>14</v>
      </c>
      <c r="W653">
        <v>17</v>
      </c>
      <c r="X653">
        <v>15</v>
      </c>
      <c r="Y653">
        <v>13</v>
      </c>
      <c r="Z653">
        <v>2</v>
      </c>
      <c r="AA653">
        <v>3</v>
      </c>
      <c r="AB653">
        <v>1</v>
      </c>
      <c r="AC653">
        <v>0</v>
      </c>
      <c r="AD653">
        <v>16</v>
      </c>
      <c r="AE653">
        <v>14</v>
      </c>
      <c r="AF653">
        <v>10</v>
      </c>
      <c r="AG653">
        <v>8</v>
      </c>
      <c r="AH653">
        <v>0</v>
      </c>
      <c r="AI653">
        <v>0</v>
      </c>
    </row>
    <row r="654" spans="1:35" hidden="1" x14ac:dyDescent="0.25">
      <c r="A654">
        <v>2022</v>
      </c>
      <c r="B654" s="1">
        <v>44762</v>
      </c>
      <c r="C654">
        <v>18</v>
      </c>
      <c r="D654">
        <v>37567</v>
      </c>
      <c r="E654">
        <v>60326</v>
      </c>
      <c r="F654" t="s">
        <v>361</v>
      </c>
      <c r="G654" t="s">
        <v>365</v>
      </c>
      <c r="H654" t="s">
        <v>368</v>
      </c>
      <c r="I654" t="s">
        <v>367</v>
      </c>
      <c r="J654">
        <v>14</v>
      </c>
      <c r="K654">
        <v>12</v>
      </c>
      <c r="L654">
        <v>10050000</v>
      </c>
      <c r="M654">
        <v>9300000</v>
      </c>
      <c r="N654" t="s">
        <v>205</v>
      </c>
      <c r="O654" t="s">
        <v>105</v>
      </c>
      <c r="P654">
        <v>1</v>
      </c>
      <c r="Q654">
        <v>0</v>
      </c>
      <c r="R654">
        <v>1</v>
      </c>
      <c r="S654">
        <v>0</v>
      </c>
      <c r="T654">
        <v>3</v>
      </c>
      <c r="U654">
        <v>3</v>
      </c>
      <c r="V654">
        <v>17</v>
      </c>
      <c r="W654">
        <v>14</v>
      </c>
      <c r="X654">
        <v>11</v>
      </c>
      <c r="Y654">
        <v>15</v>
      </c>
      <c r="Z654">
        <v>2</v>
      </c>
      <c r="AA654">
        <v>4</v>
      </c>
      <c r="AB654">
        <v>1</v>
      </c>
      <c r="AC654">
        <v>1</v>
      </c>
      <c r="AD654">
        <v>14</v>
      </c>
      <c r="AE654">
        <v>16</v>
      </c>
      <c r="AF654">
        <v>8</v>
      </c>
      <c r="AG654">
        <v>8</v>
      </c>
      <c r="AH654">
        <v>1</v>
      </c>
      <c r="AI654">
        <v>1</v>
      </c>
    </row>
    <row r="655" spans="1:35" hidden="1" x14ac:dyDescent="0.25">
      <c r="A655">
        <v>2022</v>
      </c>
      <c r="B655" s="1">
        <v>44801</v>
      </c>
      <c r="C655">
        <v>24</v>
      </c>
      <c r="D655">
        <v>16754</v>
      </c>
      <c r="E655">
        <v>60326</v>
      </c>
      <c r="F655" t="s">
        <v>361</v>
      </c>
      <c r="G655" t="s">
        <v>69</v>
      </c>
      <c r="H655" t="s">
        <v>213</v>
      </c>
      <c r="I655" t="s">
        <v>336</v>
      </c>
      <c r="J655">
        <v>15</v>
      </c>
      <c r="K655">
        <v>6</v>
      </c>
      <c r="L655">
        <v>11500000</v>
      </c>
      <c r="M655">
        <v>22250000</v>
      </c>
      <c r="N655" t="s">
        <v>74</v>
      </c>
      <c r="O655" t="s">
        <v>372</v>
      </c>
      <c r="P655">
        <v>0</v>
      </c>
      <c r="Q655">
        <v>0</v>
      </c>
      <c r="R655">
        <v>0</v>
      </c>
      <c r="S655">
        <v>0</v>
      </c>
      <c r="T655">
        <v>9</v>
      </c>
      <c r="U655">
        <v>3</v>
      </c>
      <c r="V655">
        <v>9</v>
      </c>
      <c r="W655">
        <v>15</v>
      </c>
      <c r="X655">
        <v>15</v>
      </c>
      <c r="Y655">
        <v>8</v>
      </c>
      <c r="Z655">
        <v>1</v>
      </c>
      <c r="AA655">
        <v>4</v>
      </c>
      <c r="AB655">
        <v>1</v>
      </c>
      <c r="AC655">
        <v>1</v>
      </c>
      <c r="AD655">
        <v>19</v>
      </c>
      <c r="AE655">
        <v>8</v>
      </c>
      <c r="AF655">
        <v>12</v>
      </c>
      <c r="AG655">
        <v>5</v>
      </c>
      <c r="AH655">
        <v>0</v>
      </c>
      <c r="AI655">
        <v>0</v>
      </c>
    </row>
    <row r="656" spans="1:35" hidden="1" x14ac:dyDescent="0.25">
      <c r="A656">
        <v>2022</v>
      </c>
      <c r="B656" s="1">
        <v>44814</v>
      </c>
      <c r="C656">
        <v>26</v>
      </c>
      <c r="D656">
        <v>38339</v>
      </c>
      <c r="E656">
        <v>60326</v>
      </c>
      <c r="F656" t="s">
        <v>361</v>
      </c>
      <c r="G656" t="s">
        <v>326</v>
      </c>
      <c r="H656" t="s">
        <v>241</v>
      </c>
      <c r="I656" t="s">
        <v>362</v>
      </c>
      <c r="J656">
        <v>15</v>
      </c>
      <c r="K656">
        <v>10</v>
      </c>
      <c r="L656">
        <v>10450000</v>
      </c>
      <c r="M656">
        <v>40000000</v>
      </c>
      <c r="N656" t="s">
        <v>105</v>
      </c>
      <c r="O656" t="s">
        <v>168</v>
      </c>
      <c r="P656">
        <v>2</v>
      </c>
      <c r="Q656">
        <v>1</v>
      </c>
      <c r="R656">
        <v>2</v>
      </c>
      <c r="S656">
        <v>0</v>
      </c>
      <c r="T656">
        <v>3</v>
      </c>
      <c r="U656">
        <v>5</v>
      </c>
      <c r="V656">
        <v>24</v>
      </c>
      <c r="W656">
        <v>17</v>
      </c>
      <c r="X656">
        <v>17</v>
      </c>
      <c r="Y656">
        <v>24</v>
      </c>
      <c r="Z656">
        <v>3</v>
      </c>
      <c r="AA656">
        <v>2</v>
      </c>
      <c r="AB656">
        <v>4</v>
      </c>
      <c r="AC656">
        <v>2</v>
      </c>
      <c r="AD656">
        <v>8</v>
      </c>
      <c r="AE656">
        <v>10</v>
      </c>
      <c r="AF656">
        <v>1</v>
      </c>
      <c r="AG656">
        <v>3</v>
      </c>
      <c r="AH656">
        <v>1</v>
      </c>
      <c r="AI656">
        <v>1</v>
      </c>
    </row>
    <row r="657" spans="1:35" hidden="1" x14ac:dyDescent="0.25">
      <c r="A657">
        <v>2022</v>
      </c>
      <c r="B657" s="1">
        <v>44840</v>
      </c>
      <c r="C657">
        <v>30</v>
      </c>
      <c r="D657">
        <v>16702</v>
      </c>
      <c r="E657">
        <v>60326</v>
      </c>
      <c r="F657" t="s">
        <v>361</v>
      </c>
      <c r="G657" t="s">
        <v>313</v>
      </c>
      <c r="H657" t="s">
        <v>241</v>
      </c>
      <c r="I657" t="s">
        <v>78</v>
      </c>
      <c r="J657">
        <v>16</v>
      </c>
      <c r="K657">
        <v>13</v>
      </c>
      <c r="L657">
        <v>10750000</v>
      </c>
      <c r="M657">
        <v>12180000</v>
      </c>
      <c r="N657" t="s">
        <v>144</v>
      </c>
      <c r="O657">
        <v>28</v>
      </c>
      <c r="P657">
        <v>1</v>
      </c>
      <c r="Q657">
        <v>1</v>
      </c>
      <c r="R657">
        <v>0</v>
      </c>
      <c r="S657">
        <v>0</v>
      </c>
      <c r="T657">
        <v>7</v>
      </c>
      <c r="U657">
        <v>3</v>
      </c>
      <c r="V657">
        <v>19</v>
      </c>
      <c r="W657">
        <v>24</v>
      </c>
      <c r="X657">
        <v>23</v>
      </c>
      <c r="Y657">
        <v>18</v>
      </c>
      <c r="Z657">
        <v>4</v>
      </c>
      <c r="AA657">
        <v>5</v>
      </c>
      <c r="AB657">
        <v>1</v>
      </c>
      <c r="AC657">
        <v>0</v>
      </c>
      <c r="AD657">
        <v>14</v>
      </c>
      <c r="AE657">
        <v>16</v>
      </c>
      <c r="AF657">
        <v>5</v>
      </c>
      <c r="AG657">
        <v>7</v>
      </c>
      <c r="AH657">
        <v>0</v>
      </c>
      <c r="AI657">
        <v>0</v>
      </c>
    </row>
    <row r="658" spans="1:35" hidden="1" x14ac:dyDescent="0.25">
      <c r="A658">
        <v>2022</v>
      </c>
      <c r="B658" s="1">
        <v>44850</v>
      </c>
      <c r="C658">
        <v>32</v>
      </c>
      <c r="D658">
        <v>41242</v>
      </c>
      <c r="E658">
        <v>60326</v>
      </c>
      <c r="F658" t="s">
        <v>361</v>
      </c>
      <c r="G658" t="s">
        <v>70</v>
      </c>
      <c r="H658" t="s">
        <v>241</v>
      </c>
      <c r="I658" t="s">
        <v>90</v>
      </c>
      <c r="J658">
        <v>16</v>
      </c>
      <c r="K658">
        <v>17</v>
      </c>
      <c r="L658">
        <v>9850000</v>
      </c>
      <c r="M658">
        <v>6400000</v>
      </c>
      <c r="N658">
        <v>31</v>
      </c>
      <c r="O658" t="s">
        <v>166</v>
      </c>
      <c r="P658">
        <v>1</v>
      </c>
      <c r="Q658">
        <v>1</v>
      </c>
      <c r="R658">
        <v>0</v>
      </c>
      <c r="S658">
        <v>0</v>
      </c>
      <c r="T658">
        <v>10</v>
      </c>
      <c r="U658">
        <v>7</v>
      </c>
      <c r="V658">
        <v>11</v>
      </c>
      <c r="W658">
        <v>20</v>
      </c>
      <c r="X658">
        <v>20</v>
      </c>
      <c r="Y658">
        <v>11</v>
      </c>
      <c r="Z658">
        <v>1</v>
      </c>
      <c r="AA658">
        <v>3</v>
      </c>
      <c r="AB658">
        <v>3</v>
      </c>
      <c r="AC658">
        <v>1</v>
      </c>
      <c r="AD658">
        <v>22</v>
      </c>
      <c r="AE658">
        <v>11</v>
      </c>
      <c r="AF658">
        <v>15</v>
      </c>
      <c r="AG658">
        <v>7</v>
      </c>
      <c r="AH658">
        <v>0</v>
      </c>
      <c r="AI658">
        <v>0</v>
      </c>
    </row>
    <row r="659" spans="1:35" hidden="1" x14ac:dyDescent="0.25">
      <c r="A659">
        <v>2022</v>
      </c>
      <c r="B659" s="1">
        <v>44866</v>
      </c>
      <c r="C659">
        <v>35</v>
      </c>
      <c r="D659">
        <v>0</v>
      </c>
      <c r="E659">
        <v>60326</v>
      </c>
      <c r="F659" t="s">
        <v>361</v>
      </c>
      <c r="G659" t="s">
        <v>55</v>
      </c>
      <c r="H659" t="s">
        <v>213</v>
      </c>
      <c r="I659" t="s">
        <v>57</v>
      </c>
      <c r="J659">
        <v>17</v>
      </c>
      <c r="K659">
        <v>4</v>
      </c>
      <c r="L659">
        <v>9550000</v>
      </c>
      <c r="M659">
        <v>30800000</v>
      </c>
      <c r="N659" t="s">
        <v>296</v>
      </c>
      <c r="O659" t="s">
        <v>296</v>
      </c>
      <c r="P659">
        <v>0</v>
      </c>
      <c r="Q659">
        <v>1</v>
      </c>
      <c r="R659">
        <v>0</v>
      </c>
      <c r="S659">
        <v>0</v>
      </c>
      <c r="T659">
        <v>4</v>
      </c>
      <c r="U659">
        <v>7</v>
      </c>
      <c r="V659">
        <v>11</v>
      </c>
      <c r="W659">
        <v>8</v>
      </c>
      <c r="X659">
        <v>8</v>
      </c>
      <c r="Y659">
        <v>11</v>
      </c>
      <c r="Z659">
        <v>4</v>
      </c>
      <c r="AA659">
        <v>3</v>
      </c>
      <c r="AB659">
        <v>2</v>
      </c>
      <c r="AC659">
        <v>2</v>
      </c>
      <c r="AD659">
        <v>14</v>
      </c>
      <c r="AE659">
        <v>17</v>
      </c>
      <c r="AF659">
        <v>6</v>
      </c>
      <c r="AG659">
        <v>10</v>
      </c>
      <c r="AH659">
        <v>-1</v>
      </c>
      <c r="AI659">
        <v>0</v>
      </c>
    </row>
    <row r="660" spans="1:35" hidden="1" x14ac:dyDescent="0.25">
      <c r="A660">
        <v>2022</v>
      </c>
      <c r="B660" s="1">
        <v>44878</v>
      </c>
      <c r="C660">
        <v>38</v>
      </c>
      <c r="D660">
        <v>0</v>
      </c>
      <c r="E660">
        <v>60326</v>
      </c>
      <c r="F660" t="s">
        <v>361</v>
      </c>
      <c r="G660" t="s">
        <v>44</v>
      </c>
      <c r="H660" t="s">
        <v>213</v>
      </c>
      <c r="I660" t="s">
        <v>360</v>
      </c>
      <c r="J660">
        <v>18</v>
      </c>
      <c r="K660">
        <v>20</v>
      </c>
      <c r="L660">
        <v>6250000</v>
      </c>
      <c r="M660">
        <v>4150000</v>
      </c>
      <c r="N660">
        <v>26</v>
      </c>
      <c r="O660" t="s">
        <v>113</v>
      </c>
      <c r="P660">
        <v>4</v>
      </c>
      <c r="Q660">
        <v>1</v>
      </c>
      <c r="R660">
        <v>2</v>
      </c>
      <c r="S660">
        <v>0</v>
      </c>
      <c r="T660">
        <v>8</v>
      </c>
      <c r="U660">
        <v>3</v>
      </c>
      <c r="V660">
        <v>16</v>
      </c>
      <c r="W660">
        <v>16</v>
      </c>
      <c r="X660">
        <v>14</v>
      </c>
      <c r="Y660">
        <v>16</v>
      </c>
      <c r="Z660">
        <v>3</v>
      </c>
      <c r="AA660">
        <v>5</v>
      </c>
      <c r="AB660">
        <v>1</v>
      </c>
      <c r="AC660">
        <v>0</v>
      </c>
      <c r="AD660">
        <v>23</v>
      </c>
      <c r="AE660">
        <v>9</v>
      </c>
      <c r="AF660">
        <v>9</v>
      </c>
      <c r="AG660">
        <v>5</v>
      </c>
      <c r="AH660">
        <v>3</v>
      </c>
      <c r="AI660">
        <v>1</v>
      </c>
    </row>
    <row r="661" spans="1:35" hidden="1" x14ac:dyDescent="0.25">
      <c r="A661">
        <v>2022</v>
      </c>
      <c r="B661" s="1">
        <v>44690</v>
      </c>
      <c r="C661">
        <v>5</v>
      </c>
      <c r="D661">
        <v>25518</v>
      </c>
      <c r="E661">
        <v>60326</v>
      </c>
      <c r="F661" t="s">
        <v>63</v>
      </c>
      <c r="G661" t="s">
        <v>62</v>
      </c>
      <c r="H661" t="s">
        <v>65</v>
      </c>
      <c r="I661" t="s">
        <v>40</v>
      </c>
      <c r="J661">
        <v>20</v>
      </c>
      <c r="K661">
        <v>5</v>
      </c>
      <c r="L661">
        <v>12450000</v>
      </c>
      <c r="M661">
        <v>30000000</v>
      </c>
      <c r="N661" t="s">
        <v>66</v>
      </c>
      <c r="O661" t="s">
        <v>239</v>
      </c>
      <c r="P661">
        <v>1</v>
      </c>
      <c r="Q661">
        <v>1</v>
      </c>
      <c r="R661">
        <v>0</v>
      </c>
      <c r="S661">
        <v>0</v>
      </c>
      <c r="T661">
        <v>9</v>
      </c>
      <c r="U661">
        <v>4</v>
      </c>
      <c r="V661">
        <v>16</v>
      </c>
      <c r="W661">
        <v>14</v>
      </c>
      <c r="X661">
        <v>13</v>
      </c>
      <c r="Y661">
        <v>16</v>
      </c>
      <c r="Z661">
        <v>1</v>
      </c>
      <c r="AA661">
        <v>2</v>
      </c>
      <c r="AB661">
        <v>3</v>
      </c>
      <c r="AC661">
        <v>2</v>
      </c>
      <c r="AD661">
        <v>12</v>
      </c>
      <c r="AE661">
        <v>4</v>
      </c>
      <c r="AF661">
        <v>4</v>
      </c>
      <c r="AG661">
        <v>0</v>
      </c>
      <c r="AH661">
        <v>0</v>
      </c>
      <c r="AI661">
        <v>0</v>
      </c>
    </row>
    <row r="662" spans="1:35" hidden="1" x14ac:dyDescent="0.25">
      <c r="A662">
        <v>2022</v>
      </c>
      <c r="B662" s="1">
        <v>44710</v>
      </c>
      <c r="C662">
        <v>8</v>
      </c>
      <c r="D662">
        <v>22466</v>
      </c>
      <c r="E662">
        <v>60326</v>
      </c>
      <c r="F662" t="s">
        <v>63</v>
      </c>
      <c r="G662" t="s">
        <v>44</v>
      </c>
      <c r="H662" t="s">
        <v>65</v>
      </c>
      <c r="I662" t="s">
        <v>369</v>
      </c>
      <c r="J662">
        <v>20</v>
      </c>
      <c r="K662">
        <v>19</v>
      </c>
      <c r="L662">
        <v>14600000</v>
      </c>
      <c r="M662">
        <v>6000000</v>
      </c>
      <c r="N662">
        <v>29</v>
      </c>
      <c r="O662" t="s">
        <v>117</v>
      </c>
      <c r="P662">
        <v>1</v>
      </c>
      <c r="Q662">
        <v>1</v>
      </c>
      <c r="R662">
        <v>0</v>
      </c>
      <c r="S662">
        <v>0</v>
      </c>
      <c r="T662">
        <v>8</v>
      </c>
      <c r="U662">
        <v>7</v>
      </c>
      <c r="V662">
        <v>10</v>
      </c>
      <c r="W662">
        <v>16</v>
      </c>
      <c r="X662">
        <v>14</v>
      </c>
      <c r="Y662">
        <v>10</v>
      </c>
      <c r="Z662">
        <v>7</v>
      </c>
      <c r="AA662">
        <v>2</v>
      </c>
      <c r="AB662">
        <v>1</v>
      </c>
      <c r="AC662">
        <v>0</v>
      </c>
      <c r="AD662">
        <v>14</v>
      </c>
      <c r="AE662">
        <v>16</v>
      </c>
      <c r="AF662">
        <v>5</v>
      </c>
      <c r="AG662">
        <v>5</v>
      </c>
      <c r="AH662">
        <v>0</v>
      </c>
      <c r="AI662">
        <v>0</v>
      </c>
    </row>
    <row r="663" spans="1:35" hidden="1" x14ac:dyDescent="0.25">
      <c r="A663">
        <v>2022</v>
      </c>
      <c r="B663" s="1">
        <v>44722</v>
      </c>
      <c r="C663">
        <v>10</v>
      </c>
      <c r="D663">
        <v>30017</v>
      </c>
      <c r="E663">
        <v>60326</v>
      </c>
      <c r="F663" t="s">
        <v>63</v>
      </c>
      <c r="G663" t="s">
        <v>313</v>
      </c>
      <c r="H663" t="s">
        <v>65</v>
      </c>
      <c r="I663" t="s">
        <v>78</v>
      </c>
      <c r="J663">
        <v>20</v>
      </c>
      <c r="K663">
        <v>12</v>
      </c>
      <c r="L663">
        <v>13200000</v>
      </c>
      <c r="M663">
        <v>9950000</v>
      </c>
      <c r="N663" t="s">
        <v>107</v>
      </c>
      <c r="O663" t="s">
        <v>137</v>
      </c>
      <c r="P663">
        <v>1</v>
      </c>
      <c r="Q663">
        <v>1</v>
      </c>
      <c r="R663">
        <v>1</v>
      </c>
      <c r="S663">
        <v>0</v>
      </c>
      <c r="T663">
        <v>6</v>
      </c>
      <c r="U663">
        <v>2</v>
      </c>
      <c r="V663">
        <v>12</v>
      </c>
      <c r="W663">
        <v>18</v>
      </c>
      <c r="X663">
        <v>18</v>
      </c>
      <c r="Y663">
        <v>10</v>
      </c>
      <c r="Z663">
        <v>1</v>
      </c>
      <c r="AA663">
        <v>3</v>
      </c>
      <c r="AB663">
        <v>5</v>
      </c>
      <c r="AC663">
        <v>2</v>
      </c>
      <c r="AD663">
        <v>20</v>
      </c>
      <c r="AE663">
        <v>12</v>
      </c>
      <c r="AF663">
        <v>9</v>
      </c>
      <c r="AG663">
        <v>8</v>
      </c>
      <c r="AH663">
        <v>0</v>
      </c>
      <c r="AI663">
        <v>0</v>
      </c>
    </row>
    <row r="664" spans="1:35" hidden="1" x14ac:dyDescent="0.25">
      <c r="A664">
        <v>2022</v>
      </c>
      <c r="B664" s="1">
        <v>44725</v>
      </c>
      <c r="C664">
        <v>11</v>
      </c>
      <c r="D664">
        <v>18167</v>
      </c>
      <c r="E664">
        <v>60326</v>
      </c>
      <c r="F664" t="s">
        <v>63</v>
      </c>
      <c r="G664" t="s">
        <v>69</v>
      </c>
      <c r="H664" t="s">
        <v>65</v>
      </c>
      <c r="I664" t="s">
        <v>336</v>
      </c>
      <c r="J664">
        <v>20</v>
      </c>
      <c r="K664">
        <v>3</v>
      </c>
      <c r="L664">
        <v>11650000</v>
      </c>
      <c r="M664">
        <v>25850000</v>
      </c>
      <c r="N664" t="s">
        <v>74</v>
      </c>
      <c r="O664" t="s">
        <v>318</v>
      </c>
      <c r="P664">
        <v>0</v>
      </c>
      <c r="Q664">
        <v>0</v>
      </c>
      <c r="R664">
        <v>0</v>
      </c>
      <c r="S664">
        <v>0</v>
      </c>
      <c r="T664">
        <v>7</v>
      </c>
      <c r="U664">
        <v>1</v>
      </c>
      <c r="V664">
        <v>13</v>
      </c>
      <c r="W664">
        <v>12</v>
      </c>
      <c r="X664">
        <v>12</v>
      </c>
      <c r="Y664">
        <v>11</v>
      </c>
      <c r="Z664">
        <v>0</v>
      </c>
      <c r="AA664">
        <v>6</v>
      </c>
      <c r="AB664">
        <v>1</v>
      </c>
      <c r="AC664">
        <v>2</v>
      </c>
      <c r="AD664">
        <v>23</v>
      </c>
      <c r="AE664">
        <v>7</v>
      </c>
      <c r="AF664">
        <v>13</v>
      </c>
      <c r="AG664">
        <v>6</v>
      </c>
      <c r="AH664">
        <v>0</v>
      </c>
      <c r="AI664">
        <v>0</v>
      </c>
    </row>
    <row r="665" spans="1:35" hidden="1" x14ac:dyDescent="0.25">
      <c r="A665">
        <v>2022</v>
      </c>
      <c r="B665" s="1">
        <v>44731</v>
      </c>
      <c r="C665">
        <v>13</v>
      </c>
      <c r="D665">
        <v>17709</v>
      </c>
      <c r="E665">
        <v>60326</v>
      </c>
      <c r="F665" t="s">
        <v>63</v>
      </c>
      <c r="G665" t="s">
        <v>310</v>
      </c>
      <c r="H665" t="s">
        <v>65</v>
      </c>
      <c r="I665" t="s">
        <v>312</v>
      </c>
      <c r="J665">
        <v>20</v>
      </c>
      <c r="K665">
        <v>13</v>
      </c>
      <c r="L665">
        <v>12550000</v>
      </c>
      <c r="M665">
        <v>9350000</v>
      </c>
      <c r="N665" t="s">
        <v>74</v>
      </c>
      <c r="O665" t="s">
        <v>48</v>
      </c>
      <c r="P665">
        <v>1</v>
      </c>
      <c r="Q665">
        <v>0</v>
      </c>
      <c r="R665">
        <v>1</v>
      </c>
      <c r="S665">
        <v>0</v>
      </c>
      <c r="T665">
        <v>5</v>
      </c>
      <c r="U665">
        <v>8</v>
      </c>
      <c r="V665">
        <v>8</v>
      </c>
      <c r="W665">
        <v>5</v>
      </c>
      <c r="X665">
        <v>5</v>
      </c>
      <c r="Y665">
        <v>8</v>
      </c>
      <c r="Z665">
        <v>4</v>
      </c>
      <c r="AA665">
        <v>7</v>
      </c>
      <c r="AB665">
        <v>1</v>
      </c>
      <c r="AC665">
        <v>5</v>
      </c>
      <c r="AD665">
        <v>18</v>
      </c>
      <c r="AE665">
        <v>14</v>
      </c>
      <c r="AF665">
        <v>7</v>
      </c>
      <c r="AG665">
        <v>6</v>
      </c>
      <c r="AH665">
        <v>1</v>
      </c>
      <c r="AI665">
        <v>1</v>
      </c>
    </row>
    <row r="666" spans="1:35" hidden="1" x14ac:dyDescent="0.25">
      <c r="A666">
        <v>2022</v>
      </c>
      <c r="B666" s="1">
        <v>44752</v>
      </c>
      <c r="C666">
        <v>16</v>
      </c>
      <c r="D666">
        <v>24888</v>
      </c>
      <c r="E666">
        <v>60326</v>
      </c>
      <c r="F666" t="s">
        <v>63</v>
      </c>
      <c r="G666" t="s">
        <v>95</v>
      </c>
      <c r="H666" t="s">
        <v>65</v>
      </c>
      <c r="I666" t="s">
        <v>97</v>
      </c>
      <c r="J666">
        <v>20</v>
      </c>
      <c r="K666">
        <v>1</v>
      </c>
      <c r="L666">
        <v>12900000</v>
      </c>
      <c r="M666">
        <v>78500000</v>
      </c>
      <c r="N666" t="s">
        <v>129</v>
      </c>
      <c r="O666" t="s">
        <v>135</v>
      </c>
      <c r="P666">
        <v>0</v>
      </c>
      <c r="Q666">
        <v>0</v>
      </c>
      <c r="R666">
        <v>0</v>
      </c>
      <c r="S666">
        <v>0</v>
      </c>
      <c r="T666">
        <v>2</v>
      </c>
      <c r="U666">
        <v>6</v>
      </c>
      <c r="V666">
        <v>9</v>
      </c>
      <c r="W666">
        <v>15</v>
      </c>
      <c r="X666">
        <v>15</v>
      </c>
      <c r="Y666">
        <v>8</v>
      </c>
      <c r="Z666">
        <v>5</v>
      </c>
      <c r="AA666">
        <v>6</v>
      </c>
      <c r="AB666">
        <v>1</v>
      </c>
      <c r="AC666">
        <v>2</v>
      </c>
      <c r="AD666">
        <v>12</v>
      </c>
      <c r="AE666">
        <v>12</v>
      </c>
      <c r="AF666">
        <v>4</v>
      </c>
      <c r="AG666">
        <v>2</v>
      </c>
      <c r="AH666">
        <v>0</v>
      </c>
      <c r="AI666">
        <v>0</v>
      </c>
    </row>
    <row r="667" spans="1:35" hidden="1" x14ac:dyDescent="0.25">
      <c r="A667">
        <v>2022</v>
      </c>
      <c r="B667" s="1">
        <v>44766</v>
      </c>
      <c r="C667">
        <v>19</v>
      </c>
      <c r="D667">
        <v>19902</v>
      </c>
      <c r="E667">
        <v>60326</v>
      </c>
      <c r="F667" t="s">
        <v>63</v>
      </c>
      <c r="G667" t="s">
        <v>326</v>
      </c>
      <c r="H667" t="s">
        <v>65</v>
      </c>
      <c r="I667" t="s">
        <v>362</v>
      </c>
      <c r="J667">
        <v>19</v>
      </c>
      <c r="K667">
        <v>9</v>
      </c>
      <c r="L667">
        <v>13850000</v>
      </c>
      <c r="M667">
        <v>25400000</v>
      </c>
      <c r="N667" t="s">
        <v>235</v>
      </c>
      <c r="O667" t="s">
        <v>149</v>
      </c>
      <c r="P667">
        <v>0</v>
      </c>
      <c r="Q667">
        <v>0</v>
      </c>
      <c r="R667">
        <v>0</v>
      </c>
      <c r="S667">
        <v>0</v>
      </c>
      <c r="T667">
        <v>7</v>
      </c>
      <c r="U667">
        <v>5</v>
      </c>
      <c r="V667">
        <v>11</v>
      </c>
      <c r="W667">
        <v>11</v>
      </c>
      <c r="X667">
        <v>11</v>
      </c>
      <c r="Y667">
        <v>11</v>
      </c>
      <c r="Z667">
        <v>2</v>
      </c>
      <c r="AA667">
        <v>2</v>
      </c>
      <c r="AB667">
        <v>3</v>
      </c>
      <c r="AC667">
        <v>1</v>
      </c>
      <c r="AD667">
        <v>27</v>
      </c>
      <c r="AE667">
        <v>11</v>
      </c>
      <c r="AF667">
        <v>13</v>
      </c>
      <c r="AG667">
        <v>5</v>
      </c>
      <c r="AH667">
        <v>0</v>
      </c>
      <c r="AI667">
        <v>0</v>
      </c>
    </row>
    <row r="668" spans="1:35" hidden="1" x14ac:dyDescent="0.25">
      <c r="A668">
        <v>2022</v>
      </c>
      <c r="B668" s="1">
        <v>44780</v>
      </c>
      <c r="C668">
        <v>21</v>
      </c>
      <c r="D668">
        <v>39253</v>
      </c>
      <c r="E668">
        <v>60326</v>
      </c>
      <c r="F668" t="s">
        <v>63</v>
      </c>
      <c r="G668" t="s">
        <v>37</v>
      </c>
      <c r="H668" t="s">
        <v>65</v>
      </c>
      <c r="I668" t="s">
        <v>240</v>
      </c>
      <c r="J668">
        <v>18</v>
      </c>
      <c r="K668">
        <v>6</v>
      </c>
      <c r="L668">
        <v>13000000</v>
      </c>
      <c r="M668">
        <v>30550000</v>
      </c>
      <c r="N668" t="s">
        <v>296</v>
      </c>
      <c r="O668" t="s">
        <v>217</v>
      </c>
      <c r="P668">
        <v>3</v>
      </c>
      <c r="Q668">
        <v>0</v>
      </c>
      <c r="R668">
        <v>1</v>
      </c>
      <c r="S668">
        <v>0</v>
      </c>
      <c r="T668">
        <v>7</v>
      </c>
      <c r="U668">
        <v>5</v>
      </c>
      <c r="V668">
        <v>12</v>
      </c>
      <c r="W668">
        <v>15</v>
      </c>
      <c r="X668">
        <v>14</v>
      </c>
      <c r="Y668">
        <v>11</v>
      </c>
      <c r="Z668">
        <v>2</v>
      </c>
      <c r="AA668">
        <v>4</v>
      </c>
      <c r="AB668">
        <v>1</v>
      </c>
      <c r="AC668">
        <v>0</v>
      </c>
      <c r="AD668">
        <v>16</v>
      </c>
      <c r="AE668">
        <v>8</v>
      </c>
      <c r="AF668">
        <v>4</v>
      </c>
      <c r="AG668">
        <v>4</v>
      </c>
      <c r="AH668">
        <v>3</v>
      </c>
      <c r="AI668">
        <v>1</v>
      </c>
    </row>
    <row r="669" spans="1:35" hidden="1" x14ac:dyDescent="0.25">
      <c r="A669">
        <v>2022</v>
      </c>
      <c r="B669" s="1">
        <v>44794</v>
      </c>
      <c r="C669">
        <v>23</v>
      </c>
      <c r="D669">
        <v>44338</v>
      </c>
      <c r="E669">
        <v>60326</v>
      </c>
      <c r="F669" t="s">
        <v>63</v>
      </c>
      <c r="G669" t="s">
        <v>88</v>
      </c>
      <c r="H669" t="s">
        <v>65</v>
      </c>
      <c r="I669" t="s">
        <v>359</v>
      </c>
      <c r="J669">
        <v>15</v>
      </c>
      <c r="K669">
        <v>3</v>
      </c>
      <c r="L669">
        <v>10350000</v>
      </c>
      <c r="M669">
        <v>40500000</v>
      </c>
      <c r="N669" t="s">
        <v>134</v>
      </c>
      <c r="O669" t="s">
        <v>221</v>
      </c>
      <c r="P669">
        <v>1</v>
      </c>
      <c r="Q669">
        <v>0</v>
      </c>
      <c r="R669">
        <v>0</v>
      </c>
      <c r="S669">
        <v>0</v>
      </c>
      <c r="T669">
        <v>4</v>
      </c>
      <c r="U669">
        <v>7</v>
      </c>
      <c r="V669">
        <v>14</v>
      </c>
      <c r="W669">
        <v>7</v>
      </c>
      <c r="X669">
        <v>7</v>
      </c>
      <c r="Y669">
        <v>13</v>
      </c>
      <c r="Z669">
        <v>1</v>
      </c>
      <c r="AA669">
        <v>3</v>
      </c>
      <c r="AB669">
        <v>0</v>
      </c>
      <c r="AC669">
        <v>0</v>
      </c>
      <c r="AD669">
        <v>13</v>
      </c>
      <c r="AE669">
        <v>7</v>
      </c>
      <c r="AF669">
        <v>7</v>
      </c>
      <c r="AG669">
        <v>6</v>
      </c>
      <c r="AH669">
        <v>1</v>
      </c>
      <c r="AI669">
        <v>1</v>
      </c>
    </row>
    <row r="670" spans="1:35" hidden="1" x14ac:dyDescent="0.25">
      <c r="A670">
        <v>2022</v>
      </c>
      <c r="B670" s="1">
        <v>44843</v>
      </c>
      <c r="C670">
        <v>31</v>
      </c>
      <c r="D670">
        <v>40968</v>
      </c>
      <c r="E670">
        <v>60326</v>
      </c>
      <c r="F670" t="s">
        <v>63</v>
      </c>
      <c r="G670" t="s">
        <v>365</v>
      </c>
      <c r="H670" t="s">
        <v>65</v>
      </c>
      <c r="I670" t="s">
        <v>362</v>
      </c>
      <c r="J670">
        <v>11</v>
      </c>
      <c r="K670">
        <v>19</v>
      </c>
      <c r="L670">
        <v>14950000</v>
      </c>
      <c r="M670">
        <v>10400000</v>
      </c>
      <c r="N670" t="s">
        <v>193</v>
      </c>
      <c r="O670" t="s">
        <v>129</v>
      </c>
      <c r="P670">
        <v>2</v>
      </c>
      <c r="Q670">
        <v>0</v>
      </c>
      <c r="R670">
        <v>0</v>
      </c>
      <c r="S670">
        <v>0</v>
      </c>
      <c r="T670">
        <v>3</v>
      </c>
      <c r="U670">
        <v>6</v>
      </c>
      <c r="V670">
        <v>16</v>
      </c>
      <c r="W670">
        <v>11</v>
      </c>
      <c r="X670">
        <v>11</v>
      </c>
      <c r="Y670">
        <v>15</v>
      </c>
      <c r="Z670">
        <v>2</v>
      </c>
      <c r="AA670">
        <v>3</v>
      </c>
      <c r="AB670">
        <v>1</v>
      </c>
      <c r="AC670">
        <v>0</v>
      </c>
      <c r="AD670">
        <v>16</v>
      </c>
      <c r="AE670">
        <v>10</v>
      </c>
      <c r="AF670">
        <v>8</v>
      </c>
      <c r="AG670">
        <v>5</v>
      </c>
      <c r="AH670">
        <v>2</v>
      </c>
      <c r="AI670">
        <v>1</v>
      </c>
    </row>
    <row r="671" spans="1:35" hidden="1" x14ac:dyDescent="0.25">
      <c r="A671">
        <v>2022</v>
      </c>
      <c r="B671" s="1">
        <v>44859</v>
      </c>
      <c r="C671">
        <v>33</v>
      </c>
      <c r="D671">
        <v>43660</v>
      </c>
      <c r="E671">
        <v>60326</v>
      </c>
      <c r="F671" t="s">
        <v>63</v>
      </c>
      <c r="G671" t="s">
        <v>89</v>
      </c>
      <c r="H671" t="s">
        <v>65</v>
      </c>
      <c r="I671" t="s">
        <v>71</v>
      </c>
      <c r="J671">
        <v>9</v>
      </c>
      <c r="K671">
        <v>7</v>
      </c>
      <c r="L671">
        <v>14550000</v>
      </c>
      <c r="M671">
        <v>51000000</v>
      </c>
      <c r="N671" t="s">
        <v>109</v>
      </c>
      <c r="O671" t="s">
        <v>98</v>
      </c>
      <c r="P671">
        <v>0</v>
      </c>
      <c r="Q671">
        <v>0</v>
      </c>
      <c r="R671">
        <v>0</v>
      </c>
      <c r="S671">
        <v>0</v>
      </c>
      <c r="T671">
        <v>2</v>
      </c>
      <c r="U671">
        <v>11</v>
      </c>
      <c r="V671">
        <v>22</v>
      </c>
      <c r="W671">
        <v>10</v>
      </c>
      <c r="X671">
        <v>10</v>
      </c>
      <c r="Y671">
        <v>22</v>
      </c>
      <c r="Z671">
        <v>3</v>
      </c>
      <c r="AA671">
        <v>0</v>
      </c>
      <c r="AB671">
        <v>3</v>
      </c>
      <c r="AC671">
        <v>0</v>
      </c>
      <c r="AD671">
        <v>4</v>
      </c>
      <c r="AE671">
        <v>9</v>
      </c>
      <c r="AF671">
        <v>3</v>
      </c>
      <c r="AG671">
        <v>4</v>
      </c>
      <c r="AH671">
        <v>0</v>
      </c>
      <c r="AI671">
        <v>0</v>
      </c>
    </row>
    <row r="672" spans="1:35" hidden="1" x14ac:dyDescent="0.25">
      <c r="A672">
        <v>2022</v>
      </c>
      <c r="B672" s="1">
        <v>44862</v>
      </c>
      <c r="C672">
        <v>34</v>
      </c>
      <c r="D672">
        <v>22341</v>
      </c>
      <c r="E672">
        <v>60326</v>
      </c>
      <c r="F672" t="s">
        <v>63</v>
      </c>
      <c r="G672" t="s">
        <v>321</v>
      </c>
      <c r="H672" t="s">
        <v>65</v>
      </c>
      <c r="I672" t="s">
        <v>340</v>
      </c>
      <c r="J672">
        <v>10</v>
      </c>
      <c r="K672">
        <v>15</v>
      </c>
      <c r="L672">
        <v>15700000</v>
      </c>
      <c r="M672">
        <v>12600000</v>
      </c>
      <c r="N672" t="s">
        <v>296</v>
      </c>
      <c r="O672" t="s">
        <v>209</v>
      </c>
      <c r="P672">
        <v>3</v>
      </c>
      <c r="Q672">
        <v>1</v>
      </c>
      <c r="R672">
        <v>1</v>
      </c>
      <c r="S672">
        <v>0</v>
      </c>
      <c r="T672">
        <v>3</v>
      </c>
      <c r="U672">
        <v>3</v>
      </c>
      <c r="V672">
        <v>15</v>
      </c>
      <c r="W672">
        <v>12</v>
      </c>
      <c r="X672">
        <v>12</v>
      </c>
      <c r="Y672">
        <v>14</v>
      </c>
      <c r="Z672">
        <v>6</v>
      </c>
      <c r="AA672">
        <v>4</v>
      </c>
      <c r="AB672">
        <v>1</v>
      </c>
      <c r="AC672">
        <v>1</v>
      </c>
      <c r="AD672">
        <v>14</v>
      </c>
      <c r="AE672">
        <v>16</v>
      </c>
      <c r="AF672">
        <v>6</v>
      </c>
      <c r="AG672">
        <v>5</v>
      </c>
      <c r="AH672">
        <v>2</v>
      </c>
      <c r="AI672">
        <v>1</v>
      </c>
    </row>
    <row r="673" spans="1:35" hidden="1" x14ac:dyDescent="0.25">
      <c r="A673">
        <v>2022</v>
      </c>
      <c r="B673" s="1">
        <v>44875</v>
      </c>
      <c r="C673">
        <v>37</v>
      </c>
      <c r="D673">
        <v>38268</v>
      </c>
      <c r="E673">
        <v>60326</v>
      </c>
      <c r="F673" t="s">
        <v>63</v>
      </c>
      <c r="G673" t="s">
        <v>56</v>
      </c>
      <c r="H673" t="s">
        <v>65</v>
      </c>
      <c r="I673" t="s">
        <v>341</v>
      </c>
      <c r="J673">
        <v>11</v>
      </c>
      <c r="K673">
        <v>14</v>
      </c>
      <c r="L673">
        <v>13650000</v>
      </c>
      <c r="M673">
        <v>27400000</v>
      </c>
      <c r="N673" t="s">
        <v>235</v>
      </c>
      <c r="O673" t="s">
        <v>373</v>
      </c>
      <c r="P673">
        <v>6</v>
      </c>
      <c r="Q673">
        <v>0</v>
      </c>
      <c r="R673">
        <v>4</v>
      </c>
      <c r="S673">
        <v>0</v>
      </c>
      <c r="T673">
        <v>7</v>
      </c>
      <c r="U673">
        <v>0</v>
      </c>
      <c r="V673">
        <v>17</v>
      </c>
      <c r="W673">
        <v>12</v>
      </c>
      <c r="X673">
        <v>11</v>
      </c>
      <c r="Y673">
        <v>17</v>
      </c>
      <c r="Z673">
        <v>1</v>
      </c>
      <c r="AA673">
        <v>7</v>
      </c>
      <c r="AB673">
        <v>1</v>
      </c>
      <c r="AC673">
        <v>0</v>
      </c>
      <c r="AD673">
        <v>25</v>
      </c>
      <c r="AE673">
        <v>4</v>
      </c>
      <c r="AF673">
        <v>3</v>
      </c>
      <c r="AG673">
        <v>3</v>
      </c>
      <c r="AH673">
        <v>6</v>
      </c>
      <c r="AI673">
        <v>1</v>
      </c>
    </row>
    <row r="674" spans="1:35" hidden="1" x14ac:dyDescent="0.25">
      <c r="A674">
        <v>2022</v>
      </c>
      <c r="B674" s="1">
        <v>44675</v>
      </c>
      <c r="C674">
        <v>3</v>
      </c>
      <c r="D674">
        <v>3920</v>
      </c>
      <c r="E674">
        <v>23726</v>
      </c>
      <c r="F674" t="s">
        <v>44</v>
      </c>
      <c r="G674" t="s">
        <v>70</v>
      </c>
      <c r="H674" t="s">
        <v>369</v>
      </c>
      <c r="I674" t="s">
        <v>374</v>
      </c>
      <c r="J674">
        <v>16</v>
      </c>
      <c r="K674">
        <v>11</v>
      </c>
      <c r="L674">
        <v>7800000</v>
      </c>
      <c r="M674">
        <v>8500000</v>
      </c>
      <c r="N674" t="s">
        <v>107</v>
      </c>
      <c r="O674" t="s">
        <v>193</v>
      </c>
      <c r="P674">
        <v>0</v>
      </c>
      <c r="Q674">
        <v>1</v>
      </c>
      <c r="R674">
        <v>0</v>
      </c>
      <c r="S674">
        <v>0</v>
      </c>
      <c r="T674">
        <v>6</v>
      </c>
      <c r="U674">
        <v>7</v>
      </c>
      <c r="V674">
        <v>18</v>
      </c>
      <c r="W674">
        <v>19</v>
      </c>
      <c r="X674">
        <v>19</v>
      </c>
      <c r="Y674">
        <v>15</v>
      </c>
      <c r="Z674">
        <v>3</v>
      </c>
      <c r="AA674">
        <v>2</v>
      </c>
      <c r="AB674">
        <v>2</v>
      </c>
      <c r="AC674">
        <v>1</v>
      </c>
      <c r="AD674">
        <v>13</v>
      </c>
      <c r="AE674">
        <v>10</v>
      </c>
      <c r="AF674">
        <v>8</v>
      </c>
      <c r="AG674">
        <v>4</v>
      </c>
      <c r="AH674">
        <v>-1</v>
      </c>
      <c r="AI674">
        <v>0</v>
      </c>
    </row>
    <row r="675" spans="1:35" hidden="1" x14ac:dyDescent="0.25">
      <c r="A675">
        <v>2022</v>
      </c>
      <c r="B675" s="1">
        <v>44690</v>
      </c>
      <c r="C675">
        <v>5</v>
      </c>
      <c r="D675">
        <v>7341</v>
      </c>
      <c r="E675">
        <v>23726</v>
      </c>
      <c r="F675" t="s">
        <v>44</v>
      </c>
      <c r="G675" t="s">
        <v>37</v>
      </c>
      <c r="H675" t="s">
        <v>369</v>
      </c>
      <c r="I675" t="s">
        <v>240</v>
      </c>
      <c r="J675">
        <v>19</v>
      </c>
      <c r="K675">
        <v>8</v>
      </c>
      <c r="L675">
        <v>9780000</v>
      </c>
      <c r="M675">
        <v>36900000</v>
      </c>
      <c r="N675" t="s">
        <v>73</v>
      </c>
      <c r="O675">
        <v>27</v>
      </c>
      <c r="P675">
        <v>1</v>
      </c>
      <c r="Q675">
        <v>1</v>
      </c>
      <c r="R675">
        <v>0</v>
      </c>
      <c r="S675">
        <v>0</v>
      </c>
      <c r="T675">
        <v>6</v>
      </c>
      <c r="U675">
        <v>3</v>
      </c>
      <c r="V675">
        <v>22</v>
      </c>
      <c r="W675">
        <v>13</v>
      </c>
      <c r="X675">
        <v>11</v>
      </c>
      <c r="Y675">
        <v>20</v>
      </c>
      <c r="Z675">
        <v>2</v>
      </c>
      <c r="AA675">
        <v>4</v>
      </c>
      <c r="AB675">
        <v>3</v>
      </c>
      <c r="AC675">
        <v>1</v>
      </c>
      <c r="AD675">
        <v>11</v>
      </c>
      <c r="AE675">
        <v>8</v>
      </c>
      <c r="AF675">
        <v>6</v>
      </c>
      <c r="AG675">
        <v>3</v>
      </c>
      <c r="AH675">
        <v>0</v>
      </c>
      <c r="AI675">
        <v>0</v>
      </c>
    </row>
    <row r="676" spans="1:35" hidden="1" x14ac:dyDescent="0.25">
      <c r="A676">
        <v>2022</v>
      </c>
      <c r="B676" s="1">
        <v>44717</v>
      </c>
      <c r="C676">
        <v>9</v>
      </c>
      <c r="D676">
        <v>2573</v>
      </c>
      <c r="E676">
        <v>23726</v>
      </c>
      <c r="F676" t="s">
        <v>44</v>
      </c>
      <c r="G676" t="s">
        <v>55</v>
      </c>
      <c r="H676" t="s">
        <v>369</v>
      </c>
      <c r="I676" t="s">
        <v>57</v>
      </c>
      <c r="J676">
        <v>19</v>
      </c>
      <c r="K676">
        <v>11</v>
      </c>
      <c r="L676">
        <v>7400000</v>
      </c>
      <c r="M676">
        <v>27550000</v>
      </c>
      <c r="N676" t="s">
        <v>120</v>
      </c>
      <c r="O676" t="s">
        <v>109</v>
      </c>
      <c r="P676">
        <v>1</v>
      </c>
      <c r="Q676">
        <v>0</v>
      </c>
      <c r="R676">
        <v>1</v>
      </c>
      <c r="S676">
        <v>0</v>
      </c>
      <c r="T676">
        <v>5</v>
      </c>
      <c r="U676">
        <v>7</v>
      </c>
      <c r="V676">
        <v>21</v>
      </c>
      <c r="W676">
        <v>10</v>
      </c>
      <c r="X676">
        <v>10</v>
      </c>
      <c r="Y676">
        <v>21</v>
      </c>
      <c r="Z676">
        <v>1</v>
      </c>
      <c r="AA676">
        <v>3</v>
      </c>
      <c r="AB676">
        <v>5</v>
      </c>
      <c r="AC676">
        <v>1</v>
      </c>
      <c r="AD676">
        <v>11</v>
      </c>
      <c r="AE676">
        <v>5</v>
      </c>
      <c r="AF676">
        <v>3</v>
      </c>
      <c r="AG676">
        <v>4</v>
      </c>
      <c r="AH676">
        <v>1</v>
      </c>
      <c r="AI676">
        <v>1</v>
      </c>
    </row>
    <row r="677" spans="1:35" hidden="1" x14ac:dyDescent="0.25">
      <c r="A677">
        <v>2022</v>
      </c>
      <c r="B677" s="1">
        <v>44727</v>
      </c>
      <c r="C677">
        <v>12</v>
      </c>
      <c r="D677">
        <v>3025</v>
      </c>
      <c r="E677">
        <v>23726</v>
      </c>
      <c r="F677" t="s">
        <v>44</v>
      </c>
      <c r="G677" t="s">
        <v>326</v>
      </c>
      <c r="J677">
        <v>19</v>
      </c>
      <c r="K677">
        <v>11</v>
      </c>
      <c r="L677">
        <v>7250000</v>
      </c>
      <c r="M677">
        <v>26300000</v>
      </c>
      <c r="N677" t="s">
        <v>100</v>
      </c>
      <c r="O677" t="s">
        <v>80</v>
      </c>
      <c r="P677">
        <v>1</v>
      </c>
      <c r="Q677">
        <v>2</v>
      </c>
      <c r="R677">
        <v>1</v>
      </c>
      <c r="S677">
        <v>0</v>
      </c>
      <c r="T677">
        <v>4</v>
      </c>
      <c r="U677">
        <v>9</v>
      </c>
      <c r="V677">
        <v>19</v>
      </c>
      <c r="W677">
        <v>14</v>
      </c>
      <c r="X677">
        <v>13</v>
      </c>
      <c r="Y677">
        <v>19</v>
      </c>
      <c r="Z677">
        <v>7</v>
      </c>
      <c r="AA677">
        <v>0</v>
      </c>
      <c r="AB677">
        <v>0</v>
      </c>
      <c r="AC677">
        <v>2</v>
      </c>
      <c r="AD677">
        <v>10</v>
      </c>
      <c r="AE677">
        <v>18</v>
      </c>
      <c r="AF677">
        <v>4</v>
      </c>
      <c r="AG677">
        <v>7</v>
      </c>
      <c r="AH677">
        <v>-1</v>
      </c>
      <c r="AI677">
        <v>0</v>
      </c>
    </row>
    <row r="678" spans="1:35" hidden="1" x14ac:dyDescent="0.25">
      <c r="A678">
        <v>2022</v>
      </c>
      <c r="B678" s="1">
        <v>44759</v>
      </c>
      <c r="C678">
        <v>17</v>
      </c>
      <c r="D678">
        <v>4406</v>
      </c>
      <c r="E678">
        <v>23726</v>
      </c>
      <c r="F678" t="s">
        <v>44</v>
      </c>
      <c r="G678" t="s">
        <v>313</v>
      </c>
      <c r="H678" t="s">
        <v>238</v>
      </c>
      <c r="I678" t="s">
        <v>78</v>
      </c>
      <c r="J678">
        <v>19</v>
      </c>
      <c r="K678">
        <v>12</v>
      </c>
      <c r="L678">
        <v>5700000</v>
      </c>
      <c r="M678">
        <v>8450000</v>
      </c>
      <c r="N678" t="s">
        <v>100</v>
      </c>
      <c r="O678" t="s">
        <v>80</v>
      </c>
      <c r="P678">
        <v>0</v>
      </c>
      <c r="Q678">
        <v>0</v>
      </c>
      <c r="R678">
        <v>0</v>
      </c>
      <c r="S678">
        <v>0</v>
      </c>
      <c r="T678">
        <v>7</v>
      </c>
      <c r="U678">
        <v>4</v>
      </c>
      <c r="V678">
        <v>16</v>
      </c>
      <c r="W678">
        <v>16</v>
      </c>
      <c r="X678">
        <v>14</v>
      </c>
      <c r="Y678">
        <v>14</v>
      </c>
      <c r="Z678">
        <v>2</v>
      </c>
      <c r="AA678">
        <v>3</v>
      </c>
      <c r="AB678">
        <v>1</v>
      </c>
      <c r="AC678">
        <v>2</v>
      </c>
      <c r="AD678">
        <v>23</v>
      </c>
      <c r="AE678">
        <v>16</v>
      </c>
      <c r="AF678">
        <v>12</v>
      </c>
      <c r="AG678">
        <v>11</v>
      </c>
      <c r="AH678">
        <v>0</v>
      </c>
      <c r="AI678">
        <v>0</v>
      </c>
    </row>
    <row r="679" spans="1:35" hidden="1" x14ac:dyDescent="0.25">
      <c r="A679">
        <v>2022</v>
      </c>
      <c r="B679" s="1">
        <v>44766</v>
      </c>
      <c r="C679">
        <v>19</v>
      </c>
      <c r="D679">
        <v>4445</v>
      </c>
      <c r="E679">
        <v>23726</v>
      </c>
      <c r="F679" t="s">
        <v>44</v>
      </c>
      <c r="G679" t="s">
        <v>361</v>
      </c>
      <c r="H679" t="s">
        <v>238</v>
      </c>
      <c r="I679" t="s">
        <v>368</v>
      </c>
      <c r="J679">
        <v>20</v>
      </c>
      <c r="K679">
        <v>11</v>
      </c>
      <c r="L679">
        <v>5800000</v>
      </c>
      <c r="M679">
        <v>9550000</v>
      </c>
      <c r="N679" t="s">
        <v>100</v>
      </c>
      <c r="O679" t="s">
        <v>142</v>
      </c>
      <c r="P679">
        <v>1</v>
      </c>
      <c r="Q679">
        <v>0</v>
      </c>
      <c r="R679">
        <v>0</v>
      </c>
      <c r="S679">
        <v>0</v>
      </c>
      <c r="T679">
        <v>8</v>
      </c>
      <c r="U679">
        <v>3</v>
      </c>
      <c r="V679">
        <v>20</v>
      </c>
      <c r="W679">
        <v>14</v>
      </c>
      <c r="X679">
        <v>13</v>
      </c>
      <c r="Y679">
        <v>19</v>
      </c>
      <c r="Z679">
        <v>4</v>
      </c>
      <c r="AA679">
        <v>6</v>
      </c>
      <c r="AB679">
        <v>1</v>
      </c>
      <c r="AC679">
        <v>1</v>
      </c>
      <c r="AD679">
        <v>13</v>
      </c>
      <c r="AE679">
        <v>17</v>
      </c>
      <c r="AF679">
        <v>2</v>
      </c>
      <c r="AG679">
        <v>9</v>
      </c>
      <c r="AH679">
        <v>1</v>
      </c>
      <c r="AI679">
        <v>1</v>
      </c>
    </row>
    <row r="680" spans="1:35" hidden="1" x14ac:dyDescent="0.25">
      <c r="A680">
        <v>2022</v>
      </c>
      <c r="B680" s="1">
        <v>44794</v>
      </c>
      <c r="C680">
        <v>23</v>
      </c>
      <c r="D680">
        <v>3095</v>
      </c>
      <c r="E680">
        <v>23726</v>
      </c>
      <c r="F680" t="s">
        <v>44</v>
      </c>
      <c r="G680" t="s">
        <v>51</v>
      </c>
      <c r="H680" t="s">
        <v>238</v>
      </c>
      <c r="I680" t="s">
        <v>311</v>
      </c>
      <c r="J680">
        <v>20</v>
      </c>
      <c r="K680">
        <v>12</v>
      </c>
      <c r="L680">
        <v>6900000</v>
      </c>
      <c r="M680">
        <v>18400000</v>
      </c>
      <c r="N680" t="s">
        <v>86</v>
      </c>
      <c r="O680" t="s">
        <v>235</v>
      </c>
      <c r="P680">
        <v>2</v>
      </c>
      <c r="Q680">
        <v>2</v>
      </c>
      <c r="R680">
        <v>1</v>
      </c>
      <c r="S680">
        <v>0</v>
      </c>
      <c r="T680">
        <v>2</v>
      </c>
      <c r="U680">
        <v>4</v>
      </c>
      <c r="V680">
        <v>19</v>
      </c>
      <c r="W680">
        <v>11</v>
      </c>
      <c r="X680">
        <v>11</v>
      </c>
      <c r="Y680">
        <v>17</v>
      </c>
      <c r="Z680">
        <v>7</v>
      </c>
      <c r="AA680">
        <v>3</v>
      </c>
      <c r="AB680">
        <v>2</v>
      </c>
      <c r="AC680">
        <v>3</v>
      </c>
      <c r="AD680">
        <v>12</v>
      </c>
      <c r="AE680">
        <v>19</v>
      </c>
      <c r="AF680">
        <v>5</v>
      </c>
      <c r="AG680">
        <v>7</v>
      </c>
      <c r="AH680">
        <v>0</v>
      </c>
      <c r="AI680">
        <v>0</v>
      </c>
    </row>
    <row r="681" spans="1:35" hidden="1" x14ac:dyDescent="0.25">
      <c r="A681">
        <v>2022</v>
      </c>
      <c r="B681" s="1">
        <v>44807</v>
      </c>
      <c r="C681">
        <v>25</v>
      </c>
      <c r="D681">
        <v>2708</v>
      </c>
      <c r="E681">
        <v>23726</v>
      </c>
      <c r="F681" t="s">
        <v>44</v>
      </c>
      <c r="G681" t="s">
        <v>365</v>
      </c>
      <c r="H681" t="s">
        <v>238</v>
      </c>
      <c r="I681" t="s">
        <v>367</v>
      </c>
      <c r="J681">
        <v>20</v>
      </c>
      <c r="K681">
        <v>18</v>
      </c>
      <c r="L681">
        <v>5680000</v>
      </c>
      <c r="M681">
        <v>11500000</v>
      </c>
      <c r="N681" t="s">
        <v>86</v>
      </c>
      <c r="O681" t="s">
        <v>100</v>
      </c>
      <c r="P681">
        <v>1</v>
      </c>
      <c r="Q681">
        <v>1</v>
      </c>
      <c r="R681">
        <v>0</v>
      </c>
      <c r="S681">
        <v>0</v>
      </c>
      <c r="T681">
        <v>7</v>
      </c>
      <c r="U681">
        <v>3</v>
      </c>
      <c r="V681">
        <v>18</v>
      </c>
      <c r="W681">
        <v>15</v>
      </c>
      <c r="X681">
        <v>14</v>
      </c>
      <c r="Y681">
        <v>18</v>
      </c>
      <c r="Z681">
        <v>1</v>
      </c>
      <c r="AA681">
        <v>6</v>
      </c>
      <c r="AB681">
        <v>1</v>
      </c>
      <c r="AC681">
        <v>4</v>
      </c>
      <c r="AD681">
        <v>20</v>
      </c>
      <c r="AE681">
        <v>9</v>
      </c>
      <c r="AF681">
        <v>6</v>
      </c>
      <c r="AG681">
        <v>6</v>
      </c>
      <c r="AH681">
        <v>0</v>
      </c>
      <c r="AI681">
        <v>0</v>
      </c>
    </row>
    <row r="682" spans="1:35" hidden="1" x14ac:dyDescent="0.25">
      <c r="A682">
        <v>2022</v>
      </c>
      <c r="B682" s="1">
        <v>44850</v>
      </c>
      <c r="C682">
        <v>32</v>
      </c>
      <c r="D682">
        <v>1489</v>
      </c>
      <c r="E682">
        <v>23726</v>
      </c>
      <c r="F682" t="s">
        <v>44</v>
      </c>
      <c r="G682" t="s">
        <v>76</v>
      </c>
      <c r="H682" t="s">
        <v>364</v>
      </c>
      <c r="I682" t="s">
        <v>375</v>
      </c>
      <c r="J682">
        <v>20</v>
      </c>
      <c r="K682">
        <v>18</v>
      </c>
      <c r="L682">
        <v>5900000</v>
      </c>
      <c r="M682">
        <v>7150000</v>
      </c>
      <c r="N682" t="s">
        <v>163</v>
      </c>
      <c r="O682" t="s">
        <v>98</v>
      </c>
      <c r="P682">
        <v>1</v>
      </c>
      <c r="Q682">
        <v>1</v>
      </c>
      <c r="R682">
        <v>0</v>
      </c>
      <c r="S682">
        <v>0</v>
      </c>
      <c r="T682">
        <v>7</v>
      </c>
      <c r="U682">
        <v>4</v>
      </c>
      <c r="V682">
        <v>10</v>
      </c>
      <c r="W682">
        <v>19</v>
      </c>
      <c r="X682">
        <v>19</v>
      </c>
      <c r="Y682">
        <v>9</v>
      </c>
      <c r="Z682">
        <v>2</v>
      </c>
      <c r="AA682">
        <v>5</v>
      </c>
      <c r="AB682">
        <v>0</v>
      </c>
      <c r="AC682">
        <v>1</v>
      </c>
      <c r="AD682">
        <v>19</v>
      </c>
      <c r="AE682">
        <v>8</v>
      </c>
      <c r="AF682">
        <v>6</v>
      </c>
      <c r="AG682">
        <v>4</v>
      </c>
      <c r="AH682">
        <v>0</v>
      </c>
      <c r="AI682">
        <v>0</v>
      </c>
    </row>
    <row r="683" spans="1:35" hidden="1" x14ac:dyDescent="0.25">
      <c r="A683">
        <v>2022</v>
      </c>
      <c r="B683" s="1">
        <v>44867</v>
      </c>
      <c r="C683">
        <v>35</v>
      </c>
      <c r="D683">
        <v>3412</v>
      </c>
      <c r="E683">
        <v>23726</v>
      </c>
      <c r="F683" t="s">
        <v>44</v>
      </c>
      <c r="G683" t="s">
        <v>321</v>
      </c>
      <c r="H683" t="s">
        <v>360</v>
      </c>
      <c r="I683" t="s">
        <v>340</v>
      </c>
      <c r="J683">
        <v>20</v>
      </c>
      <c r="K683">
        <v>15</v>
      </c>
      <c r="L683">
        <v>6650000</v>
      </c>
      <c r="M683">
        <v>11950000</v>
      </c>
      <c r="N683" t="s">
        <v>120</v>
      </c>
      <c r="O683" t="s">
        <v>117</v>
      </c>
      <c r="P683">
        <v>0</v>
      </c>
      <c r="Q683">
        <v>1</v>
      </c>
      <c r="R683">
        <v>0</v>
      </c>
      <c r="S683">
        <v>0</v>
      </c>
      <c r="T683">
        <v>4</v>
      </c>
      <c r="U683">
        <v>4</v>
      </c>
      <c r="V683">
        <v>11</v>
      </c>
      <c r="W683">
        <v>18</v>
      </c>
      <c r="X683">
        <v>17</v>
      </c>
      <c r="Y683">
        <v>11</v>
      </c>
      <c r="Z683">
        <v>5</v>
      </c>
      <c r="AA683">
        <v>2</v>
      </c>
      <c r="AB683">
        <v>0</v>
      </c>
      <c r="AC683">
        <v>3</v>
      </c>
      <c r="AD683">
        <v>10</v>
      </c>
      <c r="AE683">
        <v>20</v>
      </c>
      <c r="AF683">
        <v>5</v>
      </c>
      <c r="AG683">
        <v>12</v>
      </c>
      <c r="AH683">
        <v>-1</v>
      </c>
      <c r="AI683">
        <v>0</v>
      </c>
    </row>
    <row r="684" spans="1:35" hidden="1" x14ac:dyDescent="0.25">
      <c r="A684">
        <v>2022</v>
      </c>
      <c r="B684" s="1">
        <v>44675</v>
      </c>
      <c r="C684">
        <v>3</v>
      </c>
      <c r="D684">
        <v>23973</v>
      </c>
      <c r="E684">
        <v>43600</v>
      </c>
      <c r="F684" t="s">
        <v>95</v>
      </c>
      <c r="G684" t="s">
        <v>88</v>
      </c>
      <c r="H684" t="s">
        <v>97</v>
      </c>
      <c r="I684" t="s">
        <v>359</v>
      </c>
      <c r="J684">
        <v>15</v>
      </c>
      <c r="K684">
        <v>1</v>
      </c>
      <c r="L684">
        <v>91000000</v>
      </c>
      <c r="M684">
        <v>43800000</v>
      </c>
      <c r="N684" t="s">
        <v>168</v>
      </c>
      <c r="O684" t="s">
        <v>228</v>
      </c>
      <c r="P684">
        <v>3</v>
      </c>
      <c r="Q684">
        <v>0</v>
      </c>
      <c r="R684">
        <v>2</v>
      </c>
      <c r="S684">
        <v>0</v>
      </c>
      <c r="T684">
        <v>12</v>
      </c>
      <c r="U684">
        <v>3</v>
      </c>
      <c r="V684">
        <v>13</v>
      </c>
      <c r="W684">
        <v>13</v>
      </c>
      <c r="X684">
        <v>13</v>
      </c>
      <c r="Y684">
        <v>13</v>
      </c>
      <c r="Z684">
        <v>1</v>
      </c>
      <c r="AA684">
        <v>4</v>
      </c>
      <c r="AB684">
        <v>3</v>
      </c>
      <c r="AC684">
        <v>0</v>
      </c>
      <c r="AD684">
        <v>20</v>
      </c>
      <c r="AE684">
        <v>7</v>
      </c>
      <c r="AF684">
        <v>9</v>
      </c>
      <c r="AG684">
        <v>3</v>
      </c>
      <c r="AH684">
        <v>3</v>
      </c>
      <c r="AI684">
        <v>1</v>
      </c>
    </row>
    <row r="685" spans="1:35" hidden="1" x14ac:dyDescent="0.25">
      <c r="A685">
        <v>2022</v>
      </c>
      <c r="B685" s="1">
        <v>44689</v>
      </c>
      <c r="C685">
        <v>5</v>
      </c>
      <c r="D685">
        <v>28776</v>
      </c>
      <c r="E685">
        <v>43600</v>
      </c>
      <c r="F685" t="s">
        <v>95</v>
      </c>
      <c r="G685" t="s">
        <v>55</v>
      </c>
      <c r="H685" t="s">
        <v>97</v>
      </c>
      <c r="I685" t="s">
        <v>57</v>
      </c>
      <c r="J685">
        <v>12</v>
      </c>
      <c r="K685">
        <v>15</v>
      </c>
      <c r="L685">
        <v>86000000</v>
      </c>
      <c r="M685">
        <v>29300000</v>
      </c>
      <c r="N685" t="s">
        <v>41</v>
      </c>
      <c r="O685" t="s">
        <v>109</v>
      </c>
      <c r="P685">
        <v>1</v>
      </c>
      <c r="Q685">
        <v>1</v>
      </c>
      <c r="R685">
        <v>0</v>
      </c>
      <c r="S685">
        <v>0</v>
      </c>
      <c r="T685">
        <v>6</v>
      </c>
      <c r="U685">
        <v>3</v>
      </c>
      <c r="V685">
        <v>10</v>
      </c>
      <c r="W685">
        <v>13</v>
      </c>
      <c r="X685">
        <v>12</v>
      </c>
      <c r="Y685">
        <v>10</v>
      </c>
      <c r="Z685">
        <v>1</v>
      </c>
      <c r="AA685">
        <v>4</v>
      </c>
      <c r="AB685">
        <v>3</v>
      </c>
      <c r="AC685">
        <v>0</v>
      </c>
      <c r="AD685">
        <v>19</v>
      </c>
      <c r="AE685">
        <v>8</v>
      </c>
      <c r="AF685">
        <v>6</v>
      </c>
      <c r="AG685">
        <v>3</v>
      </c>
      <c r="AH685">
        <v>0</v>
      </c>
      <c r="AI685">
        <v>0</v>
      </c>
    </row>
    <row r="686" spans="1:35" hidden="1" x14ac:dyDescent="0.25">
      <c r="A686">
        <v>2022</v>
      </c>
      <c r="B686" s="1">
        <v>44695</v>
      </c>
      <c r="C686">
        <v>6</v>
      </c>
      <c r="D686">
        <v>36123</v>
      </c>
      <c r="E686">
        <v>43600</v>
      </c>
      <c r="F686" t="s">
        <v>95</v>
      </c>
      <c r="G686" t="s">
        <v>56</v>
      </c>
      <c r="H686" t="s">
        <v>97</v>
      </c>
      <c r="I686" t="s">
        <v>341</v>
      </c>
      <c r="J686">
        <v>14</v>
      </c>
      <c r="K686">
        <v>5</v>
      </c>
      <c r="L686">
        <v>86700000</v>
      </c>
      <c r="M686">
        <v>26500000</v>
      </c>
      <c r="N686" t="s">
        <v>135</v>
      </c>
      <c r="O686" t="s">
        <v>278</v>
      </c>
      <c r="P686">
        <v>2</v>
      </c>
      <c r="Q686">
        <v>0</v>
      </c>
      <c r="R686">
        <v>1</v>
      </c>
      <c r="S686">
        <v>0</v>
      </c>
      <c r="T686">
        <v>7</v>
      </c>
      <c r="U686">
        <v>4</v>
      </c>
      <c r="V686">
        <v>11</v>
      </c>
      <c r="W686">
        <v>14</v>
      </c>
      <c r="X686">
        <v>14</v>
      </c>
      <c r="Y686">
        <v>11</v>
      </c>
      <c r="Z686">
        <v>2</v>
      </c>
      <c r="AA686">
        <v>5</v>
      </c>
      <c r="AB686">
        <v>3</v>
      </c>
      <c r="AC686">
        <v>0</v>
      </c>
      <c r="AD686">
        <v>14</v>
      </c>
      <c r="AE686">
        <v>11</v>
      </c>
      <c r="AF686">
        <v>4</v>
      </c>
      <c r="AG686">
        <v>5</v>
      </c>
      <c r="AH686">
        <v>2</v>
      </c>
      <c r="AI686">
        <v>1</v>
      </c>
    </row>
    <row r="687" spans="1:35" hidden="1" x14ac:dyDescent="0.25">
      <c r="A687">
        <v>2022</v>
      </c>
      <c r="B687" s="1">
        <v>44717</v>
      </c>
      <c r="C687">
        <v>9</v>
      </c>
      <c r="D687">
        <v>40235</v>
      </c>
      <c r="E687">
        <v>43600</v>
      </c>
      <c r="F687" t="s">
        <v>95</v>
      </c>
      <c r="G687" t="s">
        <v>89</v>
      </c>
      <c r="H687" t="s">
        <v>97</v>
      </c>
      <c r="I687" t="s">
        <v>370</v>
      </c>
      <c r="J687">
        <v>1</v>
      </c>
      <c r="K687">
        <v>2</v>
      </c>
      <c r="L687">
        <v>68750000</v>
      </c>
      <c r="M687">
        <v>45400000</v>
      </c>
      <c r="N687" t="s">
        <v>107</v>
      </c>
      <c r="O687" t="s">
        <v>235</v>
      </c>
      <c r="P687">
        <v>0</v>
      </c>
      <c r="Q687">
        <v>0</v>
      </c>
      <c r="R687">
        <v>0</v>
      </c>
      <c r="S687">
        <v>0</v>
      </c>
      <c r="T687">
        <v>6</v>
      </c>
      <c r="U687">
        <v>2</v>
      </c>
      <c r="V687">
        <v>8</v>
      </c>
      <c r="W687">
        <v>19</v>
      </c>
      <c r="X687">
        <v>19</v>
      </c>
      <c r="Y687">
        <v>7</v>
      </c>
      <c r="Z687">
        <v>3</v>
      </c>
      <c r="AA687">
        <v>3</v>
      </c>
      <c r="AB687">
        <v>0</v>
      </c>
      <c r="AC687">
        <v>4</v>
      </c>
      <c r="AD687">
        <v>16</v>
      </c>
      <c r="AE687">
        <v>11</v>
      </c>
      <c r="AF687">
        <v>10</v>
      </c>
      <c r="AG687">
        <v>5</v>
      </c>
      <c r="AH687">
        <v>0</v>
      </c>
      <c r="AI687">
        <v>0</v>
      </c>
    </row>
    <row r="688" spans="1:35" hidden="1" x14ac:dyDescent="0.25">
      <c r="A688">
        <v>2022</v>
      </c>
      <c r="B688" s="1">
        <v>44722</v>
      </c>
      <c r="C688">
        <v>10</v>
      </c>
      <c r="D688">
        <v>33431</v>
      </c>
      <c r="E688">
        <v>43600</v>
      </c>
      <c r="F688" t="s">
        <v>95</v>
      </c>
      <c r="G688" t="s">
        <v>51</v>
      </c>
      <c r="H688" t="s">
        <v>97</v>
      </c>
      <c r="I688" t="s">
        <v>311</v>
      </c>
      <c r="J688">
        <v>2</v>
      </c>
      <c r="K688">
        <v>10</v>
      </c>
      <c r="L688">
        <v>83500000</v>
      </c>
      <c r="M688">
        <v>17980000</v>
      </c>
      <c r="N688" t="s">
        <v>120</v>
      </c>
      <c r="O688" t="s">
        <v>41</v>
      </c>
      <c r="P688">
        <v>4</v>
      </c>
      <c r="Q688">
        <v>0</v>
      </c>
      <c r="R688">
        <v>3</v>
      </c>
      <c r="S688">
        <v>0</v>
      </c>
      <c r="T688">
        <v>7</v>
      </c>
      <c r="U688">
        <v>4</v>
      </c>
      <c r="V688">
        <v>16</v>
      </c>
      <c r="W688">
        <v>14</v>
      </c>
      <c r="X688">
        <v>14</v>
      </c>
      <c r="Y688">
        <v>16</v>
      </c>
      <c r="Z688">
        <v>3</v>
      </c>
      <c r="AA688">
        <v>2</v>
      </c>
      <c r="AB688">
        <v>3</v>
      </c>
      <c r="AC688">
        <v>0</v>
      </c>
      <c r="AD688">
        <v>14</v>
      </c>
      <c r="AE688">
        <v>12</v>
      </c>
      <c r="AF688">
        <v>5</v>
      </c>
      <c r="AG688">
        <v>7</v>
      </c>
      <c r="AH688">
        <v>4</v>
      </c>
      <c r="AI688">
        <v>1</v>
      </c>
    </row>
    <row r="689" spans="1:35" hidden="1" x14ac:dyDescent="0.25">
      <c r="A689">
        <v>2022</v>
      </c>
      <c r="B689" s="1">
        <v>44761</v>
      </c>
      <c r="C689">
        <v>17</v>
      </c>
      <c r="D689">
        <v>39033</v>
      </c>
      <c r="E689">
        <v>43600</v>
      </c>
      <c r="F689" t="s">
        <v>95</v>
      </c>
      <c r="G689" t="s">
        <v>70</v>
      </c>
      <c r="H689" t="s">
        <v>97</v>
      </c>
      <c r="I689" t="s">
        <v>90</v>
      </c>
      <c r="J689">
        <v>1</v>
      </c>
      <c r="K689">
        <v>13</v>
      </c>
      <c r="L689">
        <v>96500000</v>
      </c>
      <c r="M689">
        <v>8750000</v>
      </c>
      <c r="N689" t="s">
        <v>122</v>
      </c>
      <c r="O689" t="s">
        <v>129</v>
      </c>
      <c r="P689">
        <v>1</v>
      </c>
      <c r="Q689">
        <v>0</v>
      </c>
      <c r="R689">
        <v>0</v>
      </c>
      <c r="S689">
        <v>0</v>
      </c>
      <c r="T689">
        <v>11</v>
      </c>
      <c r="U689">
        <v>4</v>
      </c>
      <c r="V689">
        <v>17</v>
      </c>
      <c r="W689">
        <v>12</v>
      </c>
      <c r="X689">
        <v>10</v>
      </c>
      <c r="Y689">
        <v>17</v>
      </c>
      <c r="Z689">
        <v>1</v>
      </c>
      <c r="AA689">
        <v>8</v>
      </c>
      <c r="AB689">
        <v>3</v>
      </c>
      <c r="AC689">
        <v>1</v>
      </c>
      <c r="AD689">
        <v>16</v>
      </c>
      <c r="AE689">
        <v>6</v>
      </c>
      <c r="AF689">
        <v>5</v>
      </c>
      <c r="AG689">
        <v>3</v>
      </c>
      <c r="AH689">
        <v>1</v>
      </c>
      <c r="AI689">
        <v>1</v>
      </c>
    </row>
    <row r="690" spans="1:35" hidden="1" x14ac:dyDescent="0.25">
      <c r="A690">
        <v>2022</v>
      </c>
      <c r="B690" s="1">
        <v>44766</v>
      </c>
      <c r="C690">
        <v>19</v>
      </c>
      <c r="D690">
        <v>38658</v>
      </c>
      <c r="E690">
        <v>43600</v>
      </c>
      <c r="F690" t="s">
        <v>95</v>
      </c>
      <c r="G690" t="s">
        <v>37</v>
      </c>
      <c r="H690" t="s">
        <v>97</v>
      </c>
      <c r="I690" t="s">
        <v>240</v>
      </c>
      <c r="J690">
        <v>1</v>
      </c>
      <c r="K690">
        <v>6</v>
      </c>
      <c r="L690">
        <v>84000000</v>
      </c>
      <c r="M690">
        <v>29300000</v>
      </c>
      <c r="N690" t="s">
        <v>114</v>
      </c>
      <c r="O690" t="s">
        <v>209</v>
      </c>
      <c r="P690">
        <v>2</v>
      </c>
      <c r="Q690">
        <v>1</v>
      </c>
      <c r="R690">
        <v>1</v>
      </c>
      <c r="S690">
        <v>0</v>
      </c>
      <c r="T690">
        <v>12</v>
      </c>
      <c r="U690">
        <v>5</v>
      </c>
      <c r="V690">
        <v>12</v>
      </c>
      <c r="W690">
        <v>15</v>
      </c>
      <c r="X690">
        <v>14</v>
      </c>
      <c r="Y690">
        <v>11</v>
      </c>
      <c r="Z690">
        <v>4</v>
      </c>
      <c r="AA690">
        <v>7</v>
      </c>
      <c r="AB690">
        <v>4</v>
      </c>
      <c r="AC690">
        <v>1</v>
      </c>
      <c r="AD690">
        <v>18</v>
      </c>
      <c r="AE690">
        <v>11</v>
      </c>
      <c r="AF690">
        <v>7</v>
      </c>
      <c r="AG690">
        <v>2</v>
      </c>
      <c r="AH690">
        <v>1</v>
      </c>
      <c r="AI690">
        <v>1</v>
      </c>
    </row>
    <row r="691" spans="1:35" hidden="1" x14ac:dyDescent="0.25">
      <c r="A691">
        <v>2022</v>
      </c>
      <c r="B691" s="1">
        <v>44780</v>
      </c>
      <c r="C691">
        <v>21</v>
      </c>
      <c r="D691">
        <v>38801</v>
      </c>
      <c r="E691">
        <v>43600</v>
      </c>
      <c r="F691" t="s">
        <v>95</v>
      </c>
      <c r="G691" t="s">
        <v>313</v>
      </c>
      <c r="H691" t="s">
        <v>97</v>
      </c>
      <c r="I691" t="s">
        <v>78</v>
      </c>
      <c r="J691">
        <v>1</v>
      </c>
      <c r="K691">
        <v>11</v>
      </c>
      <c r="L691">
        <v>68000000</v>
      </c>
      <c r="M691">
        <v>11500000</v>
      </c>
      <c r="N691">
        <v>27</v>
      </c>
      <c r="O691">
        <v>26</v>
      </c>
      <c r="P691">
        <v>3</v>
      </c>
      <c r="Q691">
        <v>0</v>
      </c>
      <c r="R691">
        <v>2</v>
      </c>
      <c r="S691">
        <v>0</v>
      </c>
      <c r="T691">
        <v>5</v>
      </c>
      <c r="U691">
        <v>4</v>
      </c>
      <c r="V691">
        <v>12</v>
      </c>
      <c r="W691">
        <v>10</v>
      </c>
      <c r="X691">
        <v>9</v>
      </c>
      <c r="Y691">
        <v>12</v>
      </c>
      <c r="Z691">
        <v>2</v>
      </c>
      <c r="AA691">
        <v>5</v>
      </c>
      <c r="AB691">
        <v>3</v>
      </c>
      <c r="AC691">
        <v>1</v>
      </c>
      <c r="AD691">
        <v>19</v>
      </c>
      <c r="AE691">
        <v>8</v>
      </c>
      <c r="AF691">
        <v>9</v>
      </c>
      <c r="AG691">
        <v>5</v>
      </c>
      <c r="AH691">
        <v>3</v>
      </c>
      <c r="AI691">
        <v>1</v>
      </c>
    </row>
    <row r="692" spans="1:35" hidden="1" x14ac:dyDescent="0.25">
      <c r="A692">
        <v>2022</v>
      </c>
      <c r="B692" s="1">
        <v>44815</v>
      </c>
      <c r="C692">
        <v>26</v>
      </c>
      <c r="D692">
        <v>39337</v>
      </c>
      <c r="E692">
        <v>43600</v>
      </c>
      <c r="F692" t="s">
        <v>95</v>
      </c>
      <c r="G692" t="s">
        <v>44</v>
      </c>
      <c r="H692" t="s">
        <v>97</v>
      </c>
      <c r="I692" t="s">
        <v>238</v>
      </c>
      <c r="J692">
        <v>1</v>
      </c>
      <c r="K692">
        <v>20</v>
      </c>
      <c r="L692">
        <v>87500000</v>
      </c>
      <c r="M692">
        <v>6800000</v>
      </c>
      <c r="N692" t="s">
        <v>107</v>
      </c>
      <c r="O692" t="s">
        <v>86</v>
      </c>
      <c r="P692">
        <v>2</v>
      </c>
      <c r="Q692">
        <v>1</v>
      </c>
      <c r="R692">
        <v>0</v>
      </c>
      <c r="S692">
        <v>0</v>
      </c>
      <c r="T692">
        <v>14</v>
      </c>
      <c r="U692">
        <v>3</v>
      </c>
      <c r="V692">
        <v>6</v>
      </c>
      <c r="W692">
        <v>15</v>
      </c>
      <c r="X692">
        <v>14</v>
      </c>
      <c r="Y692">
        <v>6</v>
      </c>
      <c r="Z692">
        <v>0</v>
      </c>
      <c r="AA692">
        <v>7</v>
      </c>
      <c r="AB692">
        <v>3</v>
      </c>
      <c r="AC692">
        <v>1</v>
      </c>
      <c r="AD692">
        <v>23</v>
      </c>
      <c r="AE692">
        <v>6</v>
      </c>
      <c r="AF692">
        <v>11</v>
      </c>
      <c r="AG692">
        <v>3</v>
      </c>
      <c r="AH692">
        <v>1</v>
      </c>
      <c r="AI692">
        <v>1</v>
      </c>
    </row>
    <row r="693" spans="1:35" hidden="1" x14ac:dyDescent="0.25">
      <c r="A693">
        <v>2022</v>
      </c>
      <c r="B693" s="1">
        <v>44822</v>
      </c>
      <c r="C693">
        <v>27</v>
      </c>
      <c r="D693">
        <v>40337</v>
      </c>
      <c r="E693">
        <v>43600</v>
      </c>
      <c r="F693" t="s">
        <v>95</v>
      </c>
      <c r="G693" t="s">
        <v>326</v>
      </c>
      <c r="H693" t="s">
        <v>97</v>
      </c>
      <c r="I693" t="s">
        <v>363</v>
      </c>
      <c r="J693">
        <v>1</v>
      </c>
      <c r="K693">
        <v>10</v>
      </c>
      <c r="L693">
        <v>87500000</v>
      </c>
      <c r="M693">
        <v>39500000</v>
      </c>
      <c r="N693" t="s">
        <v>107</v>
      </c>
      <c r="O693" t="s">
        <v>239</v>
      </c>
      <c r="P693">
        <v>1</v>
      </c>
      <c r="Q693">
        <v>0</v>
      </c>
      <c r="R693">
        <v>0</v>
      </c>
      <c r="S693">
        <v>0</v>
      </c>
      <c r="T693">
        <v>8</v>
      </c>
      <c r="U693">
        <v>5</v>
      </c>
      <c r="V693">
        <v>12</v>
      </c>
      <c r="W693">
        <v>12</v>
      </c>
      <c r="X693">
        <v>10</v>
      </c>
      <c r="Y693">
        <v>12</v>
      </c>
      <c r="Z693">
        <v>3</v>
      </c>
      <c r="AA693">
        <v>2</v>
      </c>
      <c r="AB693">
        <v>1</v>
      </c>
      <c r="AC693">
        <v>1</v>
      </c>
      <c r="AD693">
        <v>19</v>
      </c>
      <c r="AE693">
        <v>16</v>
      </c>
      <c r="AF693">
        <v>4</v>
      </c>
      <c r="AG693">
        <v>11</v>
      </c>
      <c r="AH693">
        <v>1</v>
      </c>
      <c r="AI693">
        <v>1</v>
      </c>
    </row>
    <row r="694" spans="1:35" hidden="1" x14ac:dyDescent="0.25">
      <c r="A694">
        <v>2022</v>
      </c>
      <c r="B694" s="1">
        <v>44841</v>
      </c>
      <c r="C694">
        <v>30</v>
      </c>
      <c r="D694">
        <v>39877</v>
      </c>
      <c r="E694">
        <v>43600</v>
      </c>
      <c r="F694" t="s">
        <v>95</v>
      </c>
      <c r="G694" t="s">
        <v>321</v>
      </c>
      <c r="H694" t="s">
        <v>97</v>
      </c>
      <c r="I694" t="s">
        <v>340</v>
      </c>
      <c r="J694">
        <v>1</v>
      </c>
      <c r="K694">
        <v>15</v>
      </c>
      <c r="L694">
        <v>83500000</v>
      </c>
      <c r="M694">
        <v>14400000</v>
      </c>
      <c r="N694" t="s">
        <v>66</v>
      </c>
      <c r="O694" t="s">
        <v>104</v>
      </c>
      <c r="P694">
        <v>4</v>
      </c>
      <c r="Q694">
        <v>0</v>
      </c>
      <c r="R694">
        <v>2</v>
      </c>
      <c r="S694">
        <v>0</v>
      </c>
      <c r="T694">
        <v>9</v>
      </c>
      <c r="U694">
        <v>6</v>
      </c>
      <c r="V694">
        <v>16</v>
      </c>
      <c r="W694">
        <v>13</v>
      </c>
      <c r="X694">
        <v>12</v>
      </c>
      <c r="Y694">
        <v>15</v>
      </c>
      <c r="Z694">
        <v>3</v>
      </c>
      <c r="AA694">
        <v>7</v>
      </c>
      <c r="AB694">
        <v>4</v>
      </c>
      <c r="AC694">
        <v>0</v>
      </c>
      <c r="AD694">
        <v>19</v>
      </c>
      <c r="AE694">
        <v>11</v>
      </c>
      <c r="AF694">
        <v>6</v>
      </c>
      <c r="AG694">
        <v>3</v>
      </c>
      <c r="AH694">
        <v>4</v>
      </c>
      <c r="AI694">
        <v>1</v>
      </c>
    </row>
    <row r="695" spans="1:35" hidden="1" x14ac:dyDescent="0.25">
      <c r="A695">
        <v>2022</v>
      </c>
      <c r="B695" s="1">
        <v>44850</v>
      </c>
      <c r="C695">
        <v>32</v>
      </c>
      <c r="D695">
        <v>40795</v>
      </c>
      <c r="E695">
        <v>43600</v>
      </c>
      <c r="F695" t="s">
        <v>95</v>
      </c>
      <c r="G695" t="s">
        <v>62</v>
      </c>
      <c r="H695" t="s">
        <v>97</v>
      </c>
      <c r="I695" t="s">
        <v>40</v>
      </c>
      <c r="J695">
        <v>1</v>
      </c>
      <c r="K695">
        <v>10</v>
      </c>
      <c r="L695">
        <v>78000000</v>
      </c>
      <c r="M695">
        <v>29950000</v>
      </c>
      <c r="N695" t="s">
        <v>134</v>
      </c>
      <c r="O695">
        <v>28</v>
      </c>
      <c r="P695">
        <v>0</v>
      </c>
      <c r="Q695">
        <v>0</v>
      </c>
      <c r="R695">
        <v>0</v>
      </c>
      <c r="S695">
        <v>0</v>
      </c>
      <c r="T695">
        <v>15</v>
      </c>
      <c r="U695">
        <v>3</v>
      </c>
      <c r="V695">
        <v>9</v>
      </c>
      <c r="W695">
        <v>14</v>
      </c>
      <c r="X695">
        <v>12</v>
      </c>
      <c r="Y695">
        <v>9</v>
      </c>
      <c r="Z695">
        <v>1</v>
      </c>
      <c r="AA695">
        <v>8</v>
      </c>
      <c r="AB695">
        <v>2</v>
      </c>
      <c r="AC695">
        <v>0</v>
      </c>
      <c r="AD695">
        <v>19</v>
      </c>
      <c r="AE695">
        <v>5</v>
      </c>
      <c r="AF695">
        <v>6</v>
      </c>
      <c r="AG695">
        <v>3</v>
      </c>
      <c r="AH695">
        <v>0</v>
      </c>
      <c r="AI695">
        <v>0</v>
      </c>
    </row>
    <row r="696" spans="1:35" hidden="1" x14ac:dyDescent="0.25">
      <c r="A696">
        <v>2022</v>
      </c>
      <c r="B696" s="1">
        <v>44857</v>
      </c>
      <c r="C696">
        <v>33</v>
      </c>
      <c r="D696">
        <v>40044</v>
      </c>
      <c r="E696">
        <v>43600</v>
      </c>
      <c r="F696" t="s">
        <v>95</v>
      </c>
      <c r="G696" t="s">
        <v>365</v>
      </c>
      <c r="H696" t="s">
        <v>97</v>
      </c>
      <c r="I696" t="s">
        <v>362</v>
      </c>
      <c r="J696">
        <v>1</v>
      </c>
      <c r="K696">
        <v>19</v>
      </c>
      <c r="L696">
        <v>83500000</v>
      </c>
      <c r="M696">
        <v>9350000</v>
      </c>
      <c r="N696" t="s">
        <v>105</v>
      </c>
      <c r="O696" t="s">
        <v>235</v>
      </c>
      <c r="P696">
        <v>3</v>
      </c>
      <c r="Q696">
        <v>0</v>
      </c>
      <c r="R696">
        <v>1</v>
      </c>
      <c r="S696">
        <v>0</v>
      </c>
      <c r="T696">
        <v>9</v>
      </c>
      <c r="U696">
        <v>7</v>
      </c>
      <c r="V696">
        <v>12</v>
      </c>
      <c r="W696">
        <v>7</v>
      </c>
      <c r="X696">
        <v>7</v>
      </c>
      <c r="Y696">
        <v>12</v>
      </c>
      <c r="Z696">
        <v>2</v>
      </c>
      <c r="AA696">
        <v>6</v>
      </c>
      <c r="AB696">
        <v>3</v>
      </c>
      <c r="AC696">
        <v>0</v>
      </c>
      <c r="AD696">
        <v>22</v>
      </c>
      <c r="AE696">
        <v>10</v>
      </c>
      <c r="AF696">
        <v>11</v>
      </c>
      <c r="AG696">
        <v>7</v>
      </c>
      <c r="AH696">
        <v>3</v>
      </c>
      <c r="AI696">
        <v>1</v>
      </c>
    </row>
    <row r="697" spans="1:35" hidden="1" x14ac:dyDescent="0.25">
      <c r="A697">
        <v>2022</v>
      </c>
      <c r="B697" s="1">
        <v>44868</v>
      </c>
      <c r="C697">
        <v>35</v>
      </c>
      <c r="D697">
        <v>29104</v>
      </c>
      <c r="E697">
        <v>43600</v>
      </c>
      <c r="F697" t="s">
        <v>95</v>
      </c>
      <c r="G697" t="s">
        <v>63</v>
      </c>
      <c r="H697" t="s">
        <v>97</v>
      </c>
      <c r="I697" t="s">
        <v>65</v>
      </c>
      <c r="J697">
        <v>1</v>
      </c>
      <c r="K697">
        <v>9</v>
      </c>
      <c r="L697">
        <v>98500000</v>
      </c>
      <c r="M697">
        <v>15250000</v>
      </c>
      <c r="N697" t="s">
        <v>120</v>
      </c>
      <c r="O697" t="s">
        <v>142</v>
      </c>
      <c r="P697">
        <v>4</v>
      </c>
      <c r="Q697">
        <v>0</v>
      </c>
      <c r="R697">
        <v>2</v>
      </c>
      <c r="S697">
        <v>0</v>
      </c>
      <c r="T697">
        <v>4</v>
      </c>
      <c r="U697">
        <v>2</v>
      </c>
      <c r="V697">
        <v>11</v>
      </c>
      <c r="W697">
        <v>16</v>
      </c>
      <c r="X697">
        <v>15</v>
      </c>
      <c r="Y697">
        <v>11</v>
      </c>
      <c r="Z697">
        <v>3</v>
      </c>
      <c r="AA697">
        <v>5</v>
      </c>
      <c r="AB697">
        <v>3</v>
      </c>
      <c r="AC697">
        <v>2</v>
      </c>
      <c r="AD697">
        <v>18</v>
      </c>
      <c r="AE697">
        <v>8</v>
      </c>
      <c r="AF697">
        <v>5</v>
      </c>
      <c r="AG697">
        <v>3</v>
      </c>
      <c r="AH697">
        <v>4</v>
      </c>
      <c r="AI697">
        <v>1</v>
      </c>
    </row>
    <row r="698" spans="1:35" hidden="1" x14ac:dyDescent="0.25">
      <c r="A698">
        <v>2022</v>
      </c>
      <c r="B698" s="1">
        <v>44668</v>
      </c>
      <c r="C698">
        <v>2</v>
      </c>
      <c r="D698">
        <v>10791</v>
      </c>
      <c r="E698">
        <v>42968</v>
      </c>
      <c r="F698" t="s">
        <v>70</v>
      </c>
      <c r="G698" t="s">
        <v>55</v>
      </c>
      <c r="H698" t="s">
        <v>374</v>
      </c>
      <c r="I698" t="s">
        <v>376</v>
      </c>
      <c r="J698">
        <v>7</v>
      </c>
      <c r="K698">
        <v>13</v>
      </c>
      <c r="L698">
        <v>10000000</v>
      </c>
      <c r="M698">
        <v>29600000</v>
      </c>
      <c r="N698" t="s">
        <v>200</v>
      </c>
      <c r="O698" t="s">
        <v>74</v>
      </c>
      <c r="P698">
        <v>0</v>
      </c>
      <c r="Q698">
        <v>1</v>
      </c>
      <c r="R698">
        <v>0</v>
      </c>
      <c r="S698">
        <v>0</v>
      </c>
      <c r="T698">
        <v>2</v>
      </c>
      <c r="U698">
        <v>5</v>
      </c>
      <c r="V698">
        <v>18</v>
      </c>
      <c r="W698">
        <v>14</v>
      </c>
      <c r="X698">
        <v>13</v>
      </c>
      <c r="Y698">
        <v>16</v>
      </c>
      <c r="Z698">
        <v>3</v>
      </c>
      <c r="AA698">
        <v>1</v>
      </c>
      <c r="AB698">
        <v>1</v>
      </c>
      <c r="AC698">
        <v>0</v>
      </c>
      <c r="AD698">
        <v>5</v>
      </c>
      <c r="AE698">
        <v>12</v>
      </c>
      <c r="AF698">
        <v>1</v>
      </c>
      <c r="AG698">
        <v>8</v>
      </c>
      <c r="AH698">
        <v>-1</v>
      </c>
      <c r="AI698">
        <v>0</v>
      </c>
    </row>
    <row r="699" spans="1:35" hidden="1" x14ac:dyDescent="0.25">
      <c r="A699">
        <v>2022</v>
      </c>
      <c r="B699" s="1">
        <v>44703</v>
      </c>
      <c r="C699">
        <v>7</v>
      </c>
      <c r="D699">
        <v>7968</v>
      </c>
      <c r="E699">
        <v>42968</v>
      </c>
      <c r="F699" t="s">
        <v>70</v>
      </c>
      <c r="G699" t="s">
        <v>37</v>
      </c>
      <c r="H699" t="s">
        <v>72</v>
      </c>
      <c r="I699" t="s">
        <v>240</v>
      </c>
      <c r="J699">
        <v>15</v>
      </c>
      <c r="K699">
        <v>10</v>
      </c>
      <c r="L699">
        <v>8450000</v>
      </c>
      <c r="M699">
        <v>41100000</v>
      </c>
      <c r="N699" t="s">
        <v>134</v>
      </c>
      <c r="O699" t="s">
        <v>66</v>
      </c>
      <c r="P699">
        <v>1</v>
      </c>
      <c r="Q699">
        <v>1</v>
      </c>
      <c r="R699">
        <v>0</v>
      </c>
      <c r="S699">
        <v>0</v>
      </c>
      <c r="T699">
        <v>4</v>
      </c>
      <c r="U699">
        <v>11</v>
      </c>
      <c r="V699">
        <v>9</v>
      </c>
      <c r="W699">
        <v>12</v>
      </c>
      <c r="X699">
        <v>12</v>
      </c>
      <c r="Y699">
        <v>8</v>
      </c>
      <c r="Z699">
        <v>3</v>
      </c>
      <c r="AA699">
        <v>2</v>
      </c>
      <c r="AB699">
        <v>2</v>
      </c>
      <c r="AC699">
        <v>1</v>
      </c>
      <c r="AD699">
        <v>11</v>
      </c>
      <c r="AE699">
        <v>14</v>
      </c>
      <c r="AF699">
        <v>4</v>
      </c>
      <c r="AG699">
        <v>6</v>
      </c>
      <c r="AH699">
        <v>0</v>
      </c>
      <c r="AI699">
        <v>0</v>
      </c>
    </row>
    <row r="700" spans="1:35" hidden="1" x14ac:dyDescent="0.25">
      <c r="A700">
        <v>2022</v>
      </c>
      <c r="B700" s="1">
        <v>44710</v>
      </c>
      <c r="C700">
        <v>8</v>
      </c>
      <c r="D700">
        <v>4539</v>
      </c>
      <c r="E700">
        <v>42968</v>
      </c>
      <c r="F700" t="s">
        <v>70</v>
      </c>
      <c r="G700" t="s">
        <v>69</v>
      </c>
      <c r="H700" t="s">
        <v>72</v>
      </c>
      <c r="I700" t="s">
        <v>336</v>
      </c>
      <c r="J700">
        <v>17</v>
      </c>
      <c r="K700">
        <v>12</v>
      </c>
      <c r="L700">
        <v>6400000</v>
      </c>
      <c r="M700">
        <v>28700000</v>
      </c>
      <c r="N700">
        <v>29</v>
      </c>
      <c r="O700" t="s">
        <v>145</v>
      </c>
      <c r="P700">
        <v>0</v>
      </c>
      <c r="Q700">
        <v>1</v>
      </c>
      <c r="R700">
        <v>0</v>
      </c>
      <c r="S700">
        <v>0</v>
      </c>
      <c r="T700">
        <v>8</v>
      </c>
      <c r="U700">
        <v>8</v>
      </c>
      <c r="V700">
        <v>9</v>
      </c>
      <c r="W700">
        <v>17</v>
      </c>
      <c r="X700">
        <v>17</v>
      </c>
      <c r="Y700">
        <v>8</v>
      </c>
      <c r="Z700">
        <v>7</v>
      </c>
      <c r="AA700">
        <v>0</v>
      </c>
      <c r="AB700">
        <v>0</v>
      </c>
      <c r="AC700">
        <v>4</v>
      </c>
      <c r="AD700">
        <v>10</v>
      </c>
      <c r="AE700">
        <v>19</v>
      </c>
      <c r="AF700">
        <v>6</v>
      </c>
      <c r="AG700">
        <v>4</v>
      </c>
      <c r="AH700">
        <v>-1</v>
      </c>
      <c r="AI700">
        <v>0</v>
      </c>
    </row>
    <row r="701" spans="1:35" hidden="1" x14ac:dyDescent="0.25">
      <c r="A701">
        <v>2022</v>
      </c>
      <c r="B701" s="1">
        <v>44720</v>
      </c>
      <c r="C701">
        <v>10</v>
      </c>
      <c r="D701">
        <v>22129</v>
      </c>
      <c r="E701">
        <v>42968</v>
      </c>
      <c r="F701" t="s">
        <v>70</v>
      </c>
      <c r="G701" t="s">
        <v>88</v>
      </c>
      <c r="H701" t="s">
        <v>90</v>
      </c>
      <c r="I701" t="s">
        <v>359</v>
      </c>
      <c r="J701">
        <v>18</v>
      </c>
      <c r="K701">
        <v>1</v>
      </c>
      <c r="L701">
        <v>10350000</v>
      </c>
      <c r="M701">
        <v>32500000</v>
      </c>
      <c r="N701" t="s">
        <v>123</v>
      </c>
      <c r="O701" t="s">
        <v>122</v>
      </c>
      <c r="P701">
        <v>1</v>
      </c>
      <c r="Q701">
        <v>0</v>
      </c>
      <c r="R701">
        <v>1</v>
      </c>
      <c r="S701">
        <v>0</v>
      </c>
      <c r="T701">
        <v>4</v>
      </c>
      <c r="U701">
        <v>3</v>
      </c>
      <c r="V701">
        <v>10</v>
      </c>
      <c r="W701">
        <v>11</v>
      </c>
      <c r="X701">
        <v>10</v>
      </c>
      <c r="Y701">
        <v>9</v>
      </c>
      <c r="Z701">
        <v>4</v>
      </c>
      <c r="AA701">
        <v>3</v>
      </c>
      <c r="AB701">
        <v>0</v>
      </c>
      <c r="AC701">
        <v>0</v>
      </c>
      <c r="AD701">
        <v>11</v>
      </c>
      <c r="AE701">
        <v>11</v>
      </c>
      <c r="AF701">
        <v>5</v>
      </c>
      <c r="AG701">
        <v>6</v>
      </c>
      <c r="AH701">
        <v>1</v>
      </c>
      <c r="AI701">
        <v>1</v>
      </c>
    </row>
    <row r="702" spans="1:35" hidden="1" x14ac:dyDescent="0.25">
      <c r="A702">
        <v>2022</v>
      </c>
      <c r="B702" s="1">
        <v>44731</v>
      </c>
      <c r="C702">
        <v>13</v>
      </c>
      <c r="D702">
        <v>7512</v>
      </c>
      <c r="E702">
        <v>42968</v>
      </c>
      <c r="F702" t="s">
        <v>70</v>
      </c>
      <c r="G702" t="s">
        <v>361</v>
      </c>
      <c r="H702" t="s">
        <v>90</v>
      </c>
      <c r="I702" t="s">
        <v>368</v>
      </c>
      <c r="J702">
        <v>18</v>
      </c>
      <c r="K702">
        <v>15</v>
      </c>
      <c r="L702">
        <v>9150000</v>
      </c>
      <c r="M702">
        <v>9100000</v>
      </c>
      <c r="N702" t="s">
        <v>123</v>
      </c>
      <c r="O702" t="s">
        <v>92</v>
      </c>
      <c r="P702">
        <v>0</v>
      </c>
      <c r="Q702">
        <v>0</v>
      </c>
      <c r="R702">
        <v>0</v>
      </c>
      <c r="S702">
        <v>0</v>
      </c>
      <c r="T702">
        <v>7</v>
      </c>
      <c r="U702">
        <v>6</v>
      </c>
      <c r="V702">
        <v>15</v>
      </c>
      <c r="W702">
        <v>10</v>
      </c>
      <c r="X702">
        <v>10</v>
      </c>
      <c r="Y702">
        <v>15</v>
      </c>
      <c r="Z702">
        <v>1</v>
      </c>
      <c r="AA702">
        <v>1</v>
      </c>
      <c r="AB702">
        <v>1</v>
      </c>
      <c r="AC702">
        <v>6</v>
      </c>
      <c r="AD702">
        <v>14</v>
      </c>
      <c r="AE702">
        <v>8</v>
      </c>
      <c r="AF702">
        <v>8</v>
      </c>
      <c r="AG702">
        <v>3</v>
      </c>
      <c r="AH702">
        <v>0</v>
      </c>
      <c r="AI702">
        <v>0</v>
      </c>
    </row>
    <row r="703" spans="1:35" hidden="1" x14ac:dyDescent="0.25">
      <c r="A703">
        <v>2022</v>
      </c>
      <c r="B703" s="1">
        <v>44753</v>
      </c>
      <c r="C703">
        <v>16</v>
      </c>
      <c r="D703">
        <v>14719</v>
      </c>
      <c r="E703">
        <v>42968</v>
      </c>
      <c r="F703" t="s">
        <v>70</v>
      </c>
      <c r="G703" t="s">
        <v>51</v>
      </c>
      <c r="H703" t="s">
        <v>90</v>
      </c>
      <c r="I703" t="s">
        <v>311</v>
      </c>
      <c r="J703">
        <v>18</v>
      </c>
      <c r="K703">
        <v>9</v>
      </c>
      <c r="L703">
        <v>9250000</v>
      </c>
      <c r="M703">
        <v>26180000</v>
      </c>
      <c r="N703" t="s">
        <v>129</v>
      </c>
      <c r="O703" t="s">
        <v>41</v>
      </c>
      <c r="P703">
        <v>2</v>
      </c>
      <c r="Q703">
        <v>0</v>
      </c>
      <c r="R703">
        <v>1</v>
      </c>
      <c r="S703">
        <v>0</v>
      </c>
      <c r="T703">
        <v>5</v>
      </c>
      <c r="U703">
        <v>2</v>
      </c>
      <c r="V703">
        <v>7</v>
      </c>
      <c r="W703">
        <v>11</v>
      </c>
      <c r="X703">
        <v>11</v>
      </c>
      <c r="Y703">
        <v>6</v>
      </c>
      <c r="Z703">
        <v>2</v>
      </c>
      <c r="AA703">
        <v>4</v>
      </c>
      <c r="AB703">
        <v>2</v>
      </c>
      <c r="AC703">
        <v>2</v>
      </c>
      <c r="AD703">
        <v>14</v>
      </c>
      <c r="AE703">
        <v>6</v>
      </c>
      <c r="AF703">
        <v>4</v>
      </c>
      <c r="AG703">
        <v>3</v>
      </c>
      <c r="AH703">
        <v>2</v>
      </c>
      <c r="AI703">
        <v>1</v>
      </c>
    </row>
    <row r="704" spans="1:35" hidden="1" x14ac:dyDescent="0.25">
      <c r="A704">
        <v>2022</v>
      </c>
      <c r="B704" s="1">
        <v>44764</v>
      </c>
      <c r="C704">
        <v>18</v>
      </c>
      <c r="D704">
        <v>18584</v>
      </c>
      <c r="E704">
        <v>42968</v>
      </c>
      <c r="F704" t="s">
        <v>70</v>
      </c>
      <c r="G704" t="s">
        <v>89</v>
      </c>
      <c r="H704" t="s">
        <v>90</v>
      </c>
      <c r="I704" t="s">
        <v>370</v>
      </c>
      <c r="J704">
        <v>15</v>
      </c>
      <c r="K704">
        <v>2</v>
      </c>
      <c r="L704">
        <v>9750000</v>
      </c>
      <c r="M704">
        <v>67000000</v>
      </c>
      <c r="N704" t="s">
        <v>128</v>
      </c>
      <c r="O704" t="s">
        <v>41</v>
      </c>
      <c r="P704">
        <v>1</v>
      </c>
      <c r="Q704">
        <v>1</v>
      </c>
      <c r="R704">
        <v>0</v>
      </c>
      <c r="S704">
        <v>0</v>
      </c>
      <c r="T704">
        <v>4</v>
      </c>
      <c r="U704">
        <v>2</v>
      </c>
      <c r="V704">
        <v>7</v>
      </c>
      <c r="W704">
        <v>10</v>
      </c>
      <c r="X704">
        <v>10</v>
      </c>
      <c r="Y704">
        <v>7</v>
      </c>
      <c r="Z704">
        <v>3</v>
      </c>
      <c r="AA704">
        <v>5</v>
      </c>
      <c r="AB704">
        <v>1</v>
      </c>
      <c r="AC704">
        <v>1</v>
      </c>
      <c r="AD704">
        <v>16</v>
      </c>
      <c r="AE704">
        <v>7</v>
      </c>
      <c r="AF704">
        <v>6</v>
      </c>
      <c r="AG704">
        <v>1</v>
      </c>
      <c r="AH704">
        <v>0</v>
      </c>
      <c r="AI704">
        <v>0</v>
      </c>
    </row>
    <row r="705" spans="1:35" hidden="1" x14ac:dyDescent="0.25">
      <c r="A705">
        <v>2022</v>
      </c>
      <c r="B705" s="1">
        <v>44787</v>
      </c>
      <c r="C705">
        <v>22</v>
      </c>
      <c r="D705">
        <v>6909</v>
      </c>
      <c r="E705">
        <v>42968</v>
      </c>
      <c r="F705" t="s">
        <v>70</v>
      </c>
      <c r="G705" t="s">
        <v>44</v>
      </c>
      <c r="H705" t="s">
        <v>90</v>
      </c>
      <c r="I705" t="s">
        <v>238</v>
      </c>
      <c r="J705">
        <v>18</v>
      </c>
      <c r="K705">
        <v>20</v>
      </c>
      <c r="L705">
        <v>11200000</v>
      </c>
      <c r="M705">
        <v>7100000</v>
      </c>
      <c r="N705">
        <v>28</v>
      </c>
      <c r="O705" t="s">
        <v>98</v>
      </c>
      <c r="P705">
        <v>1</v>
      </c>
      <c r="Q705">
        <v>0</v>
      </c>
      <c r="R705">
        <v>1</v>
      </c>
      <c r="S705">
        <v>0</v>
      </c>
      <c r="T705">
        <v>5</v>
      </c>
      <c r="U705">
        <v>4</v>
      </c>
      <c r="V705">
        <v>14</v>
      </c>
      <c r="W705">
        <v>14</v>
      </c>
      <c r="X705">
        <v>13</v>
      </c>
      <c r="Y705">
        <v>14</v>
      </c>
      <c r="Z705">
        <v>3</v>
      </c>
      <c r="AA705">
        <v>3</v>
      </c>
      <c r="AB705">
        <v>4</v>
      </c>
      <c r="AC705">
        <v>2</v>
      </c>
      <c r="AD705">
        <v>13</v>
      </c>
      <c r="AE705">
        <v>5</v>
      </c>
      <c r="AF705">
        <v>6</v>
      </c>
      <c r="AG705">
        <v>2</v>
      </c>
      <c r="AH705">
        <v>1</v>
      </c>
      <c r="AI705">
        <v>1</v>
      </c>
    </row>
    <row r="706" spans="1:35" hidden="1" x14ac:dyDescent="0.25">
      <c r="A706">
        <v>2022</v>
      </c>
      <c r="B706" s="1">
        <v>44801</v>
      </c>
      <c r="C706">
        <v>24</v>
      </c>
      <c r="D706">
        <v>19136</v>
      </c>
      <c r="E706">
        <v>42968</v>
      </c>
      <c r="F706" t="s">
        <v>70</v>
      </c>
      <c r="G706" t="s">
        <v>326</v>
      </c>
      <c r="H706" t="s">
        <v>90</v>
      </c>
      <c r="I706" t="s">
        <v>362</v>
      </c>
      <c r="J706">
        <v>16</v>
      </c>
      <c r="K706">
        <v>8</v>
      </c>
      <c r="L706">
        <v>9150000</v>
      </c>
      <c r="M706">
        <v>31000000</v>
      </c>
      <c r="N706" t="s">
        <v>100</v>
      </c>
      <c r="O706" t="s">
        <v>135</v>
      </c>
      <c r="P706">
        <v>0</v>
      </c>
      <c r="Q706">
        <v>0</v>
      </c>
      <c r="R706">
        <v>0</v>
      </c>
      <c r="S706">
        <v>0</v>
      </c>
      <c r="T706">
        <v>14</v>
      </c>
      <c r="U706">
        <v>2</v>
      </c>
      <c r="V706">
        <v>13</v>
      </c>
      <c r="W706">
        <v>6</v>
      </c>
      <c r="X706">
        <v>6</v>
      </c>
      <c r="Y706">
        <v>12</v>
      </c>
      <c r="Z706">
        <v>1</v>
      </c>
      <c r="AA706">
        <v>7</v>
      </c>
      <c r="AB706">
        <v>0</v>
      </c>
      <c r="AC706">
        <v>4</v>
      </c>
      <c r="AD706">
        <v>21</v>
      </c>
      <c r="AE706">
        <v>7</v>
      </c>
      <c r="AF706">
        <v>6</v>
      </c>
      <c r="AG706">
        <v>3</v>
      </c>
      <c r="AH706">
        <v>0</v>
      </c>
      <c r="AI706">
        <v>0</v>
      </c>
    </row>
    <row r="707" spans="1:35" hidden="1" x14ac:dyDescent="0.25">
      <c r="A707">
        <v>2022</v>
      </c>
      <c r="B707" s="1">
        <v>44809</v>
      </c>
      <c r="C707">
        <v>25</v>
      </c>
      <c r="D707">
        <v>33050</v>
      </c>
      <c r="E707">
        <v>42968</v>
      </c>
      <c r="F707" t="s">
        <v>70</v>
      </c>
      <c r="G707" t="s">
        <v>62</v>
      </c>
      <c r="H707" t="s">
        <v>90</v>
      </c>
      <c r="I707" t="s">
        <v>40</v>
      </c>
      <c r="J707">
        <v>17</v>
      </c>
      <c r="K707">
        <v>13</v>
      </c>
      <c r="L707">
        <v>11950000</v>
      </c>
      <c r="M707">
        <v>23500000</v>
      </c>
      <c r="N707" t="s">
        <v>137</v>
      </c>
      <c r="O707" t="s">
        <v>116</v>
      </c>
      <c r="P707">
        <v>1</v>
      </c>
      <c r="Q707">
        <v>1</v>
      </c>
      <c r="R707">
        <v>1</v>
      </c>
      <c r="S707">
        <v>0</v>
      </c>
      <c r="T707">
        <v>7</v>
      </c>
      <c r="U707">
        <v>5</v>
      </c>
      <c r="V707">
        <v>18</v>
      </c>
      <c r="W707">
        <v>9</v>
      </c>
      <c r="X707">
        <v>9</v>
      </c>
      <c r="Y707">
        <v>16</v>
      </c>
      <c r="Z707">
        <v>1</v>
      </c>
      <c r="AA707">
        <v>3</v>
      </c>
      <c r="AB707">
        <v>5</v>
      </c>
      <c r="AC707">
        <v>4</v>
      </c>
      <c r="AD707">
        <v>12</v>
      </c>
      <c r="AE707">
        <v>10</v>
      </c>
      <c r="AF707">
        <v>6</v>
      </c>
      <c r="AG707">
        <v>6</v>
      </c>
      <c r="AH707">
        <v>0</v>
      </c>
      <c r="AI707">
        <v>0</v>
      </c>
    </row>
    <row r="708" spans="1:35" hidden="1" x14ac:dyDescent="0.25">
      <c r="A708">
        <v>2022</v>
      </c>
      <c r="B708" s="1">
        <v>44833</v>
      </c>
      <c r="C708">
        <v>28</v>
      </c>
      <c r="D708">
        <v>3364</v>
      </c>
      <c r="E708">
        <v>42968</v>
      </c>
      <c r="F708" t="s">
        <v>70</v>
      </c>
      <c r="G708" t="s">
        <v>310</v>
      </c>
      <c r="H708" t="s">
        <v>90</v>
      </c>
      <c r="I708" t="s">
        <v>312</v>
      </c>
      <c r="J708">
        <v>18</v>
      </c>
      <c r="K708">
        <v>8</v>
      </c>
      <c r="L708">
        <v>9650000</v>
      </c>
      <c r="M708">
        <v>7450000</v>
      </c>
      <c r="N708" t="s">
        <v>137</v>
      </c>
      <c r="O708" t="s">
        <v>309</v>
      </c>
      <c r="P708">
        <v>2</v>
      </c>
      <c r="Q708">
        <v>1</v>
      </c>
      <c r="R708">
        <v>1</v>
      </c>
      <c r="S708">
        <v>0</v>
      </c>
      <c r="T708">
        <v>2</v>
      </c>
      <c r="U708">
        <v>4</v>
      </c>
      <c r="V708">
        <v>13</v>
      </c>
      <c r="W708">
        <v>14</v>
      </c>
      <c r="X708">
        <v>13</v>
      </c>
      <c r="Y708">
        <v>11</v>
      </c>
      <c r="Z708">
        <v>7</v>
      </c>
      <c r="AA708">
        <v>1</v>
      </c>
      <c r="AB708">
        <v>2</v>
      </c>
      <c r="AC708">
        <v>1</v>
      </c>
      <c r="AD708">
        <v>11</v>
      </c>
      <c r="AE708">
        <v>18</v>
      </c>
      <c r="AF708">
        <v>5</v>
      </c>
      <c r="AG708">
        <v>8</v>
      </c>
      <c r="AH708">
        <v>1</v>
      </c>
      <c r="AI708">
        <v>1</v>
      </c>
    </row>
    <row r="709" spans="1:35" hidden="1" x14ac:dyDescent="0.25">
      <c r="A709">
        <v>2022</v>
      </c>
      <c r="B709" s="1">
        <v>44843</v>
      </c>
      <c r="C709">
        <v>31</v>
      </c>
      <c r="D709">
        <v>40059</v>
      </c>
      <c r="E709">
        <v>42968</v>
      </c>
      <c r="F709" t="s">
        <v>70</v>
      </c>
      <c r="G709" t="s">
        <v>77</v>
      </c>
      <c r="H709" t="s">
        <v>90</v>
      </c>
      <c r="I709" t="s">
        <v>346</v>
      </c>
      <c r="J709">
        <v>17</v>
      </c>
      <c r="K709">
        <v>5</v>
      </c>
      <c r="L709">
        <v>8150000</v>
      </c>
      <c r="M709">
        <v>38550000</v>
      </c>
      <c r="N709" t="s">
        <v>137</v>
      </c>
      <c r="O709" t="s">
        <v>134</v>
      </c>
      <c r="P709">
        <v>1</v>
      </c>
      <c r="Q709">
        <v>2</v>
      </c>
      <c r="R709">
        <v>0</v>
      </c>
      <c r="S709">
        <v>0</v>
      </c>
      <c r="T709">
        <v>7</v>
      </c>
      <c r="U709">
        <v>6</v>
      </c>
      <c r="V709">
        <v>14</v>
      </c>
      <c r="W709">
        <v>11</v>
      </c>
      <c r="X709">
        <v>11</v>
      </c>
      <c r="Y709">
        <v>14</v>
      </c>
      <c r="Z709">
        <v>3</v>
      </c>
      <c r="AA709">
        <v>4</v>
      </c>
      <c r="AB709">
        <v>1</v>
      </c>
      <c r="AC709">
        <v>2</v>
      </c>
      <c r="AD709">
        <v>21</v>
      </c>
      <c r="AE709">
        <v>17</v>
      </c>
      <c r="AF709">
        <v>6</v>
      </c>
      <c r="AG709">
        <v>9</v>
      </c>
      <c r="AH709">
        <v>-1</v>
      </c>
      <c r="AI709">
        <v>0</v>
      </c>
    </row>
    <row r="710" spans="1:35" hidden="1" x14ac:dyDescent="0.25">
      <c r="A710">
        <v>2022</v>
      </c>
      <c r="B710" s="1">
        <v>44862</v>
      </c>
      <c r="C710">
        <v>34</v>
      </c>
      <c r="D710">
        <v>4680</v>
      </c>
      <c r="E710">
        <v>42968</v>
      </c>
      <c r="F710" t="s">
        <v>70</v>
      </c>
      <c r="G710" t="s">
        <v>365</v>
      </c>
      <c r="J710">
        <v>18</v>
      </c>
      <c r="K710">
        <v>19</v>
      </c>
      <c r="L710">
        <v>8850000</v>
      </c>
      <c r="M710">
        <v>8830000</v>
      </c>
      <c r="N710" t="s">
        <v>134</v>
      </c>
      <c r="O710" t="s">
        <v>309</v>
      </c>
      <c r="P710">
        <v>1</v>
      </c>
      <c r="Q710">
        <v>0</v>
      </c>
      <c r="R710">
        <v>0</v>
      </c>
      <c r="S710">
        <v>0</v>
      </c>
      <c r="T710">
        <v>10</v>
      </c>
      <c r="U710">
        <v>6</v>
      </c>
      <c r="V710">
        <v>15</v>
      </c>
      <c r="W710">
        <v>11</v>
      </c>
      <c r="X710">
        <v>10</v>
      </c>
      <c r="Y710">
        <v>14</v>
      </c>
      <c r="Z710">
        <v>8</v>
      </c>
      <c r="AA710">
        <v>2</v>
      </c>
      <c r="AB710">
        <v>0</v>
      </c>
      <c r="AC710">
        <v>1</v>
      </c>
      <c r="AD710">
        <v>11</v>
      </c>
      <c r="AE710">
        <v>13</v>
      </c>
      <c r="AF710">
        <v>5</v>
      </c>
      <c r="AG710">
        <v>5</v>
      </c>
      <c r="AH710">
        <v>1</v>
      </c>
      <c r="AI710">
        <v>1</v>
      </c>
    </row>
    <row r="711" spans="1:35" hidden="1" x14ac:dyDescent="0.25">
      <c r="A711">
        <v>2022</v>
      </c>
      <c r="B711" s="1">
        <v>44871</v>
      </c>
      <c r="C711">
        <v>36</v>
      </c>
      <c r="D711">
        <v>22448</v>
      </c>
      <c r="E711">
        <v>42968</v>
      </c>
      <c r="F711" t="s">
        <v>70</v>
      </c>
      <c r="G711" t="s">
        <v>95</v>
      </c>
      <c r="H711" t="s">
        <v>90</v>
      </c>
      <c r="I711" t="s">
        <v>97</v>
      </c>
      <c r="J711">
        <v>16</v>
      </c>
      <c r="K711">
        <v>1</v>
      </c>
      <c r="L711">
        <v>8150000</v>
      </c>
      <c r="M711">
        <v>82300000</v>
      </c>
      <c r="N711" t="s">
        <v>235</v>
      </c>
      <c r="O711">
        <v>27</v>
      </c>
      <c r="P711">
        <v>1</v>
      </c>
      <c r="Q711">
        <v>1</v>
      </c>
      <c r="R711">
        <v>1</v>
      </c>
      <c r="S711">
        <v>0</v>
      </c>
      <c r="T711">
        <v>4</v>
      </c>
      <c r="U711">
        <v>9</v>
      </c>
      <c r="V711">
        <v>13</v>
      </c>
      <c r="W711">
        <v>8</v>
      </c>
      <c r="X711">
        <v>6</v>
      </c>
      <c r="Y711">
        <v>13</v>
      </c>
      <c r="Z711">
        <v>11</v>
      </c>
      <c r="AA711">
        <v>3</v>
      </c>
      <c r="AB711">
        <v>2</v>
      </c>
      <c r="AC711">
        <v>3</v>
      </c>
      <c r="AD711">
        <v>12</v>
      </c>
      <c r="AE711">
        <v>28</v>
      </c>
      <c r="AF711">
        <v>5</v>
      </c>
      <c r="AG711">
        <v>8</v>
      </c>
      <c r="AH711">
        <v>0</v>
      </c>
      <c r="AI711">
        <v>0</v>
      </c>
    </row>
    <row r="712" spans="1:35" hidden="1" x14ac:dyDescent="0.25">
      <c r="A712">
        <v>2022</v>
      </c>
      <c r="B712" s="1">
        <v>44878</v>
      </c>
      <c r="C712">
        <v>38</v>
      </c>
      <c r="D712">
        <v>17392</v>
      </c>
      <c r="E712">
        <v>42968</v>
      </c>
      <c r="F712" t="s">
        <v>70</v>
      </c>
      <c r="G712" t="s">
        <v>321</v>
      </c>
      <c r="H712" t="s">
        <v>90</v>
      </c>
      <c r="I712" t="s">
        <v>340</v>
      </c>
      <c r="J712">
        <v>16</v>
      </c>
      <c r="K712">
        <v>15</v>
      </c>
      <c r="L712">
        <v>7950000</v>
      </c>
      <c r="M712">
        <v>9600000</v>
      </c>
      <c r="N712" t="s">
        <v>66</v>
      </c>
      <c r="O712" t="s">
        <v>168</v>
      </c>
      <c r="P712">
        <v>2</v>
      </c>
      <c r="Q712">
        <v>1</v>
      </c>
      <c r="R712">
        <v>2</v>
      </c>
      <c r="S712">
        <v>0</v>
      </c>
      <c r="T712">
        <v>8</v>
      </c>
      <c r="U712">
        <v>1</v>
      </c>
      <c r="V712">
        <v>9</v>
      </c>
      <c r="W712">
        <v>8</v>
      </c>
      <c r="X712">
        <v>8</v>
      </c>
      <c r="Y712">
        <v>9</v>
      </c>
      <c r="Z712">
        <v>1</v>
      </c>
      <c r="AA712">
        <v>6</v>
      </c>
      <c r="AB712">
        <v>2</v>
      </c>
      <c r="AC712">
        <v>2</v>
      </c>
      <c r="AD712">
        <v>17</v>
      </c>
      <c r="AE712">
        <v>4</v>
      </c>
      <c r="AF712">
        <v>7</v>
      </c>
      <c r="AG712">
        <v>1</v>
      </c>
      <c r="AH712">
        <v>1</v>
      </c>
      <c r="AI712">
        <v>1</v>
      </c>
    </row>
    <row r="713" spans="1:35" hidden="1" x14ac:dyDescent="0.25">
      <c r="A713">
        <v>2022</v>
      </c>
      <c r="B713" s="1">
        <v>44660</v>
      </c>
      <c r="C713">
        <v>1</v>
      </c>
      <c r="D713">
        <v>20787</v>
      </c>
      <c r="E713">
        <v>82238</v>
      </c>
      <c r="F713" t="s">
        <v>55</v>
      </c>
      <c r="G713" t="s">
        <v>326</v>
      </c>
      <c r="H713" t="s">
        <v>376</v>
      </c>
      <c r="I713" t="s">
        <v>344</v>
      </c>
      <c r="J713">
        <v>13</v>
      </c>
      <c r="K713">
        <v>12</v>
      </c>
      <c r="L713">
        <v>28050000</v>
      </c>
      <c r="M713">
        <v>29500000</v>
      </c>
      <c r="N713" t="s">
        <v>100</v>
      </c>
      <c r="O713">
        <v>26</v>
      </c>
      <c r="P713">
        <v>0</v>
      </c>
      <c r="Q713">
        <v>0</v>
      </c>
      <c r="R713">
        <v>0</v>
      </c>
      <c r="S713">
        <v>0</v>
      </c>
      <c r="T713">
        <v>8</v>
      </c>
      <c r="U713">
        <v>1</v>
      </c>
      <c r="V713">
        <v>14</v>
      </c>
      <c r="W713">
        <v>18</v>
      </c>
      <c r="X713">
        <v>18</v>
      </c>
      <c r="Y713">
        <v>14</v>
      </c>
      <c r="Z713">
        <v>1</v>
      </c>
      <c r="AA713">
        <v>6</v>
      </c>
      <c r="AB713">
        <v>0</v>
      </c>
      <c r="AC713">
        <v>4</v>
      </c>
      <c r="AD713">
        <v>26</v>
      </c>
      <c r="AE713">
        <v>3</v>
      </c>
      <c r="AF713">
        <v>11</v>
      </c>
      <c r="AG713">
        <v>2</v>
      </c>
      <c r="AH713">
        <v>0</v>
      </c>
      <c r="AI713">
        <v>0</v>
      </c>
    </row>
    <row r="714" spans="1:35" hidden="1" x14ac:dyDescent="0.25">
      <c r="A714">
        <v>2022</v>
      </c>
      <c r="B714" s="1">
        <v>44675</v>
      </c>
      <c r="C714">
        <v>3</v>
      </c>
      <c r="D714">
        <v>16176</v>
      </c>
      <c r="E714">
        <v>82238</v>
      </c>
      <c r="F714" t="s">
        <v>55</v>
      </c>
      <c r="G714" t="s">
        <v>37</v>
      </c>
      <c r="H714" t="s">
        <v>376</v>
      </c>
      <c r="I714" t="s">
        <v>377</v>
      </c>
      <c r="J714">
        <v>6</v>
      </c>
      <c r="K714">
        <v>13</v>
      </c>
      <c r="L714">
        <v>28250000</v>
      </c>
      <c r="M714">
        <v>37300000</v>
      </c>
      <c r="N714" t="s">
        <v>235</v>
      </c>
      <c r="O714">
        <v>29</v>
      </c>
      <c r="P714">
        <v>0</v>
      </c>
      <c r="Q714">
        <v>1</v>
      </c>
      <c r="R714">
        <v>0</v>
      </c>
      <c r="S714">
        <v>0</v>
      </c>
      <c r="T714">
        <v>5</v>
      </c>
      <c r="U714">
        <v>4</v>
      </c>
      <c r="V714">
        <v>15</v>
      </c>
      <c r="W714">
        <v>12</v>
      </c>
      <c r="X714">
        <v>12</v>
      </c>
      <c r="Y714">
        <v>14</v>
      </c>
      <c r="Z714">
        <v>4</v>
      </c>
      <c r="AA714">
        <v>2</v>
      </c>
      <c r="AB714">
        <v>4</v>
      </c>
      <c r="AC714">
        <v>2</v>
      </c>
      <c r="AD714">
        <v>12</v>
      </c>
      <c r="AE714">
        <v>12</v>
      </c>
      <c r="AF714">
        <v>4</v>
      </c>
      <c r="AG714">
        <v>4</v>
      </c>
      <c r="AH714">
        <v>-1</v>
      </c>
      <c r="AI714">
        <v>0</v>
      </c>
    </row>
    <row r="715" spans="1:35" hidden="1" x14ac:dyDescent="0.25">
      <c r="A715">
        <v>2022</v>
      </c>
      <c r="B715" s="1">
        <v>44696</v>
      </c>
      <c r="C715">
        <v>6</v>
      </c>
      <c r="D715">
        <v>4722</v>
      </c>
      <c r="E715">
        <v>18238</v>
      </c>
      <c r="F715" t="s">
        <v>55</v>
      </c>
      <c r="G715" t="s">
        <v>69</v>
      </c>
      <c r="H715" t="s">
        <v>57</v>
      </c>
      <c r="I715" t="s">
        <v>336</v>
      </c>
      <c r="J715">
        <v>16</v>
      </c>
      <c r="K715">
        <v>13</v>
      </c>
      <c r="L715">
        <v>36600000</v>
      </c>
      <c r="M715">
        <v>29050000</v>
      </c>
      <c r="N715" t="s">
        <v>129</v>
      </c>
      <c r="O715" t="s">
        <v>278</v>
      </c>
      <c r="P715">
        <v>2</v>
      </c>
      <c r="Q715">
        <v>1</v>
      </c>
      <c r="R715">
        <v>1</v>
      </c>
      <c r="S715">
        <v>0</v>
      </c>
      <c r="T715">
        <v>4</v>
      </c>
      <c r="U715">
        <v>5</v>
      </c>
      <c r="V715">
        <v>12</v>
      </c>
      <c r="W715">
        <v>12</v>
      </c>
      <c r="X715">
        <v>11</v>
      </c>
      <c r="Y715">
        <v>12</v>
      </c>
      <c r="Z715">
        <v>2</v>
      </c>
      <c r="AA715">
        <v>4</v>
      </c>
      <c r="AB715">
        <v>1</v>
      </c>
      <c r="AC715">
        <v>1</v>
      </c>
      <c r="AD715">
        <v>11</v>
      </c>
      <c r="AE715">
        <v>12</v>
      </c>
      <c r="AF715">
        <v>3</v>
      </c>
      <c r="AG715">
        <v>3</v>
      </c>
      <c r="AH715">
        <v>1</v>
      </c>
      <c r="AI715">
        <v>1</v>
      </c>
    </row>
    <row r="716" spans="1:35" hidden="1" x14ac:dyDescent="0.25">
      <c r="A716">
        <v>2022</v>
      </c>
      <c r="B716" s="1">
        <v>44731</v>
      </c>
      <c r="C716">
        <v>13</v>
      </c>
      <c r="D716">
        <v>15530</v>
      </c>
      <c r="E716">
        <v>82238</v>
      </c>
      <c r="F716" t="s">
        <v>55</v>
      </c>
      <c r="G716" t="s">
        <v>365</v>
      </c>
      <c r="H716" t="s">
        <v>57</v>
      </c>
      <c r="I716" t="s">
        <v>367</v>
      </c>
      <c r="J716">
        <v>11</v>
      </c>
      <c r="K716">
        <v>7</v>
      </c>
      <c r="L716">
        <v>33850000</v>
      </c>
      <c r="M716">
        <v>7380000</v>
      </c>
      <c r="N716" t="s">
        <v>134</v>
      </c>
      <c r="O716" t="s">
        <v>105</v>
      </c>
      <c r="P716">
        <v>2</v>
      </c>
      <c r="Q716">
        <v>0</v>
      </c>
      <c r="R716">
        <v>1</v>
      </c>
      <c r="S716">
        <v>0</v>
      </c>
      <c r="T716">
        <v>6</v>
      </c>
      <c r="U716">
        <v>3</v>
      </c>
      <c r="V716">
        <v>8</v>
      </c>
      <c r="W716">
        <v>15</v>
      </c>
      <c r="X716">
        <v>15</v>
      </c>
      <c r="Y716">
        <v>7</v>
      </c>
      <c r="Z716">
        <v>4</v>
      </c>
      <c r="AA716">
        <v>1</v>
      </c>
      <c r="AB716">
        <v>1</v>
      </c>
      <c r="AC716">
        <v>4</v>
      </c>
      <c r="AD716">
        <v>19</v>
      </c>
      <c r="AE716">
        <v>9</v>
      </c>
      <c r="AF716">
        <v>11</v>
      </c>
      <c r="AG716">
        <v>4</v>
      </c>
      <c r="AH716">
        <v>2</v>
      </c>
      <c r="AI716">
        <v>1</v>
      </c>
    </row>
    <row r="717" spans="1:35" hidden="1" x14ac:dyDescent="0.25">
      <c r="A717">
        <v>2022</v>
      </c>
      <c r="B717" s="1">
        <v>44745</v>
      </c>
      <c r="C717">
        <v>15</v>
      </c>
      <c r="D717">
        <v>44782</v>
      </c>
      <c r="E717">
        <v>82238</v>
      </c>
      <c r="F717" t="s">
        <v>55</v>
      </c>
      <c r="G717" t="s">
        <v>88</v>
      </c>
      <c r="H717" t="s">
        <v>57</v>
      </c>
      <c r="I717" t="s">
        <v>359</v>
      </c>
      <c r="J717">
        <v>6</v>
      </c>
      <c r="K717">
        <v>2</v>
      </c>
      <c r="L717">
        <v>27550000</v>
      </c>
      <c r="M717">
        <v>19500000</v>
      </c>
      <c r="N717">
        <v>28</v>
      </c>
      <c r="O717" t="s">
        <v>176</v>
      </c>
      <c r="P717">
        <v>4</v>
      </c>
      <c r="Q717">
        <v>0</v>
      </c>
      <c r="R717">
        <v>2</v>
      </c>
      <c r="S717">
        <v>0</v>
      </c>
      <c r="T717">
        <v>6</v>
      </c>
      <c r="U717">
        <v>4</v>
      </c>
      <c r="V717">
        <v>11</v>
      </c>
      <c r="W717">
        <v>12</v>
      </c>
      <c r="X717">
        <v>12</v>
      </c>
      <c r="Y717">
        <v>8</v>
      </c>
      <c r="Z717">
        <v>2</v>
      </c>
      <c r="AA717">
        <v>2</v>
      </c>
      <c r="AB717">
        <v>4</v>
      </c>
      <c r="AC717">
        <v>0</v>
      </c>
      <c r="AD717">
        <v>15</v>
      </c>
      <c r="AE717">
        <v>3</v>
      </c>
      <c r="AF717">
        <v>4</v>
      </c>
      <c r="AG717">
        <v>1</v>
      </c>
      <c r="AH717">
        <v>4</v>
      </c>
      <c r="AI717">
        <v>1</v>
      </c>
    </row>
    <row r="718" spans="1:35" hidden="1" x14ac:dyDescent="0.25">
      <c r="A718">
        <v>2022</v>
      </c>
      <c r="B718" s="1">
        <v>44752</v>
      </c>
      <c r="C718">
        <v>16</v>
      </c>
      <c r="D718">
        <v>63707</v>
      </c>
      <c r="E718">
        <v>65398</v>
      </c>
      <c r="F718" t="s">
        <v>55</v>
      </c>
      <c r="G718" t="s">
        <v>361</v>
      </c>
      <c r="H718" t="s">
        <v>57</v>
      </c>
      <c r="I718" t="s">
        <v>368</v>
      </c>
      <c r="J718">
        <v>6</v>
      </c>
      <c r="K718">
        <v>15</v>
      </c>
      <c r="L718">
        <v>26350000</v>
      </c>
      <c r="M718">
        <v>10250000</v>
      </c>
      <c r="N718" t="s">
        <v>137</v>
      </c>
      <c r="O718" t="s">
        <v>48</v>
      </c>
      <c r="P718">
        <v>2</v>
      </c>
      <c r="Q718">
        <v>1</v>
      </c>
      <c r="R718">
        <v>1</v>
      </c>
      <c r="S718">
        <v>0</v>
      </c>
      <c r="T718">
        <v>9</v>
      </c>
      <c r="U718">
        <v>10</v>
      </c>
      <c r="V718">
        <v>16</v>
      </c>
      <c r="W718">
        <v>17</v>
      </c>
      <c r="X718">
        <v>17</v>
      </c>
      <c r="Y718">
        <v>16</v>
      </c>
      <c r="Z718">
        <v>5</v>
      </c>
      <c r="AA718">
        <v>4</v>
      </c>
      <c r="AB718">
        <v>0</v>
      </c>
      <c r="AC718">
        <v>2</v>
      </c>
      <c r="AD718">
        <v>18</v>
      </c>
      <c r="AE718">
        <v>17</v>
      </c>
      <c r="AF718">
        <v>8</v>
      </c>
      <c r="AG718">
        <v>4</v>
      </c>
      <c r="AH718">
        <v>1</v>
      </c>
      <c r="AI718">
        <v>1</v>
      </c>
    </row>
    <row r="719" spans="1:35" hidden="1" x14ac:dyDescent="0.25">
      <c r="A719">
        <v>2022</v>
      </c>
      <c r="B719" s="1">
        <v>44766</v>
      </c>
      <c r="C719">
        <v>19</v>
      </c>
      <c r="D719">
        <v>9877</v>
      </c>
      <c r="E719">
        <v>17238</v>
      </c>
      <c r="F719" t="s">
        <v>55</v>
      </c>
      <c r="G719" t="s">
        <v>56</v>
      </c>
      <c r="H719" t="s">
        <v>57</v>
      </c>
      <c r="I719" t="s">
        <v>341</v>
      </c>
      <c r="J719">
        <v>4</v>
      </c>
      <c r="K719">
        <v>8</v>
      </c>
      <c r="L719">
        <v>24350000</v>
      </c>
      <c r="M719">
        <v>30750000</v>
      </c>
      <c r="N719" t="s">
        <v>105</v>
      </c>
      <c r="O719" t="s">
        <v>372</v>
      </c>
      <c r="P719">
        <v>2</v>
      </c>
      <c r="Q719">
        <v>1</v>
      </c>
      <c r="R719">
        <v>0</v>
      </c>
      <c r="S719">
        <v>0</v>
      </c>
      <c r="T719">
        <v>9</v>
      </c>
      <c r="U719">
        <v>5</v>
      </c>
      <c r="V719">
        <v>11</v>
      </c>
      <c r="W719">
        <v>20</v>
      </c>
      <c r="X719">
        <v>18</v>
      </c>
      <c r="Y719">
        <v>11</v>
      </c>
      <c r="Z719">
        <v>1</v>
      </c>
      <c r="AA719">
        <v>5</v>
      </c>
      <c r="AB719">
        <v>2</v>
      </c>
      <c r="AC719">
        <v>4</v>
      </c>
      <c r="AD719">
        <v>24</v>
      </c>
      <c r="AE719">
        <v>5</v>
      </c>
      <c r="AF719">
        <v>11</v>
      </c>
      <c r="AG719">
        <v>3</v>
      </c>
      <c r="AH719">
        <v>1</v>
      </c>
      <c r="AI719">
        <v>1</v>
      </c>
    </row>
    <row r="720" spans="1:35" hidden="1" x14ac:dyDescent="0.25">
      <c r="A720">
        <v>2022</v>
      </c>
      <c r="B720" s="1">
        <v>44780</v>
      </c>
      <c r="C720">
        <v>21</v>
      </c>
      <c r="D720">
        <v>46323</v>
      </c>
      <c r="E720">
        <v>82238</v>
      </c>
      <c r="F720" t="s">
        <v>55</v>
      </c>
      <c r="G720" t="s">
        <v>70</v>
      </c>
      <c r="H720" t="s">
        <v>57</v>
      </c>
      <c r="I720" t="s">
        <v>90</v>
      </c>
      <c r="J720">
        <v>3</v>
      </c>
      <c r="K720">
        <v>17</v>
      </c>
      <c r="L720">
        <v>19350000</v>
      </c>
      <c r="M720">
        <v>11700000</v>
      </c>
      <c r="N720" t="s">
        <v>109</v>
      </c>
      <c r="O720" t="s">
        <v>107</v>
      </c>
      <c r="P720">
        <v>1</v>
      </c>
      <c r="Q720">
        <v>0</v>
      </c>
      <c r="R720">
        <v>1</v>
      </c>
      <c r="S720">
        <v>0</v>
      </c>
      <c r="T720">
        <v>11</v>
      </c>
      <c r="U720">
        <v>6</v>
      </c>
      <c r="V720">
        <v>11</v>
      </c>
      <c r="W720">
        <v>14</v>
      </c>
      <c r="X720">
        <v>14</v>
      </c>
      <c r="Y720">
        <v>10</v>
      </c>
      <c r="Z720">
        <v>1</v>
      </c>
      <c r="AA720">
        <v>4</v>
      </c>
      <c r="AB720">
        <v>1</v>
      </c>
      <c r="AC720">
        <v>2</v>
      </c>
      <c r="AD720">
        <v>10</v>
      </c>
      <c r="AE720">
        <v>8</v>
      </c>
      <c r="AF720">
        <v>4</v>
      </c>
      <c r="AG720">
        <v>2</v>
      </c>
      <c r="AH720">
        <v>1</v>
      </c>
      <c r="AI720">
        <v>1</v>
      </c>
    </row>
    <row r="721" spans="1:35" hidden="1" x14ac:dyDescent="0.25">
      <c r="A721">
        <v>2022</v>
      </c>
      <c r="B721" s="1">
        <v>44794</v>
      </c>
      <c r="C721">
        <v>23</v>
      </c>
      <c r="D721">
        <v>24029</v>
      </c>
      <c r="E721">
        <v>82238</v>
      </c>
      <c r="F721" t="s">
        <v>55</v>
      </c>
      <c r="G721" t="s">
        <v>321</v>
      </c>
      <c r="H721" t="s">
        <v>57</v>
      </c>
      <c r="I721" t="s">
        <v>340</v>
      </c>
      <c r="J721">
        <v>4</v>
      </c>
      <c r="K721">
        <v>18</v>
      </c>
      <c r="L721">
        <v>34400000</v>
      </c>
      <c r="M721">
        <v>4900000</v>
      </c>
      <c r="N721" t="s">
        <v>135</v>
      </c>
      <c r="O721" t="s">
        <v>104</v>
      </c>
      <c r="P721">
        <v>5</v>
      </c>
      <c r="Q721">
        <v>2</v>
      </c>
      <c r="R721">
        <v>2</v>
      </c>
      <c r="S721">
        <v>0</v>
      </c>
      <c r="T721">
        <v>11</v>
      </c>
      <c r="U721">
        <v>3</v>
      </c>
      <c r="V721">
        <v>13</v>
      </c>
      <c r="W721">
        <v>13</v>
      </c>
      <c r="X721">
        <v>13</v>
      </c>
      <c r="Y721">
        <v>13</v>
      </c>
      <c r="Z721">
        <v>1</v>
      </c>
      <c r="AA721">
        <v>1</v>
      </c>
      <c r="AB721">
        <v>1</v>
      </c>
      <c r="AC721">
        <v>3</v>
      </c>
      <c r="AD721">
        <v>15</v>
      </c>
      <c r="AE721">
        <v>7</v>
      </c>
      <c r="AF721">
        <v>5</v>
      </c>
      <c r="AG721">
        <v>1</v>
      </c>
      <c r="AH721">
        <v>3</v>
      </c>
      <c r="AI721">
        <v>1</v>
      </c>
    </row>
    <row r="722" spans="1:35" hidden="1" x14ac:dyDescent="0.25">
      <c r="A722">
        <v>2022</v>
      </c>
      <c r="B722" s="1">
        <v>44815</v>
      </c>
      <c r="C722">
        <v>26</v>
      </c>
      <c r="D722">
        <v>26533</v>
      </c>
      <c r="E722">
        <v>82238</v>
      </c>
      <c r="F722" t="s">
        <v>55</v>
      </c>
      <c r="G722" t="s">
        <v>63</v>
      </c>
      <c r="H722" t="s">
        <v>57</v>
      </c>
      <c r="I722" t="s">
        <v>65</v>
      </c>
      <c r="J722">
        <v>5</v>
      </c>
      <c r="K722">
        <v>12</v>
      </c>
      <c r="L722">
        <v>33300000</v>
      </c>
      <c r="M722">
        <v>11850000</v>
      </c>
      <c r="N722" t="s">
        <v>123</v>
      </c>
      <c r="O722">
        <v>30</v>
      </c>
      <c r="P722">
        <v>2</v>
      </c>
      <c r="Q722">
        <v>1</v>
      </c>
      <c r="R722">
        <v>1</v>
      </c>
      <c r="S722">
        <v>0</v>
      </c>
      <c r="T722">
        <v>5</v>
      </c>
      <c r="U722">
        <v>6</v>
      </c>
      <c r="V722">
        <v>7</v>
      </c>
      <c r="W722">
        <v>19</v>
      </c>
      <c r="X722">
        <v>19</v>
      </c>
      <c r="Y722">
        <v>7</v>
      </c>
      <c r="Z722">
        <v>2</v>
      </c>
      <c r="AA722">
        <v>4</v>
      </c>
      <c r="AB722">
        <v>5</v>
      </c>
      <c r="AC722">
        <v>6</v>
      </c>
      <c r="AD722">
        <v>15</v>
      </c>
      <c r="AE722">
        <v>11</v>
      </c>
      <c r="AF722">
        <v>5</v>
      </c>
      <c r="AG722">
        <v>5</v>
      </c>
      <c r="AH722">
        <v>1</v>
      </c>
      <c r="AI722">
        <v>1</v>
      </c>
    </row>
    <row r="723" spans="1:35" hidden="1" x14ac:dyDescent="0.25">
      <c r="A723">
        <v>2022</v>
      </c>
      <c r="B723" s="1">
        <v>44833</v>
      </c>
      <c r="C723">
        <v>28</v>
      </c>
      <c r="D723">
        <v>23396</v>
      </c>
      <c r="E723">
        <v>82238</v>
      </c>
      <c r="F723" t="s">
        <v>55</v>
      </c>
      <c r="G723" t="s">
        <v>44</v>
      </c>
      <c r="H723" t="s">
        <v>57</v>
      </c>
      <c r="I723" t="s">
        <v>238</v>
      </c>
      <c r="J723">
        <v>3</v>
      </c>
      <c r="K723">
        <v>20</v>
      </c>
      <c r="L723">
        <v>32550000</v>
      </c>
      <c r="M723">
        <v>7300000</v>
      </c>
      <c r="N723" t="s">
        <v>235</v>
      </c>
      <c r="O723" t="s">
        <v>100</v>
      </c>
      <c r="P723">
        <v>4</v>
      </c>
      <c r="Q723">
        <v>0</v>
      </c>
      <c r="R723">
        <v>2</v>
      </c>
      <c r="S723">
        <v>0</v>
      </c>
      <c r="T723">
        <v>5</v>
      </c>
      <c r="U723">
        <v>5</v>
      </c>
      <c r="V723">
        <v>5</v>
      </c>
      <c r="W723">
        <v>9</v>
      </c>
      <c r="X723">
        <v>7</v>
      </c>
      <c r="Y723">
        <v>5</v>
      </c>
      <c r="Z723">
        <v>3</v>
      </c>
      <c r="AA723">
        <v>2</v>
      </c>
      <c r="AB723">
        <v>2</v>
      </c>
      <c r="AC723">
        <v>3</v>
      </c>
      <c r="AD723">
        <v>21</v>
      </c>
      <c r="AE723">
        <v>10</v>
      </c>
      <c r="AF723">
        <v>9</v>
      </c>
      <c r="AG723">
        <v>2</v>
      </c>
      <c r="AH723">
        <v>4</v>
      </c>
      <c r="AI723">
        <v>1</v>
      </c>
    </row>
    <row r="724" spans="1:35" hidden="1" x14ac:dyDescent="0.25">
      <c r="A724">
        <v>2022</v>
      </c>
      <c r="B724" s="1">
        <v>44874</v>
      </c>
      <c r="C724">
        <v>37</v>
      </c>
      <c r="D724">
        <v>35410</v>
      </c>
      <c r="E724">
        <v>82238</v>
      </c>
      <c r="F724" t="s">
        <v>55</v>
      </c>
      <c r="G724" t="s">
        <v>313</v>
      </c>
      <c r="H724" t="s">
        <v>57</v>
      </c>
      <c r="I724" t="s">
        <v>78</v>
      </c>
      <c r="J724">
        <v>3</v>
      </c>
      <c r="K724">
        <v>13</v>
      </c>
      <c r="L724">
        <v>28900000</v>
      </c>
      <c r="M724">
        <v>11830000</v>
      </c>
      <c r="N724" t="s">
        <v>100</v>
      </c>
      <c r="O724" t="s">
        <v>209</v>
      </c>
      <c r="P724">
        <v>3</v>
      </c>
      <c r="Q724">
        <v>0</v>
      </c>
      <c r="R724">
        <v>0</v>
      </c>
      <c r="S724">
        <v>0</v>
      </c>
      <c r="T724">
        <v>11</v>
      </c>
      <c r="U724">
        <v>3</v>
      </c>
      <c r="V724">
        <v>10</v>
      </c>
      <c r="W724">
        <v>11</v>
      </c>
      <c r="X724">
        <v>9</v>
      </c>
      <c r="Y724">
        <v>10</v>
      </c>
      <c r="Z724">
        <v>1</v>
      </c>
      <c r="AA724">
        <v>6</v>
      </c>
      <c r="AB724">
        <v>6</v>
      </c>
      <c r="AC724">
        <v>3</v>
      </c>
      <c r="AD724">
        <v>23</v>
      </c>
      <c r="AE724">
        <v>9</v>
      </c>
      <c r="AF724">
        <v>6</v>
      </c>
      <c r="AG724">
        <v>6</v>
      </c>
      <c r="AH724">
        <v>3</v>
      </c>
      <c r="AI724">
        <v>1</v>
      </c>
    </row>
    <row r="725" spans="1:35" hidden="1" x14ac:dyDescent="0.25">
      <c r="A725">
        <v>2022</v>
      </c>
      <c r="B725" s="1">
        <v>44662</v>
      </c>
      <c r="C725">
        <v>1</v>
      </c>
      <c r="D725">
        <v>20606</v>
      </c>
      <c r="E725">
        <v>72039</v>
      </c>
      <c r="F725" t="s">
        <v>62</v>
      </c>
      <c r="G725" t="s">
        <v>69</v>
      </c>
      <c r="H725" t="s">
        <v>40</v>
      </c>
      <c r="I725" t="s">
        <v>378</v>
      </c>
      <c r="J725">
        <v>1</v>
      </c>
      <c r="K725">
        <v>20</v>
      </c>
      <c r="L725">
        <v>31300000</v>
      </c>
      <c r="M725">
        <v>34700000</v>
      </c>
      <c r="N725" t="s">
        <v>114</v>
      </c>
      <c r="O725" t="s">
        <v>220</v>
      </c>
      <c r="P725">
        <v>4</v>
      </c>
      <c r="Q725">
        <v>0</v>
      </c>
      <c r="R725">
        <v>1</v>
      </c>
      <c r="S725">
        <v>0</v>
      </c>
      <c r="T725">
        <v>5</v>
      </c>
      <c r="U725">
        <v>5</v>
      </c>
      <c r="V725">
        <v>17</v>
      </c>
      <c r="W725">
        <v>14</v>
      </c>
      <c r="X725">
        <v>14</v>
      </c>
      <c r="Y725">
        <v>17</v>
      </c>
      <c r="Z725">
        <v>0</v>
      </c>
      <c r="AA725">
        <v>4</v>
      </c>
      <c r="AB725">
        <v>2</v>
      </c>
      <c r="AC725">
        <v>2</v>
      </c>
      <c r="AD725">
        <v>18</v>
      </c>
      <c r="AE725">
        <v>7</v>
      </c>
      <c r="AF725">
        <v>7</v>
      </c>
      <c r="AG725">
        <v>5</v>
      </c>
      <c r="AH725">
        <v>4</v>
      </c>
      <c r="AI725">
        <v>1</v>
      </c>
    </row>
    <row r="726" spans="1:35" hidden="1" x14ac:dyDescent="0.25">
      <c r="A726">
        <v>2022</v>
      </c>
      <c r="B726" s="1">
        <v>44724</v>
      </c>
      <c r="C726">
        <v>11</v>
      </c>
      <c r="D726">
        <v>26847</v>
      </c>
      <c r="E726">
        <v>72039</v>
      </c>
      <c r="F726" t="s">
        <v>62</v>
      </c>
      <c r="G726" t="s">
        <v>310</v>
      </c>
      <c r="H726" t="s">
        <v>40</v>
      </c>
      <c r="I726" t="s">
        <v>312</v>
      </c>
      <c r="J726">
        <v>6</v>
      </c>
      <c r="K726">
        <v>9</v>
      </c>
      <c r="L726">
        <v>32400000</v>
      </c>
      <c r="M726">
        <v>9350000</v>
      </c>
      <c r="N726" t="s">
        <v>168</v>
      </c>
      <c r="O726" t="s">
        <v>357</v>
      </c>
      <c r="P726">
        <v>1</v>
      </c>
      <c r="Q726">
        <v>0</v>
      </c>
      <c r="R726">
        <v>1</v>
      </c>
      <c r="S726">
        <v>0</v>
      </c>
      <c r="T726">
        <v>2</v>
      </c>
      <c r="U726">
        <v>4</v>
      </c>
      <c r="V726">
        <v>14</v>
      </c>
      <c r="W726">
        <v>16</v>
      </c>
      <c r="X726">
        <v>15</v>
      </c>
      <c r="Y726">
        <v>14</v>
      </c>
      <c r="Z726">
        <v>5</v>
      </c>
      <c r="AA726">
        <v>1</v>
      </c>
      <c r="AB726">
        <v>2</v>
      </c>
      <c r="AC726">
        <v>0</v>
      </c>
      <c r="AD726">
        <v>15</v>
      </c>
      <c r="AE726">
        <v>11</v>
      </c>
      <c r="AF726">
        <v>8</v>
      </c>
      <c r="AG726">
        <v>5</v>
      </c>
      <c r="AH726">
        <v>1</v>
      </c>
      <c r="AI726">
        <v>1</v>
      </c>
    </row>
    <row r="727" spans="1:35" hidden="1" x14ac:dyDescent="0.25">
      <c r="A727">
        <v>2022</v>
      </c>
      <c r="B727" s="1">
        <v>44731</v>
      </c>
      <c r="C727">
        <v>13</v>
      </c>
      <c r="D727">
        <v>31055</v>
      </c>
      <c r="E727">
        <v>72039</v>
      </c>
      <c r="F727" t="s">
        <v>62</v>
      </c>
      <c r="G727" t="s">
        <v>95</v>
      </c>
      <c r="H727" t="s">
        <v>40</v>
      </c>
      <c r="I727" t="s">
        <v>97</v>
      </c>
      <c r="J727">
        <v>5</v>
      </c>
      <c r="K727">
        <v>1</v>
      </c>
      <c r="L727">
        <v>33800000</v>
      </c>
      <c r="M727">
        <v>96000000</v>
      </c>
      <c r="N727" t="s">
        <v>116</v>
      </c>
      <c r="O727" t="s">
        <v>149</v>
      </c>
      <c r="P727">
        <v>1</v>
      </c>
      <c r="Q727">
        <v>2</v>
      </c>
      <c r="R727">
        <v>1</v>
      </c>
      <c r="S727">
        <v>0</v>
      </c>
      <c r="T727">
        <v>3</v>
      </c>
      <c r="U727">
        <v>7</v>
      </c>
      <c r="V727">
        <v>17</v>
      </c>
      <c r="W727">
        <v>9</v>
      </c>
      <c r="X727">
        <v>9</v>
      </c>
      <c r="Y727">
        <v>16</v>
      </c>
      <c r="Z727">
        <v>4</v>
      </c>
      <c r="AA727">
        <v>2</v>
      </c>
      <c r="AB727">
        <v>1</v>
      </c>
      <c r="AC727">
        <v>2</v>
      </c>
      <c r="AD727">
        <v>12</v>
      </c>
      <c r="AE727">
        <v>23</v>
      </c>
      <c r="AF727">
        <v>6</v>
      </c>
      <c r="AG727">
        <v>9</v>
      </c>
      <c r="AH727">
        <v>-1</v>
      </c>
      <c r="AI727">
        <v>0</v>
      </c>
    </row>
    <row r="728" spans="1:35" hidden="1" x14ac:dyDescent="0.25">
      <c r="A728">
        <v>2022</v>
      </c>
      <c r="B728" s="1">
        <v>44738</v>
      </c>
      <c r="C728">
        <v>14</v>
      </c>
      <c r="D728">
        <v>20466</v>
      </c>
      <c r="E728">
        <v>72039</v>
      </c>
      <c r="F728" t="s">
        <v>62</v>
      </c>
      <c r="G728" t="s">
        <v>44</v>
      </c>
      <c r="H728" t="s">
        <v>40</v>
      </c>
      <c r="I728" t="s">
        <v>238</v>
      </c>
      <c r="J728">
        <v>9</v>
      </c>
      <c r="K728">
        <v>20</v>
      </c>
      <c r="L728">
        <v>30400000</v>
      </c>
      <c r="M728">
        <v>6600000</v>
      </c>
      <c r="N728">
        <v>29</v>
      </c>
      <c r="O728" t="s">
        <v>123</v>
      </c>
      <c r="P728">
        <v>0</v>
      </c>
      <c r="Q728">
        <v>0</v>
      </c>
      <c r="R728">
        <v>0</v>
      </c>
      <c r="S728">
        <v>0</v>
      </c>
      <c r="T728">
        <v>16</v>
      </c>
      <c r="U728">
        <v>1</v>
      </c>
      <c r="V728">
        <v>15</v>
      </c>
      <c r="W728">
        <v>7</v>
      </c>
      <c r="X728">
        <v>7</v>
      </c>
      <c r="Y728">
        <v>15</v>
      </c>
      <c r="Z728">
        <v>2</v>
      </c>
      <c r="AA728">
        <v>9</v>
      </c>
      <c r="AB728">
        <v>0</v>
      </c>
      <c r="AC728">
        <v>1</v>
      </c>
      <c r="AD728">
        <v>29</v>
      </c>
      <c r="AE728">
        <v>4</v>
      </c>
      <c r="AF728">
        <v>12</v>
      </c>
      <c r="AG728">
        <v>2</v>
      </c>
      <c r="AH728">
        <v>0</v>
      </c>
      <c r="AI728">
        <v>0</v>
      </c>
    </row>
    <row r="729" spans="1:35" hidden="1" x14ac:dyDescent="0.25">
      <c r="A729">
        <v>2022</v>
      </c>
      <c r="B729" s="1">
        <v>44787</v>
      </c>
      <c r="C729">
        <v>22</v>
      </c>
      <c r="D729">
        <v>31358</v>
      </c>
      <c r="E729">
        <v>72039</v>
      </c>
      <c r="F729" t="s">
        <v>62</v>
      </c>
      <c r="G729" t="s">
        <v>56</v>
      </c>
      <c r="H729" t="s">
        <v>40</v>
      </c>
      <c r="I729" t="s">
        <v>341</v>
      </c>
      <c r="J729">
        <v>11</v>
      </c>
      <c r="K729">
        <v>8</v>
      </c>
      <c r="L729">
        <v>28500000</v>
      </c>
      <c r="M729">
        <v>42350000</v>
      </c>
      <c r="N729" t="s">
        <v>100</v>
      </c>
      <c r="O729" t="s">
        <v>270</v>
      </c>
      <c r="P729">
        <v>3</v>
      </c>
      <c r="Q729">
        <v>0</v>
      </c>
      <c r="R729">
        <v>1</v>
      </c>
      <c r="S729">
        <v>0</v>
      </c>
      <c r="T729">
        <v>13</v>
      </c>
      <c r="U729">
        <v>4</v>
      </c>
      <c r="V729">
        <v>17</v>
      </c>
      <c r="W729">
        <v>10</v>
      </c>
      <c r="X729">
        <v>8</v>
      </c>
      <c r="Y729">
        <v>16</v>
      </c>
      <c r="Z729">
        <v>4</v>
      </c>
      <c r="AA729">
        <v>1</v>
      </c>
      <c r="AB729">
        <v>4</v>
      </c>
      <c r="AC729">
        <v>1</v>
      </c>
      <c r="AD729">
        <v>16</v>
      </c>
      <c r="AE729">
        <v>11</v>
      </c>
      <c r="AF729">
        <v>8</v>
      </c>
      <c r="AG729">
        <v>6</v>
      </c>
      <c r="AH729">
        <v>3</v>
      </c>
      <c r="AI729">
        <v>1</v>
      </c>
    </row>
    <row r="730" spans="1:35" hidden="1" x14ac:dyDescent="0.25">
      <c r="A730">
        <v>2022</v>
      </c>
      <c r="B730" s="1">
        <v>44830</v>
      </c>
      <c r="C730">
        <v>28</v>
      </c>
      <c r="D730">
        <v>36510</v>
      </c>
      <c r="E730">
        <v>72039</v>
      </c>
      <c r="F730" t="s">
        <v>62</v>
      </c>
      <c r="G730" t="s">
        <v>365</v>
      </c>
      <c r="H730" t="s">
        <v>40</v>
      </c>
      <c r="I730" t="s">
        <v>362</v>
      </c>
      <c r="J730">
        <v>13</v>
      </c>
      <c r="K730">
        <v>17</v>
      </c>
      <c r="L730">
        <v>32500000</v>
      </c>
      <c r="M730">
        <v>14050000</v>
      </c>
      <c r="N730" t="s">
        <v>134</v>
      </c>
      <c r="O730" t="s">
        <v>174</v>
      </c>
      <c r="P730">
        <v>4</v>
      </c>
      <c r="Q730">
        <v>0</v>
      </c>
      <c r="R730">
        <v>3</v>
      </c>
      <c r="S730">
        <v>0</v>
      </c>
      <c r="T730">
        <v>9</v>
      </c>
      <c r="U730">
        <v>4</v>
      </c>
      <c r="V730">
        <v>13</v>
      </c>
      <c r="W730">
        <v>8</v>
      </c>
      <c r="X730">
        <v>8</v>
      </c>
      <c r="Y730">
        <v>13</v>
      </c>
      <c r="Z730">
        <v>2</v>
      </c>
      <c r="AA730">
        <v>2</v>
      </c>
      <c r="AB730">
        <v>1</v>
      </c>
      <c r="AC730">
        <v>1</v>
      </c>
      <c r="AD730">
        <v>17</v>
      </c>
      <c r="AE730">
        <v>7</v>
      </c>
      <c r="AF730">
        <v>7</v>
      </c>
      <c r="AG730">
        <v>4</v>
      </c>
      <c r="AH730">
        <v>4</v>
      </c>
      <c r="AI730">
        <v>1</v>
      </c>
    </row>
    <row r="731" spans="1:35" hidden="1" x14ac:dyDescent="0.25">
      <c r="A731">
        <v>2022</v>
      </c>
      <c r="B731" s="1">
        <v>44855</v>
      </c>
      <c r="C731">
        <v>29</v>
      </c>
      <c r="D731">
        <v>14993</v>
      </c>
      <c r="E731">
        <v>72039</v>
      </c>
      <c r="F731" t="s">
        <v>62</v>
      </c>
      <c r="G731" t="s">
        <v>321</v>
      </c>
      <c r="H731" t="s">
        <v>40</v>
      </c>
      <c r="I731" t="s">
        <v>340</v>
      </c>
      <c r="J731">
        <v>12</v>
      </c>
      <c r="K731">
        <v>15</v>
      </c>
      <c r="L731">
        <v>31000000</v>
      </c>
      <c r="M731">
        <v>13200000</v>
      </c>
      <c r="N731" t="s">
        <v>120</v>
      </c>
      <c r="O731" t="s">
        <v>116</v>
      </c>
      <c r="P731">
        <v>3</v>
      </c>
      <c r="Q731">
        <v>1</v>
      </c>
      <c r="R731">
        <v>1</v>
      </c>
      <c r="S731">
        <v>0</v>
      </c>
      <c r="T731">
        <v>5</v>
      </c>
      <c r="U731">
        <v>3</v>
      </c>
      <c r="V731">
        <v>11</v>
      </c>
      <c r="W731">
        <v>12</v>
      </c>
      <c r="X731">
        <v>10</v>
      </c>
      <c r="Y731">
        <v>11</v>
      </c>
      <c r="Z731">
        <v>3</v>
      </c>
      <c r="AA731">
        <v>5</v>
      </c>
      <c r="AB731">
        <v>6</v>
      </c>
      <c r="AC731">
        <v>2</v>
      </c>
      <c r="AD731">
        <v>20</v>
      </c>
      <c r="AE731">
        <v>13</v>
      </c>
      <c r="AF731">
        <v>8</v>
      </c>
      <c r="AG731">
        <v>6</v>
      </c>
      <c r="AH731">
        <v>2</v>
      </c>
      <c r="AI731">
        <v>1</v>
      </c>
    </row>
    <row r="732" spans="1:35" hidden="1" x14ac:dyDescent="0.25">
      <c r="A732">
        <v>2022</v>
      </c>
      <c r="B732" s="1">
        <v>44843</v>
      </c>
      <c r="C732">
        <v>31</v>
      </c>
      <c r="D732">
        <v>23918</v>
      </c>
      <c r="E732">
        <v>72039</v>
      </c>
      <c r="F732" t="s">
        <v>62</v>
      </c>
      <c r="G732" t="s">
        <v>51</v>
      </c>
      <c r="H732" t="s">
        <v>40</v>
      </c>
      <c r="I732" t="s">
        <v>311</v>
      </c>
      <c r="J732">
        <v>8</v>
      </c>
      <c r="K732">
        <v>10</v>
      </c>
      <c r="L732">
        <v>31350000</v>
      </c>
      <c r="M732">
        <v>21600000</v>
      </c>
      <c r="N732">
        <v>29</v>
      </c>
      <c r="O732" t="s">
        <v>142</v>
      </c>
      <c r="P732">
        <v>0</v>
      </c>
      <c r="Q732">
        <v>1</v>
      </c>
      <c r="R732">
        <v>0</v>
      </c>
      <c r="S732">
        <v>0</v>
      </c>
      <c r="T732">
        <v>10</v>
      </c>
      <c r="U732">
        <v>4</v>
      </c>
      <c r="V732">
        <v>16</v>
      </c>
      <c r="W732">
        <v>8</v>
      </c>
      <c r="X732">
        <v>8</v>
      </c>
      <c r="Y732">
        <v>15</v>
      </c>
      <c r="Z732">
        <v>0</v>
      </c>
      <c r="AA732">
        <v>2</v>
      </c>
      <c r="AB732">
        <v>4</v>
      </c>
      <c r="AC732">
        <v>3</v>
      </c>
      <c r="AD732">
        <v>8</v>
      </c>
      <c r="AE732">
        <v>7</v>
      </c>
      <c r="AF732">
        <v>3</v>
      </c>
      <c r="AG732">
        <v>4</v>
      </c>
      <c r="AH732">
        <v>-1</v>
      </c>
      <c r="AI732">
        <v>0</v>
      </c>
    </row>
    <row r="733" spans="1:35" hidden="1" x14ac:dyDescent="0.25">
      <c r="A733">
        <v>2022</v>
      </c>
      <c r="B733" s="1">
        <v>44862</v>
      </c>
      <c r="C733">
        <v>34</v>
      </c>
      <c r="D733">
        <v>17598</v>
      </c>
      <c r="E733">
        <v>72039</v>
      </c>
      <c r="F733" t="s">
        <v>62</v>
      </c>
      <c r="G733" t="s">
        <v>76</v>
      </c>
      <c r="H733" t="s">
        <v>40</v>
      </c>
      <c r="I733" t="s">
        <v>375</v>
      </c>
      <c r="J733">
        <v>8</v>
      </c>
      <c r="K733">
        <v>17</v>
      </c>
      <c r="L733">
        <v>27300000</v>
      </c>
      <c r="M733">
        <v>6350000</v>
      </c>
      <c r="N733" t="s">
        <v>98</v>
      </c>
      <c r="O733" t="s">
        <v>120</v>
      </c>
      <c r="P733">
        <v>2</v>
      </c>
      <c r="Q733">
        <v>1</v>
      </c>
      <c r="R733">
        <v>1</v>
      </c>
      <c r="S733">
        <v>0</v>
      </c>
      <c r="T733">
        <v>4</v>
      </c>
      <c r="U733">
        <v>7</v>
      </c>
      <c r="V733">
        <v>10</v>
      </c>
      <c r="W733">
        <v>12</v>
      </c>
      <c r="X733">
        <v>12</v>
      </c>
      <c r="Y733">
        <v>9</v>
      </c>
      <c r="Z733">
        <v>7</v>
      </c>
      <c r="AA733">
        <v>0</v>
      </c>
      <c r="AB733">
        <v>2</v>
      </c>
      <c r="AC733">
        <v>0</v>
      </c>
      <c r="AD733">
        <v>13</v>
      </c>
      <c r="AE733">
        <v>19</v>
      </c>
      <c r="AF733">
        <v>6</v>
      </c>
      <c r="AG733">
        <v>9</v>
      </c>
      <c r="AH733">
        <v>1</v>
      </c>
      <c r="AI733">
        <v>1</v>
      </c>
    </row>
    <row r="734" spans="1:35" hidden="1" x14ac:dyDescent="0.25">
      <c r="A734">
        <v>2022</v>
      </c>
      <c r="B734" s="1">
        <v>44668</v>
      </c>
      <c r="C734">
        <v>2</v>
      </c>
      <c r="D734">
        <v>1559</v>
      </c>
      <c r="E734">
        <v>25000</v>
      </c>
      <c r="F734" t="s">
        <v>310</v>
      </c>
      <c r="G734" t="s">
        <v>44</v>
      </c>
      <c r="H734" t="s">
        <v>312</v>
      </c>
      <c r="I734" t="s">
        <v>369</v>
      </c>
      <c r="J734">
        <v>15</v>
      </c>
      <c r="K734">
        <v>8</v>
      </c>
      <c r="L734">
        <v>8650000</v>
      </c>
      <c r="M734">
        <v>8000000</v>
      </c>
      <c r="N734" t="s">
        <v>47</v>
      </c>
      <c r="O734" t="s">
        <v>74</v>
      </c>
      <c r="P734">
        <v>4</v>
      </c>
      <c r="Q734">
        <v>1</v>
      </c>
      <c r="R734">
        <v>2</v>
      </c>
      <c r="S734">
        <v>0</v>
      </c>
      <c r="T734">
        <v>5</v>
      </c>
      <c r="U734">
        <v>5</v>
      </c>
      <c r="V734">
        <v>19</v>
      </c>
      <c r="W734">
        <v>11</v>
      </c>
      <c r="X734">
        <v>11</v>
      </c>
      <c r="Y734">
        <v>18</v>
      </c>
      <c r="Z734">
        <v>3</v>
      </c>
      <c r="AA734">
        <v>5</v>
      </c>
      <c r="AB734">
        <v>2</v>
      </c>
      <c r="AC734">
        <v>2</v>
      </c>
      <c r="AD734">
        <v>22</v>
      </c>
      <c r="AE734">
        <v>13</v>
      </c>
      <c r="AF734">
        <v>9</v>
      </c>
      <c r="AG734">
        <v>3</v>
      </c>
      <c r="AH734">
        <v>3</v>
      </c>
      <c r="AI734">
        <v>1</v>
      </c>
    </row>
    <row r="735" spans="1:35" hidden="1" x14ac:dyDescent="0.25">
      <c r="A735">
        <v>2022</v>
      </c>
      <c r="B735" s="1">
        <v>44681</v>
      </c>
      <c r="C735">
        <v>4</v>
      </c>
      <c r="D735">
        <v>2433</v>
      </c>
      <c r="E735">
        <v>25000</v>
      </c>
      <c r="F735" t="s">
        <v>310</v>
      </c>
      <c r="G735" t="s">
        <v>69</v>
      </c>
      <c r="H735" t="s">
        <v>312</v>
      </c>
      <c r="I735" t="s">
        <v>379</v>
      </c>
      <c r="J735">
        <v>15</v>
      </c>
      <c r="K735">
        <v>16</v>
      </c>
      <c r="L735">
        <v>9450000</v>
      </c>
      <c r="M735">
        <v>21550000</v>
      </c>
      <c r="N735">
        <v>30</v>
      </c>
      <c r="O735">
        <v>24</v>
      </c>
      <c r="P735">
        <v>1</v>
      </c>
      <c r="Q735">
        <v>0</v>
      </c>
      <c r="R735">
        <v>0</v>
      </c>
      <c r="S735">
        <v>0</v>
      </c>
      <c r="T735">
        <v>6</v>
      </c>
      <c r="U735">
        <v>11</v>
      </c>
      <c r="V735">
        <v>19</v>
      </c>
      <c r="W735">
        <v>12</v>
      </c>
      <c r="X735">
        <v>12</v>
      </c>
      <c r="Y735">
        <v>18</v>
      </c>
      <c r="Z735">
        <v>5</v>
      </c>
      <c r="AA735">
        <v>2</v>
      </c>
      <c r="AB735">
        <v>4</v>
      </c>
      <c r="AC735">
        <v>3</v>
      </c>
      <c r="AD735">
        <v>7</v>
      </c>
      <c r="AE735">
        <v>13</v>
      </c>
      <c r="AF735">
        <v>4</v>
      </c>
      <c r="AG735">
        <v>5</v>
      </c>
      <c r="AH735">
        <v>1</v>
      </c>
      <c r="AI735">
        <v>1</v>
      </c>
    </row>
    <row r="736" spans="1:35" hidden="1" x14ac:dyDescent="0.25">
      <c r="A736">
        <v>2022</v>
      </c>
      <c r="B736" s="1">
        <v>44703</v>
      </c>
      <c r="C736">
        <v>7</v>
      </c>
      <c r="D736">
        <v>4236</v>
      </c>
      <c r="E736">
        <v>25000</v>
      </c>
      <c r="F736" t="s">
        <v>310</v>
      </c>
      <c r="G736" t="s">
        <v>51</v>
      </c>
      <c r="H736" t="s">
        <v>312</v>
      </c>
      <c r="I736" t="s">
        <v>311</v>
      </c>
      <c r="J736">
        <v>8</v>
      </c>
      <c r="K736">
        <v>4</v>
      </c>
      <c r="L736">
        <v>5800000</v>
      </c>
      <c r="M736">
        <v>30880000</v>
      </c>
      <c r="N736" t="s">
        <v>100</v>
      </c>
      <c r="O736">
        <v>28</v>
      </c>
      <c r="P736">
        <v>1</v>
      </c>
      <c r="Q736">
        <v>1</v>
      </c>
      <c r="R736">
        <v>1</v>
      </c>
      <c r="S736">
        <v>0</v>
      </c>
      <c r="T736">
        <v>3</v>
      </c>
      <c r="U736">
        <v>5</v>
      </c>
      <c r="V736">
        <v>19</v>
      </c>
      <c r="W736">
        <v>9</v>
      </c>
      <c r="X736">
        <v>8</v>
      </c>
      <c r="Y736">
        <v>15</v>
      </c>
      <c r="Z736">
        <v>4</v>
      </c>
      <c r="AA736">
        <v>3</v>
      </c>
      <c r="AB736">
        <v>3</v>
      </c>
      <c r="AC736">
        <v>1</v>
      </c>
      <c r="AD736">
        <v>12</v>
      </c>
      <c r="AE736">
        <v>8</v>
      </c>
      <c r="AF736">
        <v>5</v>
      </c>
      <c r="AG736">
        <v>2</v>
      </c>
      <c r="AH736">
        <v>0</v>
      </c>
      <c r="AI736">
        <v>0</v>
      </c>
    </row>
    <row r="737" spans="1:35" hidden="1" x14ac:dyDescent="0.25">
      <c r="A737">
        <v>2022</v>
      </c>
      <c r="B737" s="1">
        <v>44728</v>
      </c>
      <c r="C737">
        <v>12</v>
      </c>
      <c r="D737">
        <v>2599</v>
      </c>
      <c r="E737">
        <v>25000</v>
      </c>
      <c r="F737" t="s">
        <v>310</v>
      </c>
      <c r="G737" t="s">
        <v>55</v>
      </c>
      <c r="H737" t="s">
        <v>312</v>
      </c>
      <c r="I737" t="s">
        <v>57</v>
      </c>
      <c r="J737">
        <v>9</v>
      </c>
      <c r="K737">
        <v>8</v>
      </c>
      <c r="L737">
        <v>9000000</v>
      </c>
      <c r="M737">
        <v>32850000</v>
      </c>
      <c r="N737" t="s">
        <v>59</v>
      </c>
      <c r="O737" t="s">
        <v>74</v>
      </c>
      <c r="P737">
        <v>0</v>
      </c>
      <c r="Q737">
        <v>0</v>
      </c>
      <c r="R737">
        <v>0</v>
      </c>
      <c r="S737">
        <v>0</v>
      </c>
      <c r="T737">
        <v>3</v>
      </c>
      <c r="U737">
        <v>8</v>
      </c>
      <c r="V737">
        <v>12</v>
      </c>
      <c r="W737">
        <v>9</v>
      </c>
      <c r="X737">
        <v>9</v>
      </c>
      <c r="Y737">
        <v>11</v>
      </c>
      <c r="Z737">
        <v>3</v>
      </c>
      <c r="AA737">
        <v>3</v>
      </c>
      <c r="AB737">
        <v>0</v>
      </c>
      <c r="AC737">
        <v>1</v>
      </c>
      <c r="AD737">
        <v>9</v>
      </c>
      <c r="AE737">
        <v>20</v>
      </c>
      <c r="AF737">
        <v>3</v>
      </c>
      <c r="AG737">
        <v>10</v>
      </c>
      <c r="AH737">
        <v>0</v>
      </c>
      <c r="AI737">
        <v>0</v>
      </c>
    </row>
    <row r="738" spans="1:35" hidden="1" x14ac:dyDescent="0.25">
      <c r="A738">
        <v>2022</v>
      </c>
      <c r="B738" s="1">
        <v>44745</v>
      </c>
      <c r="C738">
        <v>15</v>
      </c>
      <c r="D738">
        <v>2339</v>
      </c>
      <c r="E738">
        <v>25000</v>
      </c>
      <c r="F738" t="s">
        <v>310</v>
      </c>
      <c r="G738" t="s">
        <v>313</v>
      </c>
      <c r="H738" t="s">
        <v>312</v>
      </c>
      <c r="I738" t="s">
        <v>78</v>
      </c>
      <c r="J738">
        <v>17</v>
      </c>
      <c r="K738">
        <v>14</v>
      </c>
      <c r="L738">
        <v>8300000</v>
      </c>
      <c r="M738">
        <v>8750000</v>
      </c>
      <c r="N738" t="s">
        <v>296</v>
      </c>
      <c r="O738" t="s">
        <v>116</v>
      </c>
      <c r="P738">
        <v>1</v>
      </c>
      <c r="Q738">
        <v>0</v>
      </c>
      <c r="R738">
        <v>0</v>
      </c>
      <c r="S738">
        <v>0</v>
      </c>
      <c r="T738">
        <v>11</v>
      </c>
      <c r="U738">
        <v>3</v>
      </c>
      <c r="V738">
        <v>14</v>
      </c>
      <c r="W738">
        <v>8</v>
      </c>
      <c r="X738">
        <v>7</v>
      </c>
      <c r="Y738">
        <v>14</v>
      </c>
      <c r="Z738">
        <v>3</v>
      </c>
      <c r="AA738">
        <v>4</v>
      </c>
      <c r="AB738">
        <v>2</v>
      </c>
      <c r="AC738">
        <v>2</v>
      </c>
      <c r="AD738">
        <v>21</v>
      </c>
      <c r="AE738">
        <v>21</v>
      </c>
      <c r="AF738">
        <v>7</v>
      </c>
      <c r="AG738">
        <v>10</v>
      </c>
      <c r="AH738">
        <v>1</v>
      </c>
      <c r="AI738">
        <v>1</v>
      </c>
    </row>
    <row r="739" spans="1:35" hidden="1" x14ac:dyDescent="0.25">
      <c r="A739">
        <v>2022</v>
      </c>
      <c r="B739" s="1">
        <v>44764</v>
      </c>
      <c r="C739">
        <v>18</v>
      </c>
      <c r="D739">
        <v>6462</v>
      </c>
      <c r="E739">
        <v>25000</v>
      </c>
      <c r="F739" t="s">
        <v>310</v>
      </c>
      <c r="G739" t="s">
        <v>95</v>
      </c>
      <c r="H739" t="s">
        <v>312</v>
      </c>
      <c r="I739" t="s">
        <v>97</v>
      </c>
      <c r="J739">
        <v>17</v>
      </c>
      <c r="K739">
        <v>1</v>
      </c>
      <c r="L739">
        <v>10900000</v>
      </c>
      <c r="M739">
        <v>78000000</v>
      </c>
      <c r="N739" t="s">
        <v>296</v>
      </c>
      <c r="O739" t="s">
        <v>73</v>
      </c>
      <c r="P739">
        <v>0</v>
      </c>
      <c r="Q739">
        <v>1</v>
      </c>
      <c r="R739">
        <v>0</v>
      </c>
      <c r="S739">
        <v>0</v>
      </c>
      <c r="T739">
        <v>7</v>
      </c>
      <c r="U739">
        <v>7</v>
      </c>
      <c r="V739">
        <v>16</v>
      </c>
      <c r="W739">
        <v>6</v>
      </c>
      <c r="X739">
        <v>6</v>
      </c>
      <c r="Y739">
        <v>16</v>
      </c>
      <c r="Z739">
        <v>4</v>
      </c>
      <c r="AA739">
        <v>3</v>
      </c>
      <c r="AB739">
        <v>1</v>
      </c>
      <c r="AC739">
        <v>2</v>
      </c>
      <c r="AD739">
        <v>15</v>
      </c>
      <c r="AE739">
        <v>17</v>
      </c>
      <c r="AF739">
        <v>8</v>
      </c>
      <c r="AG739">
        <v>9</v>
      </c>
      <c r="AH739">
        <v>-1</v>
      </c>
      <c r="AI739">
        <v>0</v>
      </c>
    </row>
    <row r="740" spans="1:35" hidden="1" x14ac:dyDescent="0.25">
      <c r="A740">
        <v>2022</v>
      </c>
      <c r="B740" s="1">
        <v>44787</v>
      </c>
      <c r="C740">
        <v>22</v>
      </c>
      <c r="D740">
        <v>2978</v>
      </c>
      <c r="E740">
        <v>25000</v>
      </c>
      <c r="F740" t="s">
        <v>310</v>
      </c>
      <c r="G740" t="s">
        <v>326</v>
      </c>
      <c r="H740" t="s">
        <v>312</v>
      </c>
      <c r="I740" t="s">
        <v>362</v>
      </c>
      <c r="J740">
        <v>10</v>
      </c>
      <c r="K740">
        <v>9</v>
      </c>
      <c r="L740">
        <v>10150000</v>
      </c>
      <c r="M740">
        <v>27200000</v>
      </c>
      <c r="N740" t="s">
        <v>74</v>
      </c>
      <c r="O740" t="s">
        <v>117</v>
      </c>
      <c r="P740">
        <v>1</v>
      </c>
      <c r="Q740">
        <v>0</v>
      </c>
      <c r="R740">
        <v>1</v>
      </c>
      <c r="S740">
        <v>0</v>
      </c>
      <c r="T740">
        <v>6</v>
      </c>
      <c r="U740">
        <v>6</v>
      </c>
      <c r="V740">
        <v>16</v>
      </c>
      <c r="W740">
        <v>9</v>
      </c>
      <c r="X740">
        <v>9</v>
      </c>
      <c r="Y740">
        <v>15</v>
      </c>
      <c r="Z740">
        <v>2</v>
      </c>
      <c r="AA740">
        <v>4</v>
      </c>
      <c r="AB740">
        <v>1</v>
      </c>
      <c r="AC740">
        <v>1</v>
      </c>
      <c r="AD740">
        <v>16</v>
      </c>
      <c r="AE740">
        <v>11</v>
      </c>
      <c r="AF740">
        <v>8</v>
      </c>
      <c r="AG740">
        <v>5</v>
      </c>
      <c r="AH740">
        <v>1</v>
      </c>
      <c r="AI740">
        <v>1</v>
      </c>
    </row>
    <row r="741" spans="1:35" hidden="1" x14ac:dyDescent="0.25">
      <c r="A741">
        <v>2022</v>
      </c>
      <c r="B741" s="1">
        <v>44808</v>
      </c>
      <c r="C741">
        <v>25</v>
      </c>
      <c r="D741">
        <v>2840</v>
      </c>
      <c r="E741">
        <v>25000</v>
      </c>
      <c r="F741" t="s">
        <v>310</v>
      </c>
      <c r="G741" t="s">
        <v>321</v>
      </c>
      <c r="H741" t="s">
        <v>312</v>
      </c>
      <c r="I741" t="s">
        <v>340</v>
      </c>
      <c r="J741">
        <v>9</v>
      </c>
      <c r="K741">
        <v>16</v>
      </c>
      <c r="L741">
        <v>10550000</v>
      </c>
      <c r="M741">
        <v>9300000</v>
      </c>
      <c r="N741" t="s">
        <v>66</v>
      </c>
      <c r="O741" t="s">
        <v>114</v>
      </c>
      <c r="P741">
        <v>2</v>
      </c>
      <c r="Q741">
        <v>0</v>
      </c>
      <c r="R741">
        <v>1</v>
      </c>
      <c r="S741">
        <v>0</v>
      </c>
      <c r="T741">
        <v>4</v>
      </c>
      <c r="U741">
        <v>5</v>
      </c>
      <c r="V741">
        <v>19</v>
      </c>
      <c r="W741">
        <v>8</v>
      </c>
      <c r="X741">
        <v>8</v>
      </c>
      <c r="Y741">
        <v>18</v>
      </c>
      <c r="Z741">
        <v>2</v>
      </c>
      <c r="AA741">
        <v>8</v>
      </c>
      <c r="AB741">
        <v>0</v>
      </c>
      <c r="AC741">
        <v>4</v>
      </c>
      <c r="AD741">
        <v>25</v>
      </c>
      <c r="AE741">
        <v>11</v>
      </c>
      <c r="AF741">
        <v>7</v>
      </c>
      <c r="AG741">
        <v>5</v>
      </c>
      <c r="AH741">
        <v>2</v>
      </c>
      <c r="AI741">
        <v>1</v>
      </c>
    </row>
    <row r="742" spans="1:35" hidden="1" x14ac:dyDescent="0.25">
      <c r="A742">
        <v>2022</v>
      </c>
      <c r="B742" s="1">
        <v>44822</v>
      </c>
      <c r="C742">
        <v>27</v>
      </c>
      <c r="D742">
        <v>6416</v>
      </c>
      <c r="E742">
        <v>25000</v>
      </c>
      <c r="F742" t="s">
        <v>310</v>
      </c>
      <c r="G742" t="s">
        <v>88</v>
      </c>
      <c r="H742" t="s">
        <v>312</v>
      </c>
      <c r="I742" t="s">
        <v>359</v>
      </c>
      <c r="J742">
        <v>8</v>
      </c>
      <c r="K742">
        <v>5</v>
      </c>
      <c r="L742">
        <v>6350000</v>
      </c>
      <c r="M742">
        <v>35100000</v>
      </c>
      <c r="N742">
        <v>31</v>
      </c>
      <c r="O742" t="s">
        <v>202</v>
      </c>
      <c r="P742">
        <v>1</v>
      </c>
      <c r="Q742">
        <v>0</v>
      </c>
      <c r="R742">
        <v>0</v>
      </c>
      <c r="S742">
        <v>0</v>
      </c>
      <c r="T742">
        <v>4</v>
      </c>
      <c r="U742">
        <v>8</v>
      </c>
      <c r="V742">
        <v>14</v>
      </c>
      <c r="W742">
        <v>12</v>
      </c>
      <c r="X742">
        <v>12</v>
      </c>
      <c r="Y742">
        <v>13</v>
      </c>
      <c r="Z742">
        <v>3</v>
      </c>
      <c r="AA742">
        <v>6</v>
      </c>
      <c r="AB742">
        <v>2</v>
      </c>
      <c r="AC742">
        <v>1</v>
      </c>
      <c r="AD742">
        <v>16</v>
      </c>
      <c r="AE742">
        <v>11</v>
      </c>
      <c r="AF742">
        <v>5</v>
      </c>
      <c r="AG742">
        <v>4</v>
      </c>
      <c r="AH742">
        <v>1</v>
      </c>
      <c r="AI742">
        <v>1</v>
      </c>
    </row>
    <row r="743" spans="1:35" hidden="1" x14ac:dyDescent="0.25">
      <c r="A743">
        <v>2022</v>
      </c>
      <c r="B743" s="1">
        <v>44867</v>
      </c>
      <c r="C743">
        <v>35</v>
      </c>
      <c r="D743">
        <v>3474</v>
      </c>
      <c r="E743">
        <v>25000</v>
      </c>
      <c r="F743" t="s">
        <v>310</v>
      </c>
      <c r="G743" t="s">
        <v>37</v>
      </c>
      <c r="H743" t="s">
        <v>312</v>
      </c>
      <c r="I743" t="s">
        <v>240</v>
      </c>
      <c r="J743">
        <v>11</v>
      </c>
      <c r="K743">
        <v>2</v>
      </c>
      <c r="L743">
        <v>8750000</v>
      </c>
      <c r="M743">
        <v>35050000</v>
      </c>
      <c r="N743" t="s">
        <v>138</v>
      </c>
      <c r="O743" t="s">
        <v>128</v>
      </c>
      <c r="P743">
        <v>1</v>
      </c>
      <c r="Q743">
        <v>0</v>
      </c>
      <c r="R743">
        <v>0</v>
      </c>
      <c r="S743">
        <v>0</v>
      </c>
      <c r="T743">
        <v>6</v>
      </c>
      <c r="U743">
        <v>8</v>
      </c>
      <c r="V743">
        <v>7</v>
      </c>
      <c r="W743">
        <v>11</v>
      </c>
      <c r="X743">
        <v>11</v>
      </c>
      <c r="Y743">
        <v>7</v>
      </c>
      <c r="Z743">
        <v>3</v>
      </c>
      <c r="AA743">
        <v>4</v>
      </c>
      <c r="AB743">
        <v>1</v>
      </c>
      <c r="AC743">
        <v>2</v>
      </c>
      <c r="AD743">
        <v>17</v>
      </c>
      <c r="AE743">
        <v>13</v>
      </c>
      <c r="AF743">
        <v>6</v>
      </c>
      <c r="AG743">
        <v>6</v>
      </c>
      <c r="AH743">
        <v>1</v>
      </c>
      <c r="AI743">
        <v>1</v>
      </c>
    </row>
    <row r="744" spans="1:35" hidden="1" x14ac:dyDescent="0.25">
      <c r="A744">
        <v>2022</v>
      </c>
      <c r="B744" s="1">
        <v>44668</v>
      </c>
      <c r="C744">
        <v>2</v>
      </c>
      <c r="D744">
        <v>30335</v>
      </c>
      <c r="E744">
        <v>49205</v>
      </c>
      <c r="F744" t="s">
        <v>88</v>
      </c>
      <c r="G744" t="s">
        <v>365</v>
      </c>
      <c r="H744" t="s">
        <v>359</v>
      </c>
      <c r="I744" t="s">
        <v>367</v>
      </c>
      <c r="J744">
        <v>3</v>
      </c>
      <c r="K744">
        <v>6</v>
      </c>
      <c r="L744">
        <v>44600000</v>
      </c>
      <c r="M744">
        <v>4280000</v>
      </c>
      <c r="N744" t="s">
        <v>151</v>
      </c>
      <c r="O744" t="s">
        <v>208</v>
      </c>
      <c r="P744">
        <v>3</v>
      </c>
      <c r="Q744">
        <v>0</v>
      </c>
      <c r="R744">
        <v>2</v>
      </c>
      <c r="S744">
        <v>0</v>
      </c>
      <c r="T744">
        <v>7</v>
      </c>
      <c r="U744">
        <v>2</v>
      </c>
      <c r="V744">
        <v>22</v>
      </c>
      <c r="W744">
        <v>12</v>
      </c>
      <c r="X744">
        <v>11</v>
      </c>
      <c r="Y744">
        <v>22</v>
      </c>
      <c r="Z744">
        <v>5</v>
      </c>
      <c r="AA744">
        <v>1</v>
      </c>
      <c r="AB744">
        <v>1</v>
      </c>
      <c r="AC744">
        <v>5</v>
      </c>
      <c r="AD744">
        <v>14</v>
      </c>
      <c r="AE744">
        <v>15</v>
      </c>
      <c r="AF744">
        <v>6</v>
      </c>
      <c r="AG744">
        <v>7</v>
      </c>
      <c r="AH744">
        <v>3</v>
      </c>
      <c r="AI744">
        <v>1</v>
      </c>
    </row>
    <row r="745" spans="1:35" hidden="1" x14ac:dyDescent="0.25">
      <c r="A745">
        <v>2022</v>
      </c>
      <c r="B745" s="1">
        <v>44682</v>
      </c>
      <c r="C745">
        <v>4</v>
      </c>
      <c r="D745">
        <v>37018</v>
      </c>
      <c r="E745">
        <v>49205</v>
      </c>
      <c r="F745" t="s">
        <v>88</v>
      </c>
      <c r="G745" t="s">
        <v>63</v>
      </c>
      <c r="H745" t="s">
        <v>359</v>
      </c>
      <c r="I745" t="s">
        <v>65</v>
      </c>
      <c r="J745">
        <v>3</v>
      </c>
      <c r="K745">
        <v>20</v>
      </c>
      <c r="L745">
        <v>47600000</v>
      </c>
      <c r="M745">
        <v>12400000</v>
      </c>
      <c r="N745">
        <v>30</v>
      </c>
      <c r="O745" t="s">
        <v>117</v>
      </c>
      <c r="P745">
        <v>1</v>
      </c>
      <c r="Q745">
        <v>0</v>
      </c>
      <c r="R745">
        <v>0</v>
      </c>
      <c r="S745">
        <v>0</v>
      </c>
      <c r="T745">
        <v>9</v>
      </c>
      <c r="U745">
        <v>4</v>
      </c>
      <c r="V745">
        <v>14</v>
      </c>
      <c r="W745">
        <v>14</v>
      </c>
      <c r="X745">
        <v>14</v>
      </c>
      <c r="Y745">
        <v>13</v>
      </c>
      <c r="Z745">
        <v>5</v>
      </c>
      <c r="AA745">
        <v>3</v>
      </c>
      <c r="AB745">
        <v>1</v>
      </c>
      <c r="AC745">
        <v>4</v>
      </c>
      <c r="AD745">
        <v>6</v>
      </c>
      <c r="AE745">
        <v>15</v>
      </c>
      <c r="AF745">
        <v>2</v>
      </c>
      <c r="AG745">
        <v>5</v>
      </c>
      <c r="AH745">
        <v>1</v>
      </c>
      <c r="AI745">
        <v>1</v>
      </c>
    </row>
    <row r="746" spans="1:35" hidden="1" x14ac:dyDescent="0.25">
      <c r="A746">
        <v>2022</v>
      </c>
      <c r="B746" s="1">
        <v>44710</v>
      </c>
      <c r="C746">
        <v>8</v>
      </c>
      <c r="D746">
        <v>34922</v>
      </c>
      <c r="E746">
        <v>49205</v>
      </c>
      <c r="F746" t="s">
        <v>88</v>
      </c>
      <c r="G746" t="s">
        <v>310</v>
      </c>
      <c r="H746" t="s">
        <v>359</v>
      </c>
      <c r="I746" t="s">
        <v>312</v>
      </c>
      <c r="J746">
        <v>1</v>
      </c>
      <c r="K746">
        <v>9</v>
      </c>
      <c r="L746">
        <v>30950000</v>
      </c>
      <c r="M746">
        <v>5900000</v>
      </c>
      <c r="N746" t="s">
        <v>144</v>
      </c>
      <c r="O746" t="s">
        <v>144</v>
      </c>
      <c r="P746">
        <v>1</v>
      </c>
      <c r="Q746">
        <v>1</v>
      </c>
      <c r="R746">
        <v>0</v>
      </c>
      <c r="S746">
        <v>0</v>
      </c>
      <c r="T746">
        <v>6</v>
      </c>
      <c r="U746">
        <v>5</v>
      </c>
      <c r="V746">
        <v>13</v>
      </c>
      <c r="W746">
        <v>19</v>
      </c>
      <c r="X746">
        <v>19</v>
      </c>
      <c r="Y746">
        <v>13</v>
      </c>
      <c r="Z746">
        <v>4</v>
      </c>
      <c r="AA746">
        <v>3</v>
      </c>
      <c r="AB746">
        <v>0</v>
      </c>
      <c r="AC746">
        <v>1</v>
      </c>
      <c r="AD746">
        <v>7</v>
      </c>
      <c r="AE746">
        <v>13</v>
      </c>
      <c r="AF746">
        <v>1</v>
      </c>
      <c r="AG746">
        <v>3</v>
      </c>
      <c r="AH746">
        <v>0</v>
      </c>
      <c r="AI746">
        <v>0</v>
      </c>
    </row>
    <row r="747" spans="1:35" hidden="1" x14ac:dyDescent="0.25">
      <c r="A747">
        <v>2022</v>
      </c>
      <c r="B747" s="1">
        <v>44723</v>
      </c>
      <c r="C747">
        <v>11</v>
      </c>
      <c r="D747">
        <v>34617</v>
      </c>
      <c r="E747">
        <v>49205</v>
      </c>
      <c r="F747" t="s">
        <v>88</v>
      </c>
      <c r="G747" t="s">
        <v>44</v>
      </c>
      <c r="J747">
        <v>2</v>
      </c>
      <c r="K747">
        <v>19</v>
      </c>
      <c r="L747">
        <v>33950000</v>
      </c>
      <c r="M747">
        <v>6400000</v>
      </c>
      <c r="N747" t="s">
        <v>166</v>
      </c>
      <c r="O747" t="s">
        <v>66</v>
      </c>
      <c r="P747">
        <v>2</v>
      </c>
      <c r="Q747">
        <v>0</v>
      </c>
      <c r="R747">
        <v>1</v>
      </c>
      <c r="S747">
        <v>0</v>
      </c>
      <c r="T747">
        <v>4</v>
      </c>
      <c r="U747">
        <v>5</v>
      </c>
      <c r="V747">
        <v>15</v>
      </c>
      <c r="W747">
        <v>12</v>
      </c>
      <c r="X747">
        <v>12</v>
      </c>
      <c r="Y747">
        <v>14</v>
      </c>
      <c r="Z747">
        <v>2</v>
      </c>
      <c r="AA747">
        <v>1</v>
      </c>
      <c r="AB747">
        <v>3</v>
      </c>
      <c r="AC747">
        <v>4</v>
      </c>
      <c r="AD747">
        <v>13</v>
      </c>
      <c r="AE747">
        <v>8</v>
      </c>
      <c r="AF747">
        <v>7</v>
      </c>
      <c r="AG747">
        <v>3</v>
      </c>
      <c r="AH747">
        <v>2</v>
      </c>
      <c r="AI747">
        <v>1</v>
      </c>
    </row>
    <row r="748" spans="1:35" hidden="1" x14ac:dyDescent="0.25">
      <c r="A748">
        <v>2022</v>
      </c>
      <c r="B748" s="1">
        <v>44731</v>
      </c>
      <c r="C748">
        <v>13</v>
      </c>
      <c r="D748">
        <v>35900</v>
      </c>
      <c r="E748">
        <v>49205</v>
      </c>
      <c r="F748" t="s">
        <v>88</v>
      </c>
      <c r="G748" t="s">
        <v>313</v>
      </c>
      <c r="H748" t="s">
        <v>359</v>
      </c>
      <c r="I748" t="s">
        <v>78</v>
      </c>
      <c r="J748">
        <v>2</v>
      </c>
      <c r="K748">
        <v>16</v>
      </c>
      <c r="L748">
        <v>29950000</v>
      </c>
      <c r="M748">
        <v>6750000</v>
      </c>
      <c r="N748" t="s">
        <v>66</v>
      </c>
      <c r="O748" t="s">
        <v>252</v>
      </c>
      <c r="P748">
        <v>1</v>
      </c>
      <c r="Q748">
        <v>0</v>
      </c>
      <c r="R748">
        <v>1</v>
      </c>
      <c r="S748">
        <v>0</v>
      </c>
      <c r="T748">
        <v>6</v>
      </c>
      <c r="U748">
        <v>4</v>
      </c>
      <c r="V748">
        <v>7</v>
      </c>
      <c r="W748">
        <v>13</v>
      </c>
      <c r="X748">
        <v>12</v>
      </c>
      <c r="Y748">
        <v>7</v>
      </c>
      <c r="Z748">
        <v>2</v>
      </c>
      <c r="AA748">
        <v>2</v>
      </c>
      <c r="AB748">
        <v>3</v>
      </c>
      <c r="AC748">
        <v>1</v>
      </c>
      <c r="AD748">
        <v>17</v>
      </c>
      <c r="AE748">
        <v>9</v>
      </c>
      <c r="AF748">
        <v>8</v>
      </c>
      <c r="AG748">
        <v>5</v>
      </c>
      <c r="AH748">
        <v>1</v>
      </c>
      <c r="AI748">
        <v>1</v>
      </c>
    </row>
    <row r="749" spans="1:35" hidden="1" x14ac:dyDescent="0.25">
      <c r="A749">
        <v>2022</v>
      </c>
      <c r="B749" s="1">
        <v>44738</v>
      </c>
      <c r="C749">
        <v>14</v>
      </c>
      <c r="D749">
        <v>40842</v>
      </c>
      <c r="E749">
        <v>49205</v>
      </c>
      <c r="F749" t="s">
        <v>88</v>
      </c>
      <c r="G749" t="s">
        <v>326</v>
      </c>
      <c r="J749">
        <v>2</v>
      </c>
      <c r="K749">
        <v>8</v>
      </c>
      <c r="L749">
        <v>18450000</v>
      </c>
      <c r="M749">
        <v>30400000</v>
      </c>
      <c r="N749" t="s">
        <v>270</v>
      </c>
      <c r="O749" t="s">
        <v>221</v>
      </c>
      <c r="P749">
        <v>0</v>
      </c>
      <c r="Q749">
        <v>0</v>
      </c>
      <c r="R749">
        <v>0</v>
      </c>
      <c r="S749">
        <v>0</v>
      </c>
      <c r="T749">
        <v>3</v>
      </c>
      <c r="U749">
        <v>2</v>
      </c>
      <c r="V749">
        <v>20</v>
      </c>
      <c r="W749">
        <v>10</v>
      </c>
      <c r="X749">
        <v>10</v>
      </c>
      <c r="Y749">
        <v>18</v>
      </c>
      <c r="Z749">
        <v>2</v>
      </c>
      <c r="AA749">
        <v>1</v>
      </c>
      <c r="AB749">
        <v>0</v>
      </c>
      <c r="AC749">
        <v>4</v>
      </c>
      <c r="AD749">
        <v>9</v>
      </c>
      <c r="AE749">
        <v>7</v>
      </c>
      <c r="AF749">
        <v>4</v>
      </c>
      <c r="AG749">
        <v>3</v>
      </c>
      <c r="AH749">
        <v>0</v>
      </c>
      <c r="AI749">
        <v>0</v>
      </c>
    </row>
    <row r="750" spans="1:35" hidden="1" x14ac:dyDescent="0.25">
      <c r="A750">
        <v>2022</v>
      </c>
      <c r="B750" s="1">
        <v>44752</v>
      </c>
      <c r="C750">
        <v>16</v>
      </c>
      <c r="D750">
        <v>44055</v>
      </c>
      <c r="E750">
        <v>49205</v>
      </c>
      <c r="F750" t="s">
        <v>88</v>
      </c>
      <c r="G750" t="s">
        <v>77</v>
      </c>
      <c r="H750" t="s">
        <v>359</v>
      </c>
      <c r="I750" t="s">
        <v>315</v>
      </c>
      <c r="J750">
        <v>4</v>
      </c>
      <c r="K750">
        <v>8</v>
      </c>
      <c r="L750">
        <v>32450000</v>
      </c>
      <c r="M750">
        <v>63000000</v>
      </c>
      <c r="N750" t="s">
        <v>107</v>
      </c>
      <c r="O750" t="s">
        <v>217</v>
      </c>
      <c r="P750">
        <v>1</v>
      </c>
      <c r="Q750">
        <v>0</v>
      </c>
      <c r="R750">
        <v>0</v>
      </c>
      <c r="S750">
        <v>0</v>
      </c>
      <c r="T750">
        <v>6</v>
      </c>
      <c r="U750">
        <v>3</v>
      </c>
      <c r="V750">
        <v>7</v>
      </c>
      <c r="W750">
        <v>12</v>
      </c>
      <c r="X750">
        <v>11</v>
      </c>
      <c r="Y750">
        <v>7</v>
      </c>
      <c r="Z750">
        <v>4</v>
      </c>
      <c r="AA750">
        <v>2</v>
      </c>
      <c r="AB750">
        <v>3</v>
      </c>
      <c r="AC750">
        <v>1</v>
      </c>
      <c r="AD750">
        <v>7</v>
      </c>
      <c r="AE750">
        <v>12</v>
      </c>
      <c r="AF750">
        <v>5</v>
      </c>
      <c r="AG750">
        <v>4</v>
      </c>
      <c r="AH750">
        <v>1</v>
      </c>
      <c r="AI750">
        <v>1</v>
      </c>
    </row>
    <row r="751" spans="1:35" hidden="1" x14ac:dyDescent="0.25">
      <c r="A751">
        <v>2022</v>
      </c>
      <c r="B751" s="1">
        <v>44763</v>
      </c>
      <c r="C751">
        <v>18</v>
      </c>
      <c r="D751">
        <v>39852</v>
      </c>
      <c r="E751">
        <v>49205</v>
      </c>
      <c r="F751" t="s">
        <v>88</v>
      </c>
      <c r="G751" t="s">
        <v>321</v>
      </c>
      <c r="H751" t="s">
        <v>359</v>
      </c>
      <c r="I751" t="s">
        <v>358</v>
      </c>
      <c r="J751">
        <v>3</v>
      </c>
      <c r="K751">
        <v>16</v>
      </c>
      <c r="L751">
        <v>53600000</v>
      </c>
      <c r="M751">
        <v>8750000</v>
      </c>
      <c r="N751" t="s">
        <v>114</v>
      </c>
      <c r="O751" t="s">
        <v>166</v>
      </c>
      <c r="P751">
        <v>3</v>
      </c>
      <c r="Q751">
        <v>1</v>
      </c>
      <c r="R751">
        <v>1</v>
      </c>
      <c r="S751">
        <v>0</v>
      </c>
      <c r="T751">
        <v>9</v>
      </c>
      <c r="U751">
        <v>2</v>
      </c>
      <c r="V751">
        <v>16</v>
      </c>
      <c r="W751">
        <v>15</v>
      </c>
      <c r="X751">
        <v>13</v>
      </c>
      <c r="Y751">
        <v>16</v>
      </c>
      <c r="Z751">
        <v>3</v>
      </c>
      <c r="AA751">
        <v>3</v>
      </c>
      <c r="AB751">
        <v>1</v>
      </c>
      <c r="AC751">
        <v>1</v>
      </c>
      <c r="AD751">
        <v>19</v>
      </c>
      <c r="AE751">
        <v>8</v>
      </c>
      <c r="AF751">
        <v>4</v>
      </c>
      <c r="AG751">
        <v>4</v>
      </c>
      <c r="AH751">
        <v>2</v>
      </c>
      <c r="AI751">
        <v>1</v>
      </c>
    </row>
    <row r="752" spans="1:35" hidden="1" x14ac:dyDescent="0.25">
      <c r="A752">
        <v>2022</v>
      </c>
      <c r="B752" s="1">
        <v>44773</v>
      </c>
      <c r="C752">
        <v>20</v>
      </c>
      <c r="D752">
        <v>42797</v>
      </c>
      <c r="E752">
        <v>49205</v>
      </c>
      <c r="F752" t="s">
        <v>88</v>
      </c>
      <c r="G752" t="s">
        <v>51</v>
      </c>
      <c r="H752" t="s">
        <v>359</v>
      </c>
      <c r="I752" t="s">
        <v>311</v>
      </c>
      <c r="J752">
        <v>2</v>
      </c>
      <c r="K752">
        <v>11</v>
      </c>
      <c r="L752">
        <v>34950000</v>
      </c>
      <c r="M752">
        <v>27280000</v>
      </c>
      <c r="N752" t="s">
        <v>209</v>
      </c>
      <c r="O752" t="s">
        <v>163</v>
      </c>
      <c r="P752">
        <v>1</v>
      </c>
      <c r="Q752">
        <v>0</v>
      </c>
      <c r="R752">
        <v>1</v>
      </c>
      <c r="S752">
        <v>0</v>
      </c>
      <c r="T752">
        <v>3</v>
      </c>
      <c r="U752">
        <v>3</v>
      </c>
      <c r="V752">
        <v>6</v>
      </c>
      <c r="W752">
        <v>5</v>
      </c>
      <c r="X752">
        <v>5</v>
      </c>
      <c r="Y752">
        <v>4</v>
      </c>
      <c r="Z752">
        <v>3</v>
      </c>
      <c r="AA752">
        <v>2</v>
      </c>
      <c r="AB752">
        <v>0</v>
      </c>
      <c r="AC752">
        <v>0</v>
      </c>
      <c r="AD752">
        <v>15</v>
      </c>
      <c r="AE752">
        <v>9</v>
      </c>
      <c r="AF752">
        <v>10</v>
      </c>
      <c r="AG752">
        <v>4</v>
      </c>
      <c r="AH752">
        <v>1</v>
      </c>
      <c r="AI752">
        <v>1</v>
      </c>
    </row>
    <row r="753" spans="1:35" hidden="1" x14ac:dyDescent="0.25">
      <c r="A753">
        <v>2022</v>
      </c>
      <c r="B753" s="1">
        <v>44787</v>
      </c>
      <c r="C753">
        <v>22</v>
      </c>
      <c r="D753">
        <v>44966</v>
      </c>
      <c r="E753">
        <v>49205</v>
      </c>
      <c r="F753" t="s">
        <v>88</v>
      </c>
      <c r="G753" t="s">
        <v>95</v>
      </c>
      <c r="H753" t="s">
        <v>359</v>
      </c>
      <c r="I753" t="s">
        <v>97</v>
      </c>
      <c r="J753">
        <v>2</v>
      </c>
      <c r="K753">
        <v>1</v>
      </c>
      <c r="L753">
        <v>57100000</v>
      </c>
      <c r="M753">
        <v>86500000</v>
      </c>
      <c r="N753" t="s">
        <v>149</v>
      </c>
      <c r="O753" t="s">
        <v>209</v>
      </c>
      <c r="P753">
        <v>0</v>
      </c>
      <c r="Q753">
        <v>1</v>
      </c>
      <c r="R753">
        <v>0</v>
      </c>
      <c r="S753">
        <v>0</v>
      </c>
      <c r="T753">
        <v>5</v>
      </c>
      <c r="U753">
        <v>3</v>
      </c>
      <c r="V753">
        <v>15</v>
      </c>
      <c r="W753">
        <v>10</v>
      </c>
      <c r="X753">
        <v>8</v>
      </c>
      <c r="Y753">
        <v>13</v>
      </c>
      <c r="Z753">
        <v>3</v>
      </c>
      <c r="AA753">
        <v>4</v>
      </c>
      <c r="AB753">
        <v>1</v>
      </c>
      <c r="AC753">
        <v>4</v>
      </c>
      <c r="AD753">
        <v>14</v>
      </c>
      <c r="AE753">
        <v>9</v>
      </c>
      <c r="AF753">
        <v>5</v>
      </c>
      <c r="AG753">
        <v>5</v>
      </c>
      <c r="AH753">
        <v>-1</v>
      </c>
      <c r="AI753">
        <v>0</v>
      </c>
    </row>
    <row r="754" spans="1:35" hidden="1" x14ac:dyDescent="0.25">
      <c r="A754">
        <v>2022</v>
      </c>
      <c r="B754" s="1">
        <v>44803</v>
      </c>
      <c r="C754">
        <v>24</v>
      </c>
      <c r="D754">
        <v>36228</v>
      </c>
      <c r="E754">
        <v>49205</v>
      </c>
      <c r="F754" t="s">
        <v>88</v>
      </c>
      <c r="G754" t="s">
        <v>56</v>
      </c>
      <c r="H754" t="s">
        <v>359</v>
      </c>
      <c r="I754" t="s">
        <v>341</v>
      </c>
      <c r="J754">
        <v>4</v>
      </c>
      <c r="K754">
        <v>10</v>
      </c>
      <c r="L754">
        <v>57500000</v>
      </c>
      <c r="M754">
        <v>47700000</v>
      </c>
      <c r="N754" t="s">
        <v>128</v>
      </c>
      <c r="O754" t="s">
        <v>221</v>
      </c>
      <c r="P754">
        <v>1</v>
      </c>
      <c r="Q754">
        <v>0</v>
      </c>
      <c r="R754">
        <v>1</v>
      </c>
      <c r="S754">
        <v>0</v>
      </c>
      <c r="T754">
        <v>5</v>
      </c>
      <c r="U754">
        <v>5</v>
      </c>
      <c r="V754">
        <v>12</v>
      </c>
      <c r="W754">
        <v>8</v>
      </c>
      <c r="X754">
        <v>7</v>
      </c>
      <c r="Y754">
        <v>12</v>
      </c>
      <c r="Z754">
        <v>5</v>
      </c>
      <c r="AA754">
        <v>3</v>
      </c>
      <c r="AB754">
        <v>1</v>
      </c>
      <c r="AC754">
        <v>5</v>
      </c>
      <c r="AD754">
        <v>14</v>
      </c>
      <c r="AE754">
        <v>15</v>
      </c>
      <c r="AF754">
        <v>5</v>
      </c>
      <c r="AG754">
        <v>6</v>
      </c>
      <c r="AH754">
        <v>1</v>
      </c>
      <c r="AI754">
        <v>1</v>
      </c>
    </row>
    <row r="755" spans="1:35" hidden="1" x14ac:dyDescent="0.25">
      <c r="A755">
        <v>2022</v>
      </c>
      <c r="B755" s="1">
        <v>44836</v>
      </c>
      <c r="C755">
        <v>29</v>
      </c>
      <c r="D755">
        <v>37445</v>
      </c>
      <c r="E755">
        <v>49205</v>
      </c>
      <c r="F755" t="s">
        <v>88</v>
      </c>
      <c r="G755" t="s">
        <v>70</v>
      </c>
      <c r="H755" t="s">
        <v>359</v>
      </c>
      <c r="I755" t="s">
        <v>90</v>
      </c>
      <c r="J755">
        <v>4</v>
      </c>
      <c r="K755">
        <v>17</v>
      </c>
      <c r="L755">
        <v>60500000</v>
      </c>
      <c r="M755">
        <v>11050000</v>
      </c>
      <c r="N755" t="s">
        <v>117</v>
      </c>
      <c r="O755" t="s">
        <v>134</v>
      </c>
      <c r="P755">
        <v>2</v>
      </c>
      <c r="Q755">
        <v>0</v>
      </c>
      <c r="R755">
        <v>2</v>
      </c>
      <c r="S755">
        <v>0</v>
      </c>
      <c r="T755">
        <v>7</v>
      </c>
      <c r="U755">
        <v>4</v>
      </c>
      <c r="V755">
        <v>11</v>
      </c>
      <c r="W755">
        <v>6</v>
      </c>
      <c r="X755">
        <v>6</v>
      </c>
      <c r="Y755">
        <v>11</v>
      </c>
      <c r="Z755">
        <v>4</v>
      </c>
      <c r="AA755">
        <v>4</v>
      </c>
      <c r="AB755">
        <v>1</v>
      </c>
      <c r="AC755">
        <v>2</v>
      </c>
      <c r="AD755">
        <v>15</v>
      </c>
      <c r="AE755">
        <v>9</v>
      </c>
      <c r="AF755">
        <v>2</v>
      </c>
      <c r="AG755">
        <v>3</v>
      </c>
      <c r="AH755">
        <v>2</v>
      </c>
      <c r="AI755">
        <v>1</v>
      </c>
    </row>
    <row r="756" spans="1:35" hidden="1" x14ac:dyDescent="0.25">
      <c r="A756">
        <v>2022</v>
      </c>
      <c r="B756" s="1">
        <v>44843</v>
      </c>
      <c r="C756">
        <v>31</v>
      </c>
      <c r="D756">
        <v>38649</v>
      </c>
      <c r="E756">
        <v>49205</v>
      </c>
      <c r="F756" t="s">
        <v>88</v>
      </c>
      <c r="G756" t="s">
        <v>69</v>
      </c>
      <c r="H756" t="s">
        <v>359</v>
      </c>
      <c r="I756" t="s">
        <v>336</v>
      </c>
      <c r="J756">
        <v>4</v>
      </c>
      <c r="K756">
        <v>6</v>
      </c>
      <c r="L756">
        <v>42000000</v>
      </c>
      <c r="M756">
        <v>41000000</v>
      </c>
      <c r="N756" t="s">
        <v>99</v>
      </c>
      <c r="O756" t="s">
        <v>220</v>
      </c>
      <c r="P756">
        <v>2</v>
      </c>
      <c r="Q756">
        <v>1</v>
      </c>
      <c r="R756">
        <v>2</v>
      </c>
      <c r="S756">
        <v>0</v>
      </c>
      <c r="T756">
        <v>5</v>
      </c>
      <c r="U756">
        <v>6</v>
      </c>
      <c r="V756">
        <v>10</v>
      </c>
      <c r="W756">
        <v>16</v>
      </c>
      <c r="X756">
        <v>15</v>
      </c>
      <c r="Y756">
        <v>10</v>
      </c>
      <c r="Z756">
        <v>3</v>
      </c>
      <c r="AA756">
        <v>1</v>
      </c>
      <c r="AB756">
        <v>4</v>
      </c>
      <c r="AC756">
        <v>0</v>
      </c>
      <c r="AD756">
        <v>7</v>
      </c>
      <c r="AE756">
        <v>19</v>
      </c>
      <c r="AF756">
        <v>1</v>
      </c>
      <c r="AG756">
        <v>8</v>
      </c>
      <c r="AH756">
        <v>1</v>
      </c>
      <c r="AI756">
        <v>1</v>
      </c>
    </row>
    <row r="757" spans="1:35" hidden="1" x14ac:dyDescent="0.25">
      <c r="A757">
        <v>2022</v>
      </c>
      <c r="B757" s="1">
        <v>44871</v>
      </c>
      <c r="C757">
        <v>36</v>
      </c>
      <c r="D757">
        <v>41335</v>
      </c>
      <c r="E757">
        <v>49205</v>
      </c>
      <c r="F757" t="s">
        <v>88</v>
      </c>
      <c r="G757" t="s">
        <v>361</v>
      </c>
      <c r="H757" t="s">
        <v>359</v>
      </c>
      <c r="I757" t="s">
        <v>213</v>
      </c>
      <c r="J757">
        <v>5</v>
      </c>
      <c r="K757">
        <v>17</v>
      </c>
      <c r="L757">
        <v>47500000</v>
      </c>
      <c r="M757">
        <v>9100000</v>
      </c>
      <c r="N757" t="s">
        <v>114</v>
      </c>
      <c r="O757" t="s">
        <v>109</v>
      </c>
      <c r="P757">
        <v>1</v>
      </c>
      <c r="Q757">
        <v>0</v>
      </c>
      <c r="R757">
        <v>0</v>
      </c>
      <c r="S757">
        <v>0</v>
      </c>
      <c r="T757">
        <v>9</v>
      </c>
      <c r="U757">
        <v>11</v>
      </c>
      <c r="V757">
        <v>10</v>
      </c>
      <c r="W757">
        <v>12</v>
      </c>
      <c r="X757">
        <v>12</v>
      </c>
      <c r="Y757">
        <v>9</v>
      </c>
      <c r="Z757">
        <v>4</v>
      </c>
      <c r="AA757">
        <v>2</v>
      </c>
      <c r="AB757">
        <v>4</v>
      </c>
      <c r="AC757">
        <v>2</v>
      </c>
      <c r="AD757">
        <v>15</v>
      </c>
      <c r="AE757">
        <v>12</v>
      </c>
      <c r="AF757">
        <v>7</v>
      </c>
      <c r="AG757">
        <v>4</v>
      </c>
      <c r="AH757">
        <v>1</v>
      </c>
      <c r="AI757">
        <v>1</v>
      </c>
    </row>
    <row r="758" spans="1:35" hidden="1" x14ac:dyDescent="0.25">
      <c r="A758">
        <v>2022</v>
      </c>
      <c r="B758" s="1">
        <v>44661</v>
      </c>
      <c r="C758">
        <v>1</v>
      </c>
      <c r="D758">
        <v>18600</v>
      </c>
      <c r="E758">
        <v>37182</v>
      </c>
      <c r="F758" t="s">
        <v>321</v>
      </c>
      <c r="G758" t="s">
        <v>313</v>
      </c>
      <c r="H758" t="s">
        <v>358</v>
      </c>
      <c r="I758" t="s">
        <v>380</v>
      </c>
      <c r="J758">
        <v>2</v>
      </c>
      <c r="K758">
        <v>19</v>
      </c>
      <c r="L758">
        <v>9200000</v>
      </c>
      <c r="M758">
        <v>6850000</v>
      </c>
      <c r="N758" t="s">
        <v>296</v>
      </c>
      <c r="O758" t="s">
        <v>209</v>
      </c>
      <c r="P758">
        <v>3</v>
      </c>
      <c r="Q758">
        <v>0</v>
      </c>
      <c r="R758">
        <v>1</v>
      </c>
      <c r="S758">
        <v>0</v>
      </c>
      <c r="T758">
        <v>7</v>
      </c>
      <c r="U758">
        <v>3</v>
      </c>
      <c r="V758">
        <v>10</v>
      </c>
      <c r="W758">
        <v>12</v>
      </c>
      <c r="X758">
        <v>11</v>
      </c>
      <c r="Y758">
        <v>10</v>
      </c>
      <c r="Z758">
        <v>0</v>
      </c>
      <c r="AA758">
        <v>6</v>
      </c>
      <c r="AB758">
        <v>3</v>
      </c>
      <c r="AC758">
        <v>2</v>
      </c>
      <c r="AD758">
        <v>17</v>
      </c>
      <c r="AE758">
        <v>7</v>
      </c>
      <c r="AF758">
        <v>3</v>
      </c>
      <c r="AG758">
        <v>5</v>
      </c>
      <c r="AH758">
        <v>3</v>
      </c>
      <c r="AI758">
        <v>1</v>
      </c>
    </row>
    <row r="759" spans="1:35" hidden="1" x14ac:dyDescent="0.25">
      <c r="A759">
        <v>2022</v>
      </c>
      <c r="B759" s="1">
        <v>44696</v>
      </c>
      <c r="C759">
        <v>6</v>
      </c>
      <c r="D759">
        <v>20818</v>
      </c>
      <c r="E759">
        <v>40502</v>
      </c>
      <c r="F759" t="s">
        <v>321</v>
      </c>
      <c r="G759" t="s">
        <v>310</v>
      </c>
      <c r="H759" t="s">
        <v>358</v>
      </c>
      <c r="I759" t="s">
        <v>312</v>
      </c>
      <c r="J759">
        <v>10</v>
      </c>
      <c r="K759">
        <v>4</v>
      </c>
      <c r="L759">
        <v>7950000</v>
      </c>
      <c r="M759">
        <v>10200000</v>
      </c>
      <c r="N759" t="s">
        <v>208</v>
      </c>
      <c r="O759" t="s">
        <v>107</v>
      </c>
      <c r="P759">
        <v>1</v>
      </c>
      <c r="Q759">
        <v>0</v>
      </c>
      <c r="R759">
        <v>1</v>
      </c>
      <c r="S759">
        <v>0</v>
      </c>
      <c r="T759">
        <v>7</v>
      </c>
      <c r="U759">
        <v>4</v>
      </c>
      <c r="V759">
        <v>11</v>
      </c>
      <c r="W759">
        <v>23</v>
      </c>
      <c r="X759">
        <v>22</v>
      </c>
      <c r="Y759">
        <v>10</v>
      </c>
      <c r="Z759">
        <v>2</v>
      </c>
      <c r="AA759">
        <v>6</v>
      </c>
      <c r="AB759">
        <v>4</v>
      </c>
      <c r="AC759">
        <v>1</v>
      </c>
      <c r="AD759">
        <v>17</v>
      </c>
      <c r="AE759">
        <v>9</v>
      </c>
      <c r="AF759">
        <v>6</v>
      </c>
      <c r="AG759">
        <v>4</v>
      </c>
      <c r="AH759">
        <v>1</v>
      </c>
      <c r="AI759">
        <v>1</v>
      </c>
    </row>
    <row r="760" spans="1:35" hidden="1" x14ac:dyDescent="0.25">
      <c r="A760">
        <v>2022</v>
      </c>
      <c r="B760" s="1">
        <v>44710</v>
      </c>
      <c r="C760">
        <v>8</v>
      </c>
      <c r="D760">
        <v>20302</v>
      </c>
      <c r="E760">
        <v>40502</v>
      </c>
      <c r="F760" t="s">
        <v>321</v>
      </c>
      <c r="G760" t="s">
        <v>51</v>
      </c>
      <c r="H760" t="s">
        <v>358</v>
      </c>
      <c r="I760" t="s">
        <v>311</v>
      </c>
      <c r="J760">
        <v>8</v>
      </c>
      <c r="K760">
        <v>5</v>
      </c>
      <c r="L760">
        <v>5800000</v>
      </c>
      <c r="M760">
        <v>15730000</v>
      </c>
      <c r="N760" t="s">
        <v>116</v>
      </c>
      <c r="O760" t="s">
        <v>128</v>
      </c>
      <c r="P760">
        <v>1</v>
      </c>
      <c r="Q760">
        <v>0</v>
      </c>
      <c r="R760">
        <v>1</v>
      </c>
      <c r="S760">
        <v>0</v>
      </c>
      <c r="T760">
        <v>5</v>
      </c>
      <c r="U760">
        <v>9</v>
      </c>
      <c r="V760">
        <v>10</v>
      </c>
      <c r="W760">
        <v>12</v>
      </c>
      <c r="X760">
        <v>12</v>
      </c>
      <c r="Y760">
        <v>10</v>
      </c>
      <c r="Z760">
        <v>3</v>
      </c>
      <c r="AA760">
        <v>3</v>
      </c>
      <c r="AB760">
        <v>3</v>
      </c>
      <c r="AC760">
        <v>4</v>
      </c>
      <c r="AD760">
        <v>15</v>
      </c>
      <c r="AE760">
        <v>18</v>
      </c>
      <c r="AF760">
        <v>8</v>
      </c>
      <c r="AG760">
        <v>8</v>
      </c>
      <c r="AH760">
        <v>1</v>
      </c>
      <c r="AI760">
        <v>1</v>
      </c>
    </row>
    <row r="761" spans="1:35" hidden="1" x14ac:dyDescent="0.25">
      <c r="A761">
        <v>2022</v>
      </c>
      <c r="B761" s="1">
        <v>44731</v>
      </c>
      <c r="C761">
        <v>13</v>
      </c>
      <c r="D761">
        <v>22609</v>
      </c>
      <c r="E761">
        <v>40502</v>
      </c>
      <c r="F761" t="s">
        <v>321</v>
      </c>
      <c r="G761" t="s">
        <v>69</v>
      </c>
      <c r="H761" t="s">
        <v>358</v>
      </c>
      <c r="I761" t="s">
        <v>336</v>
      </c>
      <c r="J761">
        <v>12</v>
      </c>
      <c r="K761">
        <v>4</v>
      </c>
      <c r="L761">
        <v>7100000</v>
      </c>
      <c r="M761">
        <v>19650000</v>
      </c>
      <c r="N761" t="s">
        <v>104</v>
      </c>
      <c r="O761" t="s">
        <v>176</v>
      </c>
      <c r="P761">
        <v>0</v>
      </c>
      <c r="Q761">
        <v>1</v>
      </c>
      <c r="R761">
        <v>0</v>
      </c>
      <c r="S761">
        <v>0</v>
      </c>
      <c r="T761">
        <v>12</v>
      </c>
      <c r="U761">
        <v>1</v>
      </c>
      <c r="V761">
        <v>12</v>
      </c>
      <c r="W761">
        <v>11</v>
      </c>
      <c r="X761">
        <v>10</v>
      </c>
      <c r="Y761">
        <v>11</v>
      </c>
      <c r="Z761">
        <v>2</v>
      </c>
      <c r="AA761">
        <v>3</v>
      </c>
      <c r="AB761">
        <v>3</v>
      </c>
      <c r="AC761">
        <v>2</v>
      </c>
      <c r="AD761">
        <v>24</v>
      </c>
      <c r="AE761">
        <v>10</v>
      </c>
      <c r="AF761">
        <v>12</v>
      </c>
      <c r="AG761">
        <v>6</v>
      </c>
      <c r="AH761">
        <v>-1</v>
      </c>
      <c r="AI761">
        <v>0</v>
      </c>
    </row>
    <row r="762" spans="1:35" hidden="1" x14ac:dyDescent="0.25">
      <c r="A762">
        <v>2022</v>
      </c>
      <c r="B762" s="1">
        <v>44745</v>
      </c>
      <c r="C762">
        <v>15</v>
      </c>
      <c r="D762">
        <v>20156</v>
      </c>
      <c r="E762">
        <v>40502</v>
      </c>
      <c r="F762" t="s">
        <v>321</v>
      </c>
      <c r="G762" t="s">
        <v>63</v>
      </c>
      <c r="H762" t="s">
        <v>358</v>
      </c>
      <c r="I762" t="s">
        <v>65</v>
      </c>
      <c r="J762">
        <v>16</v>
      </c>
      <c r="K762">
        <v>20</v>
      </c>
      <c r="L762">
        <v>5450000</v>
      </c>
      <c r="M762">
        <v>9350000</v>
      </c>
      <c r="N762" t="s">
        <v>98</v>
      </c>
      <c r="O762" t="s">
        <v>168</v>
      </c>
      <c r="P762">
        <v>2</v>
      </c>
      <c r="Q762">
        <v>1</v>
      </c>
      <c r="R762">
        <v>1</v>
      </c>
      <c r="S762">
        <v>0</v>
      </c>
      <c r="T762">
        <v>2</v>
      </c>
      <c r="U762">
        <v>6</v>
      </c>
      <c r="V762">
        <v>11</v>
      </c>
      <c r="W762">
        <v>22</v>
      </c>
      <c r="X762">
        <v>22</v>
      </c>
      <c r="Y762">
        <v>11</v>
      </c>
      <c r="Z762">
        <v>6</v>
      </c>
      <c r="AA762">
        <v>2</v>
      </c>
      <c r="AB762">
        <v>1</v>
      </c>
      <c r="AC762">
        <v>1</v>
      </c>
      <c r="AD762">
        <v>11</v>
      </c>
      <c r="AE762">
        <v>22</v>
      </c>
      <c r="AF762">
        <v>4</v>
      </c>
      <c r="AG762">
        <v>8</v>
      </c>
      <c r="AH762">
        <v>1</v>
      </c>
      <c r="AI762">
        <v>1</v>
      </c>
    </row>
    <row r="763" spans="1:35" hidden="1" x14ac:dyDescent="0.25">
      <c r="A763">
        <v>2022</v>
      </c>
      <c r="B763" s="1">
        <v>44768</v>
      </c>
      <c r="C763">
        <v>19</v>
      </c>
      <c r="D763">
        <v>19181</v>
      </c>
      <c r="E763">
        <v>40502</v>
      </c>
      <c r="F763" t="s">
        <v>321</v>
      </c>
      <c r="G763" t="s">
        <v>70</v>
      </c>
      <c r="H763" t="s">
        <v>358</v>
      </c>
      <c r="I763" t="s">
        <v>90</v>
      </c>
      <c r="J763">
        <v>16</v>
      </c>
      <c r="K763">
        <v>15</v>
      </c>
      <c r="L763">
        <v>6500000</v>
      </c>
      <c r="M763">
        <v>9750000</v>
      </c>
      <c r="N763" t="s">
        <v>235</v>
      </c>
      <c r="O763" t="s">
        <v>73</v>
      </c>
      <c r="P763">
        <v>1</v>
      </c>
      <c r="Q763">
        <v>0</v>
      </c>
      <c r="R763">
        <v>1</v>
      </c>
      <c r="S763">
        <v>0</v>
      </c>
      <c r="T763">
        <v>4</v>
      </c>
      <c r="U763">
        <v>4</v>
      </c>
      <c r="V763">
        <v>16</v>
      </c>
      <c r="W763">
        <v>12</v>
      </c>
      <c r="X763">
        <v>11</v>
      </c>
      <c r="Y763">
        <v>14</v>
      </c>
      <c r="Z763">
        <v>0</v>
      </c>
      <c r="AA763">
        <v>1</v>
      </c>
      <c r="AB763">
        <v>0</v>
      </c>
      <c r="AC763">
        <v>1</v>
      </c>
      <c r="AD763">
        <v>4</v>
      </c>
      <c r="AE763">
        <v>8</v>
      </c>
      <c r="AF763">
        <v>1</v>
      </c>
      <c r="AG763">
        <v>6</v>
      </c>
      <c r="AH763">
        <v>1</v>
      </c>
      <c r="AI763">
        <v>1</v>
      </c>
    </row>
    <row r="764" spans="1:35" hidden="1" x14ac:dyDescent="0.25">
      <c r="A764">
        <v>2022</v>
      </c>
      <c r="B764" s="1">
        <v>44782</v>
      </c>
      <c r="C764">
        <v>21</v>
      </c>
      <c r="D764">
        <v>22691</v>
      </c>
      <c r="E764">
        <v>40502</v>
      </c>
      <c r="F764" t="s">
        <v>321</v>
      </c>
      <c r="G764" t="s">
        <v>326</v>
      </c>
      <c r="H764" t="s">
        <v>358</v>
      </c>
      <c r="I764" t="s">
        <v>362</v>
      </c>
      <c r="J764">
        <v>15</v>
      </c>
      <c r="K764">
        <v>9</v>
      </c>
      <c r="L764">
        <v>8300000</v>
      </c>
      <c r="M764">
        <v>27200000</v>
      </c>
      <c r="N764" t="s">
        <v>200</v>
      </c>
      <c r="O764" t="s">
        <v>117</v>
      </c>
      <c r="P764">
        <v>1</v>
      </c>
      <c r="Q764">
        <v>2</v>
      </c>
      <c r="R764">
        <v>0</v>
      </c>
      <c r="S764">
        <v>0</v>
      </c>
      <c r="T764">
        <v>6</v>
      </c>
      <c r="U764">
        <v>7</v>
      </c>
      <c r="V764">
        <v>23</v>
      </c>
      <c r="W764">
        <v>10</v>
      </c>
      <c r="X764">
        <v>10</v>
      </c>
      <c r="Y764">
        <v>23</v>
      </c>
      <c r="Z764">
        <v>3</v>
      </c>
      <c r="AA764">
        <v>1</v>
      </c>
      <c r="AB764">
        <v>0</v>
      </c>
      <c r="AC764">
        <v>2</v>
      </c>
      <c r="AD764">
        <v>15</v>
      </c>
      <c r="AE764">
        <v>17</v>
      </c>
      <c r="AF764">
        <v>8</v>
      </c>
      <c r="AG764">
        <v>6</v>
      </c>
      <c r="AH764">
        <v>-1</v>
      </c>
      <c r="AI764">
        <v>0</v>
      </c>
    </row>
    <row r="765" spans="1:35" hidden="1" x14ac:dyDescent="0.25">
      <c r="A765">
        <v>2022</v>
      </c>
      <c r="B765" s="1">
        <v>44787</v>
      </c>
      <c r="C765">
        <v>22</v>
      </c>
      <c r="D765">
        <v>17608</v>
      </c>
      <c r="E765">
        <v>40502</v>
      </c>
      <c r="F765" t="s">
        <v>321</v>
      </c>
      <c r="G765" t="s">
        <v>89</v>
      </c>
      <c r="H765" t="s">
        <v>358</v>
      </c>
      <c r="I765" t="s">
        <v>71</v>
      </c>
      <c r="J765">
        <v>15</v>
      </c>
      <c r="K765">
        <v>7</v>
      </c>
      <c r="L765">
        <v>8900000</v>
      </c>
      <c r="M765">
        <v>67900000</v>
      </c>
      <c r="N765" t="s">
        <v>235</v>
      </c>
      <c r="O765" t="s">
        <v>235</v>
      </c>
      <c r="P765">
        <v>0</v>
      </c>
      <c r="Q765">
        <v>1</v>
      </c>
      <c r="R765">
        <v>0</v>
      </c>
      <c r="S765">
        <v>0</v>
      </c>
      <c r="T765">
        <v>1</v>
      </c>
      <c r="U765">
        <v>9</v>
      </c>
      <c r="V765">
        <v>7</v>
      </c>
      <c r="W765">
        <v>20</v>
      </c>
      <c r="X765">
        <v>17</v>
      </c>
      <c r="Y765">
        <v>6</v>
      </c>
      <c r="Z765">
        <v>6</v>
      </c>
      <c r="AA765">
        <v>2</v>
      </c>
      <c r="AB765">
        <v>0</v>
      </c>
      <c r="AC765">
        <v>0</v>
      </c>
      <c r="AD765">
        <v>7</v>
      </c>
      <c r="AE765">
        <v>19</v>
      </c>
      <c r="AF765">
        <v>5</v>
      </c>
      <c r="AG765">
        <v>10</v>
      </c>
      <c r="AH765">
        <v>-1</v>
      </c>
      <c r="AI765">
        <v>0</v>
      </c>
    </row>
    <row r="766" spans="1:35" hidden="1" x14ac:dyDescent="0.25">
      <c r="A766">
        <v>2022</v>
      </c>
      <c r="B766" s="1">
        <v>44800</v>
      </c>
      <c r="C766">
        <v>24</v>
      </c>
      <c r="D766">
        <v>17597</v>
      </c>
      <c r="E766">
        <v>40502</v>
      </c>
      <c r="F766" t="s">
        <v>321</v>
      </c>
      <c r="G766" t="s">
        <v>365</v>
      </c>
      <c r="H766" t="s">
        <v>340</v>
      </c>
      <c r="I766" t="s">
        <v>367</v>
      </c>
      <c r="J766">
        <v>18</v>
      </c>
      <c r="K766">
        <v>17</v>
      </c>
      <c r="L766">
        <v>9100000</v>
      </c>
      <c r="M766">
        <v>5280000</v>
      </c>
      <c r="N766" t="s">
        <v>134</v>
      </c>
      <c r="O766" t="s">
        <v>381</v>
      </c>
      <c r="P766">
        <v>1</v>
      </c>
      <c r="Q766">
        <v>0</v>
      </c>
      <c r="R766">
        <v>0</v>
      </c>
      <c r="S766">
        <v>0</v>
      </c>
      <c r="T766">
        <v>4</v>
      </c>
      <c r="U766">
        <v>5</v>
      </c>
      <c r="V766">
        <v>14</v>
      </c>
      <c r="W766">
        <v>14</v>
      </c>
      <c r="X766">
        <v>14</v>
      </c>
      <c r="Y766">
        <v>14</v>
      </c>
      <c r="Z766">
        <v>2</v>
      </c>
      <c r="AA766">
        <v>2</v>
      </c>
      <c r="AB766">
        <v>0</v>
      </c>
      <c r="AC766">
        <v>2</v>
      </c>
      <c r="AD766">
        <v>12</v>
      </c>
      <c r="AE766">
        <v>12</v>
      </c>
      <c r="AF766">
        <v>6</v>
      </c>
      <c r="AG766">
        <v>5</v>
      </c>
      <c r="AH766">
        <v>1</v>
      </c>
      <c r="AI766">
        <v>1</v>
      </c>
    </row>
    <row r="767" spans="1:35" hidden="1" x14ac:dyDescent="0.25">
      <c r="A767">
        <v>2022</v>
      </c>
      <c r="B767" s="1">
        <v>44815</v>
      </c>
      <c r="C767">
        <v>26</v>
      </c>
      <c r="D767">
        <v>15046</v>
      </c>
      <c r="E767">
        <v>40502</v>
      </c>
      <c r="F767" t="s">
        <v>321</v>
      </c>
      <c r="G767" t="s">
        <v>76</v>
      </c>
      <c r="H767" t="s">
        <v>340</v>
      </c>
      <c r="I767" t="s">
        <v>369</v>
      </c>
      <c r="J767">
        <v>17</v>
      </c>
      <c r="K767">
        <v>19</v>
      </c>
      <c r="L767">
        <v>11350000</v>
      </c>
      <c r="M767">
        <v>7200000</v>
      </c>
      <c r="N767">
        <v>28</v>
      </c>
      <c r="O767" t="s">
        <v>209</v>
      </c>
      <c r="P767">
        <v>2</v>
      </c>
      <c r="Q767">
        <v>0</v>
      </c>
      <c r="R767">
        <v>1</v>
      </c>
      <c r="S767">
        <v>0</v>
      </c>
      <c r="T767">
        <v>7</v>
      </c>
      <c r="U767">
        <v>8</v>
      </c>
      <c r="V767">
        <v>16</v>
      </c>
      <c r="W767">
        <v>11</v>
      </c>
      <c r="X767">
        <v>10</v>
      </c>
      <c r="Y767">
        <v>16</v>
      </c>
      <c r="Z767">
        <v>4</v>
      </c>
      <c r="AA767">
        <v>3</v>
      </c>
      <c r="AB767">
        <v>1</v>
      </c>
      <c r="AC767">
        <v>2</v>
      </c>
      <c r="AD767">
        <v>13</v>
      </c>
      <c r="AE767">
        <v>15</v>
      </c>
      <c r="AF767">
        <v>4</v>
      </c>
      <c r="AG767">
        <v>4</v>
      </c>
      <c r="AH767">
        <v>2</v>
      </c>
      <c r="AI767">
        <v>1</v>
      </c>
    </row>
    <row r="768" spans="1:35" hidden="1" x14ac:dyDescent="0.25">
      <c r="A768">
        <v>2022</v>
      </c>
      <c r="B768" s="1">
        <v>44833</v>
      </c>
      <c r="C768">
        <v>28</v>
      </c>
      <c r="D768">
        <v>14735</v>
      </c>
      <c r="E768">
        <v>40502</v>
      </c>
      <c r="F768" t="s">
        <v>321</v>
      </c>
      <c r="G768" t="s">
        <v>361</v>
      </c>
      <c r="H768" t="s">
        <v>340</v>
      </c>
      <c r="I768" t="s">
        <v>241</v>
      </c>
      <c r="J768">
        <v>16</v>
      </c>
      <c r="K768">
        <v>15</v>
      </c>
      <c r="L768">
        <v>11550000</v>
      </c>
      <c r="M768">
        <v>12550000</v>
      </c>
      <c r="N768" t="s">
        <v>114</v>
      </c>
      <c r="O768" t="s">
        <v>193</v>
      </c>
      <c r="P768">
        <v>1</v>
      </c>
      <c r="Q768">
        <v>0</v>
      </c>
      <c r="R768">
        <v>1</v>
      </c>
      <c r="S768">
        <v>0</v>
      </c>
      <c r="T768">
        <v>7</v>
      </c>
      <c r="U768">
        <v>3</v>
      </c>
      <c r="V768">
        <v>12</v>
      </c>
      <c r="W768">
        <v>9</v>
      </c>
      <c r="X768">
        <v>9</v>
      </c>
      <c r="Y768">
        <v>11</v>
      </c>
      <c r="Z768">
        <v>3</v>
      </c>
      <c r="AA768">
        <v>3</v>
      </c>
      <c r="AB768">
        <v>3</v>
      </c>
      <c r="AC768">
        <v>3</v>
      </c>
      <c r="AD768">
        <v>14</v>
      </c>
      <c r="AE768">
        <v>12</v>
      </c>
      <c r="AF768">
        <v>7</v>
      </c>
      <c r="AG768">
        <v>5</v>
      </c>
      <c r="AH768">
        <v>1</v>
      </c>
      <c r="AI768">
        <v>1</v>
      </c>
    </row>
    <row r="769" spans="1:35" hidden="1" x14ac:dyDescent="0.25">
      <c r="A769">
        <v>2022</v>
      </c>
      <c r="B769" s="1">
        <v>44857</v>
      </c>
      <c r="C769">
        <v>33</v>
      </c>
      <c r="D769">
        <v>18485</v>
      </c>
      <c r="E769">
        <v>40502</v>
      </c>
      <c r="F769" t="s">
        <v>321</v>
      </c>
      <c r="G769" t="s">
        <v>37</v>
      </c>
      <c r="H769" t="s">
        <v>340</v>
      </c>
      <c r="I769" t="s">
        <v>240</v>
      </c>
      <c r="J769">
        <v>15</v>
      </c>
      <c r="K769">
        <v>2</v>
      </c>
      <c r="L769">
        <v>10600000</v>
      </c>
      <c r="M769">
        <v>29050000</v>
      </c>
      <c r="N769" t="s">
        <v>114</v>
      </c>
      <c r="O769" t="s">
        <v>129</v>
      </c>
      <c r="P769">
        <v>1</v>
      </c>
      <c r="Q769">
        <v>1</v>
      </c>
      <c r="R769">
        <v>1</v>
      </c>
      <c r="S769">
        <v>0</v>
      </c>
      <c r="T769">
        <v>7</v>
      </c>
      <c r="U769">
        <v>6</v>
      </c>
      <c r="V769">
        <v>16</v>
      </c>
      <c r="W769">
        <v>10</v>
      </c>
      <c r="X769">
        <v>10</v>
      </c>
      <c r="Y769">
        <v>16</v>
      </c>
      <c r="Z769">
        <v>2</v>
      </c>
      <c r="AA769">
        <v>0</v>
      </c>
      <c r="AB769">
        <v>3</v>
      </c>
      <c r="AC769">
        <v>2</v>
      </c>
      <c r="AD769">
        <v>12</v>
      </c>
      <c r="AE769">
        <v>11</v>
      </c>
      <c r="AF769">
        <v>7</v>
      </c>
      <c r="AG769">
        <v>3</v>
      </c>
      <c r="AH769">
        <v>0</v>
      </c>
      <c r="AI769">
        <v>0</v>
      </c>
    </row>
    <row r="770" spans="1:35" hidden="1" x14ac:dyDescent="0.25">
      <c r="A770">
        <v>2022</v>
      </c>
      <c r="B770" s="1">
        <v>44871</v>
      </c>
      <c r="C770">
        <v>36</v>
      </c>
      <c r="D770">
        <v>33304</v>
      </c>
      <c r="E770">
        <v>40502</v>
      </c>
      <c r="F770" t="s">
        <v>321</v>
      </c>
      <c r="G770" t="s">
        <v>77</v>
      </c>
      <c r="H770" t="s">
        <v>340</v>
      </c>
      <c r="I770" t="s">
        <v>315</v>
      </c>
      <c r="J770">
        <v>15</v>
      </c>
      <c r="K770">
        <v>3</v>
      </c>
      <c r="L770">
        <v>11950000</v>
      </c>
      <c r="M770">
        <v>57400000</v>
      </c>
      <c r="N770" t="s">
        <v>117</v>
      </c>
      <c r="O770" t="s">
        <v>120</v>
      </c>
      <c r="P770">
        <v>1</v>
      </c>
      <c r="Q770">
        <v>0</v>
      </c>
      <c r="R770">
        <v>0</v>
      </c>
      <c r="S770">
        <v>0</v>
      </c>
      <c r="T770">
        <v>5</v>
      </c>
      <c r="U770">
        <v>8</v>
      </c>
      <c r="V770">
        <v>13</v>
      </c>
      <c r="W770">
        <v>11</v>
      </c>
      <c r="X770">
        <v>10</v>
      </c>
      <c r="Y770">
        <v>12</v>
      </c>
      <c r="Z770">
        <v>1</v>
      </c>
      <c r="AA770">
        <v>3</v>
      </c>
      <c r="AB770">
        <v>0</v>
      </c>
      <c r="AC770">
        <v>3</v>
      </c>
      <c r="AD770">
        <v>9</v>
      </c>
      <c r="AE770">
        <v>13</v>
      </c>
      <c r="AF770">
        <v>4</v>
      </c>
      <c r="AG770">
        <v>7</v>
      </c>
      <c r="AH770">
        <v>1</v>
      </c>
      <c r="AI770">
        <v>1</v>
      </c>
    </row>
    <row r="771" spans="1:35" hidden="1" x14ac:dyDescent="0.25">
      <c r="A771">
        <v>2022</v>
      </c>
      <c r="B771" s="1">
        <v>44668</v>
      </c>
      <c r="C771">
        <v>2</v>
      </c>
      <c r="D771">
        <v>17305</v>
      </c>
      <c r="E771">
        <v>42372</v>
      </c>
      <c r="F771" t="s">
        <v>69</v>
      </c>
      <c r="G771" t="s">
        <v>89</v>
      </c>
      <c r="H771" t="s">
        <v>379</v>
      </c>
      <c r="I771" t="s">
        <v>370</v>
      </c>
      <c r="J771">
        <v>20</v>
      </c>
      <c r="K771">
        <v>4</v>
      </c>
      <c r="L771">
        <v>26750000</v>
      </c>
      <c r="M771">
        <v>64900000</v>
      </c>
      <c r="N771" t="s">
        <v>339</v>
      </c>
      <c r="O771" t="s">
        <v>135</v>
      </c>
      <c r="P771">
        <v>0</v>
      </c>
      <c r="Q771">
        <v>1</v>
      </c>
      <c r="R771">
        <v>0</v>
      </c>
      <c r="S771">
        <v>0</v>
      </c>
      <c r="T771">
        <v>2</v>
      </c>
      <c r="U771">
        <v>5</v>
      </c>
      <c r="V771">
        <v>9</v>
      </c>
      <c r="W771">
        <v>14</v>
      </c>
      <c r="X771">
        <v>13</v>
      </c>
      <c r="Y771">
        <v>9</v>
      </c>
      <c r="Z771">
        <v>4</v>
      </c>
      <c r="AA771">
        <v>3</v>
      </c>
      <c r="AB771">
        <v>1</v>
      </c>
      <c r="AC771">
        <v>0</v>
      </c>
      <c r="AD771">
        <v>12</v>
      </c>
      <c r="AE771">
        <v>17</v>
      </c>
      <c r="AF771">
        <v>6</v>
      </c>
      <c r="AG771">
        <v>10</v>
      </c>
      <c r="AH771">
        <v>-1</v>
      </c>
      <c r="AI771">
        <v>0</v>
      </c>
    </row>
    <row r="772" spans="1:35" hidden="1" x14ac:dyDescent="0.25">
      <c r="A772">
        <v>2022</v>
      </c>
      <c r="B772" s="1">
        <v>44674</v>
      </c>
      <c r="C772">
        <v>3</v>
      </c>
      <c r="D772">
        <v>22659</v>
      </c>
      <c r="E772">
        <v>42372</v>
      </c>
      <c r="F772" t="s">
        <v>69</v>
      </c>
      <c r="G772" t="s">
        <v>77</v>
      </c>
      <c r="H772" t="s">
        <v>379</v>
      </c>
      <c r="I772" t="s">
        <v>371</v>
      </c>
      <c r="J772">
        <v>20</v>
      </c>
      <c r="K772">
        <v>4</v>
      </c>
      <c r="L772">
        <v>26250000</v>
      </c>
      <c r="M772">
        <v>72500000</v>
      </c>
      <c r="N772" t="s">
        <v>339</v>
      </c>
      <c r="O772" t="s">
        <v>116</v>
      </c>
      <c r="P772">
        <v>1</v>
      </c>
      <c r="Q772">
        <v>0</v>
      </c>
      <c r="R772">
        <v>1</v>
      </c>
      <c r="S772">
        <v>0</v>
      </c>
      <c r="T772">
        <v>6</v>
      </c>
      <c r="U772">
        <v>5</v>
      </c>
      <c r="V772">
        <v>15</v>
      </c>
      <c r="W772">
        <v>10</v>
      </c>
      <c r="X772">
        <v>9</v>
      </c>
      <c r="Y772">
        <v>15</v>
      </c>
      <c r="Z772">
        <v>6</v>
      </c>
      <c r="AA772">
        <v>1</v>
      </c>
      <c r="AB772">
        <v>2</v>
      </c>
      <c r="AC772">
        <v>1</v>
      </c>
      <c r="AD772">
        <v>10</v>
      </c>
      <c r="AE772">
        <v>11</v>
      </c>
      <c r="AF772">
        <v>5</v>
      </c>
      <c r="AG772">
        <v>3</v>
      </c>
      <c r="AH772">
        <v>1</v>
      </c>
      <c r="AI772">
        <v>1</v>
      </c>
    </row>
    <row r="773" spans="1:35" hidden="1" x14ac:dyDescent="0.25">
      <c r="A773">
        <v>2022</v>
      </c>
      <c r="B773" s="1">
        <v>44689</v>
      </c>
      <c r="C773">
        <v>5</v>
      </c>
      <c r="D773">
        <v>22659</v>
      </c>
      <c r="E773">
        <v>42372</v>
      </c>
      <c r="F773" t="s">
        <v>69</v>
      </c>
      <c r="G773" t="s">
        <v>361</v>
      </c>
      <c r="H773" t="s">
        <v>325</v>
      </c>
      <c r="I773" t="s">
        <v>315</v>
      </c>
      <c r="J773">
        <v>16</v>
      </c>
      <c r="K773">
        <v>11</v>
      </c>
      <c r="L773">
        <v>27550000</v>
      </c>
      <c r="M773">
        <v>10950000</v>
      </c>
      <c r="N773" t="s">
        <v>60</v>
      </c>
      <c r="O773" t="s">
        <v>129</v>
      </c>
      <c r="P773">
        <v>1</v>
      </c>
      <c r="Q773">
        <v>0</v>
      </c>
      <c r="R773">
        <v>0</v>
      </c>
      <c r="S773">
        <v>0</v>
      </c>
      <c r="T773">
        <v>4</v>
      </c>
      <c r="U773">
        <v>9</v>
      </c>
      <c r="V773">
        <v>19</v>
      </c>
      <c r="W773">
        <v>8</v>
      </c>
      <c r="X773">
        <v>8</v>
      </c>
      <c r="Y773">
        <v>19</v>
      </c>
      <c r="Z773">
        <v>3</v>
      </c>
      <c r="AA773">
        <v>8</v>
      </c>
      <c r="AB773">
        <v>1</v>
      </c>
      <c r="AC773">
        <v>1</v>
      </c>
      <c r="AD773">
        <v>15</v>
      </c>
      <c r="AE773">
        <v>16</v>
      </c>
      <c r="AF773">
        <v>4</v>
      </c>
      <c r="AG773">
        <v>10</v>
      </c>
      <c r="AH773">
        <v>1</v>
      </c>
      <c r="AI773">
        <v>1</v>
      </c>
    </row>
    <row r="774" spans="1:35" hidden="1" x14ac:dyDescent="0.25">
      <c r="A774">
        <v>2022</v>
      </c>
      <c r="B774" s="1">
        <v>44704</v>
      </c>
      <c r="C774">
        <v>7</v>
      </c>
      <c r="D774">
        <v>15949</v>
      </c>
      <c r="E774">
        <v>42372</v>
      </c>
      <c r="F774" t="s">
        <v>69</v>
      </c>
      <c r="G774" t="s">
        <v>365</v>
      </c>
      <c r="H774" t="s">
        <v>336</v>
      </c>
      <c r="I774" t="s">
        <v>367</v>
      </c>
      <c r="J774">
        <v>16</v>
      </c>
      <c r="K774">
        <v>7</v>
      </c>
      <c r="L774">
        <v>32700000</v>
      </c>
      <c r="M774">
        <v>5700000</v>
      </c>
      <c r="N774" t="s">
        <v>278</v>
      </c>
      <c r="O774">
        <v>28</v>
      </c>
      <c r="P774">
        <v>2</v>
      </c>
      <c r="Q774">
        <v>1</v>
      </c>
      <c r="R774">
        <v>2</v>
      </c>
      <c r="S774">
        <v>0</v>
      </c>
      <c r="T774">
        <v>5</v>
      </c>
      <c r="U774">
        <v>4</v>
      </c>
      <c r="V774">
        <v>23</v>
      </c>
      <c r="W774">
        <v>17</v>
      </c>
      <c r="X774">
        <v>16</v>
      </c>
      <c r="Y774">
        <v>23</v>
      </c>
      <c r="Z774">
        <v>3</v>
      </c>
      <c r="AA774">
        <v>1</v>
      </c>
      <c r="AB774">
        <v>1</v>
      </c>
      <c r="AC774">
        <v>0</v>
      </c>
      <c r="AD774">
        <v>12</v>
      </c>
      <c r="AE774">
        <v>9</v>
      </c>
      <c r="AF774">
        <v>5</v>
      </c>
      <c r="AG774">
        <v>3</v>
      </c>
      <c r="AH774">
        <v>1</v>
      </c>
      <c r="AI774">
        <v>1</v>
      </c>
    </row>
    <row r="775" spans="1:35" hidden="1" x14ac:dyDescent="0.25">
      <c r="A775">
        <v>2022</v>
      </c>
      <c r="B775" s="1">
        <v>44737</v>
      </c>
      <c r="C775">
        <v>14</v>
      </c>
      <c r="D775">
        <v>16327</v>
      </c>
      <c r="E775">
        <v>42372</v>
      </c>
      <c r="F775" t="s">
        <v>69</v>
      </c>
      <c r="G775" t="s">
        <v>56</v>
      </c>
      <c r="H775" t="s">
        <v>336</v>
      </c>
      <c r="I775" t="s">
        <v>341</v>
      </c>
      <c r="J775">
        <v>3</v>
      </c>
      <c r="K775">
        <v>10</v>
      </c>
      <c r="L775">
        <v>17700000</v>
      </c>
      <c r="M775">
        <v>50700000</v>
      </c>
      <c r="N775" t="s">
        <v>382</v>
      </c>
      <c r="O775" t="s">
        <v>270</v>
      </c>
      <c r="P775">
        <v>4</v>
      </c>
      <c r="Q775">
        <v>2</v>
      </c>
      <c r="R775">
        <v>3</v>
      </c>
      <c r="S775">
        <v>0</v>
      </c>
      <c r="T775">
        <v>5</v>
      </c>
      <c r="U775">
        <v>10</v>
      </c>
      <c r="V775">
        <v>14</v>
      </c>
      <c r="W775">
        <v>11</v>
      </c>
      <c r="X775">
        <v>9</v>
      </c>
      <c r="Y775">
        <v>13</v>
      </c>
      <c r="Z775">
        <v>4</v>
      </c>
      <c r="AA775">
        <v>2</v>
      </c>
      <c r="AB775">
        <v>0</v>
      </c>
      <c r="AC775">
        <v>3</v>
      </c>
      <c r="AD775">
        <v>10</v>
      </c>
      <c r="AE775">
        <v>23</v>
      </c>
      <c r="AF775">
        <v>1</v>
      </c>
      <c r="AG775">
        <v>8</v>
      </c>
      <c r="AH775">
        <v>2</v>
      </c>
      <c r="AI775">
        <v>1</v>
      </c>
    </row>
    <row r="776" spans="1:35" hidden="1" x14ac:dyDescent="0.25">
      <c r="A776">
        <v>2022</v>
      </c>
      <c r="B776" s="1">
        <v>44758</v>
      </c>
      <c r="C776">
        <v>17</v>
      </c>
      <c r="D776">
        <v>21402</v>
      </c>
      <c r="E776">
        <v>42372</v>
      </c>
      <c r="F776" t="s">
        <v>69</v>
      </c>
      <c r="G776" t="s">
        <v>37</v>
      </c>
      <c r="H776" t="s">
        <v>336</v>
      </c>
      <c r="I776" t="s">
        <v>240</v>
      </c>
      <c r="J776">
        <v>6</v>
      </c>
      <c r="K776">
        <v>3</v>
      </c>
      <c r="L776">
        <v>28200000</v>
      </c>
      <c r="M776">
        <v>25600000</v>
      </c>
      <c r="N776" t="s">
        <v>339</v>
      </c>
      <c r="O776" t="s">
        <v>122</v>
      </c>
      <c r="P776">
        <v>0</v>
      </c>
      <c r="Q776">
        <v>0</v>
      </c>
      <c r="R776">
        <v>0</v>
      </c>
      <c r="S776">
        <v>0</v>
      </c>
      <c r="T776">
        <v>5</v>
      </c>
      <c r="U776">
        <v>5</v>
      </c>
      <c r="V776">
        <v>7</v>
      </c>
      <c r="W776">
        <v>13</v>
      </c>
      <c r="X776">
        <v>12</v>
      </c>
      <c r="Y776">
        <v>6</v>
      </c>
      <c r="Z776">
        <v>3</v>
      </c>
      <c r="AA776">
        <v>5</v>
      </c>
      <c r="AB776">
        <v>4</v>
      </c>
      <c r="AC776">
        <v>2</v>
      </c>
      <c r="AD776">
        <v>17</v>
      </c>
      <c r="AE776">
        <v>17</v>
      </c>
      <c r="AF776">
        <v>8</v>
      </c>
      <c r="AG776">
        <v>10</v>
      </c>
      <c r="AH776">
        <v>0</v>
      </c>
      <c r="AI776">
        <v>0</v>
      </c>
    </row>
    <row r="777" spans="1:35" hidden="1" x14ac:dyDescent="0.25">
      <c r="A777">
        <v>2022</v>
      </c>
      <c r="B777" s="1">
        <v>44763</v>
      </c>
      <c r="C777">
        <v>18</v>
      </c>
      <c r="D777">
        <v>22426</v>
      </c>
      <c r="E777">
        <v>42372</v>
      </c>
      <c r="F777" t="s">
        <v>69</v>
      </c>
      <c r="G777" t="s">
        <v>76</v>
      </c>
      <c r="J777">
        <v>6</v>
      </c>
      <c r="K777">
        <v>18</v>
      </c>
      <c r="L777">
        <v>28200000</v>
      </c>
      <c r="M777">
        <v>7000000</v>
      </c>
      <c r="N777" t="s">
        <v>339</v>
      </c>
      <c r="O777" t="s">
        <v>41</v>
      </c>
      <c r="P777">
        <v>4</v>
      </c>
      <c r="Q777">
        <v>1</v>
      </c>
      <c r="R777">
        <v>2</v>
      </c>
      <c r="S777">
        <v>0</v>
      </c>
      <c r="T777">
        <v>3</v>
      </c>
      <c r="U777">
        <v>2</v>
      </c>
      <c r="V777">
        <v>15</v>
      </c>
      <c r="W777">
        <v>8</v>
      </c>
      <c r="X777">
        <v>8</v>
      </c>
      <c r="Y777">
        <v>14</v>
      </c>
      <c r="Z777">
        <v>3</v>
      </c>
      <c r="AA777">
        <v>5</v>
      </c>
      <c r="AB777">
        <v>2</v>
      </c>
      <c r="AC777">
        <v>1</v>
      </c>
      <c r="AD777">
        <v>15</v>
      </c>
      <c r="AE777">
        <v>15</v>
      </c>
      <c r="AF777">
        <v>4</v>
      </c>
      <c r="AG777">
        <v>9</v>
      </c>
      <c r="AH777">
        <v>3</v>
      </c>
      <c r="AI777">
        <v>1</v>
      </c>
    </row>
    <row r="778" spans="1:35" hidden="1" x14ac:dyDescent="0.25">
      <c r="A778">
        <v>2022</v>
      </c>
      <c r="B778" s="1">
        <v>44773</v>
      </c>
      <c r="C778">
        <v>20</v>
      </c>
      <c r="D778">
        <v>26492</v>
      </c>
      <c r="E778">
        <v>42372</v>
      </c>
      <c r="F778" t="s">
        <v>69</v>
      </c>
      <c r="G778" t="s">
        <v>62</v>
      </c>
      <c r="H778" t="s">
        <v>336</v>
      </c>
      <c r="I778" t="s">
        <v>40</v>
      </c>
      <c r="J778">
        <v>5</v>
      </c>
      <c r="K778">
        <v>10</v>
      </c>
      <c r="L778">
        <v>23050000</v>
      </c>
      <c r="M778">
        <v>23400000</v>
      </c>
      <c r="N778" t="s">
        <v>228</v>
      </c>
      <c r="O778" t="s">
        <v>99</v>
      </c>
      <c r="P778">
        <v>1</v>
      </c>
      <c r="Q778">
        <v>0</v>
      </c>
      <c r="R778">
        <v>0</v>
      </c>
      <c r="S778">
        <v>0</v>
      </c>
      <c r="T778">
        <v>6</v>
      </c>
      <c r="U778">
        <v>5</v>
      </c>
      <c r="V778">
        <v>15</v>
      </c>
      <c r="W778">
        <v>13</v>
      </c>
      <c r="X778">
        <v>11</v>
      </c>
      <c r="Y778">
        <v>14</v>
      </c>
      <c r="Z778">
        <v>2</v>
      </c>
      <c r="AA778">
        <v>3</v>
      </c>
      <c r="AB778">
        <v>1</v>
      </c>
      <c r="AC778">
        <v>1</v>
      </c>
      <c r="AD778">
        <v>10</v>
      </c>
      <c r="AE778">
        <v>12</v>
      </c>
      <c r="AF778">
        <v>3</v>
      </c>
      <c r="AG778">
        <v>6</v>
      </c>
      <c r="AH778">
        <v>1</v>
      </c>
      <c r="AI778">
        <v>1</v>
      </c>
    </row>
    <row r="779" spans="1:35" hidden="1" x14ac:dyDescent="0.25">
      <c r="A779">
        <v>2022</v>
      </c>
      <c r="B779" s="1">
        <v>44794</v>
      </c>
      <c r="C779">
        <v>23</v>
      </c>
      <c r="D779">
        <v>15023</v>
      </c>
      <c r="E779">
        <v>42372</v>
      </c>
      <c r="F779" t="s">
        <v>69</v>
      </c>
      <c r="G779" t="s">
        <v>310</v>
      </c>
      <c r="H779" t="s">
        <v>336</v>
      </c>
      <c r="I779" t="s">
        <v>312</v>
      </c>
      <c r="J779">
        <v>5</v>
      </c>
      <c r="K779">
        <v>8</v>
      </c>
      <c r="L779">
        <v>36400000</v>
      </c>
      <c r="M779">
        <v>8100000</v>
      </c>
      <c r="N779">
        <v>27</v>
      </c>
      <c r="O779" t="s">
        <v>109</v>
      </c>
      <c r="P779">
        <v>1</v>
      </c>
      <c r="Q779">
        <v>1</v>
      </c>
      <c r="R779">
        <v>1</v>
      </c>
      <c r="S779">
        <v>0</v>
      </c>
      <c r="T779">
        <v>2</v>
      </c>
      <c r="U779">
        <v>7</v>
      </c>
      <c r="V779">
        <v>10</v>
      </c>
      <c r="W779">
        <v>10</v>
      </c>
      <c r="X779">
        <v>9</v>
      </c>
      <c r="Y779">
        <v>9</v>
      </c>
      <c r="Z779">
        <v>2</v>
      </c>
      <c r="AA779">
        <v>9</v>
      </c>
      <c r="AB779">
        <v>2</v>
      </c>
      <c r="AC779">
        <v>2</v>
      </c>
      <c r="AD779">
        <v>18</v>
      </c>
      <c r="AE779">
        <v>12</v>
      </c>
      <c r="AF779">
        <v>8</v>
      </c>
      <c r="AG779">
        <v>8</v>
      </c>
      <c r="AH779">
        <v>0</v>
      </c>
      <c r="AI779">
        <v>0</v>
      </c>
    </row>
    <row r="780" spans="1:35" hidden="1" x14ac:dyDescent="0.25">
      <c r="A780">
        <v>2022</v>
      </c>
      <c r="B780" s="1">
        <v>44808</v>
      </c>
      <c r="C780">
        <v>25</v>
      </c>
      <c r="D780">
        <v>14037</v>
      </c>
      <c r="E780">
        <v>42372</v>
      </c>
      <c r="F780" t="s">
        <v>69</v>
      </c>
      <c r="G780" t="s">
        <v>55</v>
      </c>
      <c r="H780" t="s">
        <v>336</v>
      </c>
      <c r="I780" t="s">
        <v>57</v>
      </c>
      <c r="J780">
        <v>6</v>
      </c>
      <c r="K780">
        <v>3</v>
      </c>
      <c r="L780">
        <v>15450000</v>
      </c>
      <c r="M780">
        <v>26600000</v>
      </c>
      <c r="N780" t="s">
        <v>270</v>
      </c>
      <c r="O780" t="s">
        <v>296</v>
      </c>
      <c r="P780">
        <v>1</v>
      </c>
      <c r="Q780">
        <v>0</v>
      </c>
      <c r="R780">
        <v>1</v>
      </c>
      <c r="S780">
        <v>0</v>
      </c>
      <c r="T780">
        <v>6</v>
      </c>
      <c r="U780">
        <v>3</v>
      </c>
      <c r="V780">
        <v>15</v>
      </c>
      <c r="W780">
        <v>7</v>
      </c>
      <c r="X780">
        <v>7</v>
      </c>
      <c r="Y780">
        <v>15</v>
      </c>
      <c r="Z780">
        <v>3</v>
      </c>
      <c r="AA780">
        <v>1</v>
      </c>
      <c r="AB780">
        <v>1</v>
      </c>
      <c r="AC780">
        <v>0</v>
      </c>
      <c r="AD780">
        <v>7</v>
      </c>
      <c r="AE780">
        <v>12</v>
      </c>
      <c r="AF780">
        <v>4</v>
      </c>
      <c r="AG780">
        <v>7</v>
      </c>
      <c r="AH780">
        <v>1</v>
      </c>
      <c r="AI780">
        <v>1</v>
      </c>
    </row>
    <row r="781" spans="1:35" hidden="1" x14ac:dyDescent="0.25">
      <c r="A781">
        <v>2022</v>
      </c>
      <c r="B781" s="1">
        <v>44836</v>
      </c>
      <c r="C781">
        <v>29</v>
      </c>
      <c r="D781">
        <v>14403</v>
      </c>
      <c r="E781">
        <v>42372</v>
      </c>
      <c r="F781" t="s">
        <v>69</v>
      </c>
      <c r="G781" t="s">
        <v>44</v>
      </c>
      <c r="H781" t="s">
        <v>336</v>
      </c>
      <c r="I781" t="s">
        <v>238</v>
      </c>
      <c r="J781">
        <v>6</v>
      </c>
      <c r="K781">
        <v>20</v>
      </c>
      <c r="L781">
        <v>31650000</v>
      </c>
      <c r="M781">
        <v>5980000</v>
      </c>
      <c r="N781" t="s">
        <v>233</v>
      </c>
      <c r="O781" t="s">
        <v>99</v>
      </c>
      <c r="P781">
        <v>2</v>
      </c>
      <c r="Q781">
        <v>0</v>
      </c>
      <c r="R781">
        <v>1</v>
      </c>
      <c r="S781">
        <v>0</v>
      </c>
      <c r="T781">
        <v>11</v>
      </c>
      <c r="U781">
        <v>2</v>
      </c>
      <c r="V781">
        <v>12</v>
      </c>
      <c r="W781">
        <v>11</v>
      </c>
      <c r="X781">
        <v>10</v>
      </c>
      <c r="Y781">
        <v>11</v>
      </c>
      <c r="Z781">
        <v>1</v>
      </c>
      <c r="AA781">
        <v>4</v>
      </c>
      <c r="AB781">
        <v>0</v>
      </c>
      <c r="AC781">
        <v>0</v>
      </c>
      <c r="AD781">
        <v>17</v>
      </c>
      <c r="AE781">
        <v>6</v>
      </c>
      <c r="AF781">
        <v>7</v>
      </c>
      <c r="AG781">
        <v>2</v>
      </c>
      <c r="AH781">
        <v>2</v>
      </c>
      <c r="AI781">
        <v>1</v>
      </c>
    </row>
    <row r="782" spans="1:35" hidden="1" x14ac:dyDescent="0.25">
      <c r="A782">
        <v>2022</v>
      </c>
      <c r="B782" s="1">
        <v>44850</v>
      </c>
      <c r="C782">
        <v>32</v>
      </c>
      <c r="D782">
        <v>29599</v>
      </c>
      <c r="E782">
        <v>42372</v>
      </c>
      <c r="F782" t="s">
        <v>69</v>
      </c>
      <c r="G782" t="s">
        <v>321</v>
      </c>
      <c r="H782" t="s">
        <v>336</v>
      </c>
      <c r="I782" t="s">
        <v>340</v>
      </c>
      <c r="J782">
        <v>6</v>
      </c>
      <c r="K782">
        <v>15</v>
      </c>
      <c r="L782">
        <v>37400000</v>
      </c>
      <c r="M782">
        <v>14100000</v>
      </c>
      <c r="N782" t="s">
        <v>116</v>
      </c>
      <c r="O782" t="s">
        <v>149</v>
      </c>
      <c r="P782">
        <v>1</v>
      </c>
      <c r="Q782">
        <v>0</v>
      </c>
      <c r="R782">
        <v>0</v>
      </c>
      <c r="S782">
        <v>0</v>
      </c>
      <c r="T782">
        <v>10</v>
      </c>
      <c r="U782">
        <v>4</v>
      </c>
      <c r="V782">
        <v>21</v>
      </c>
      <c r="W782">
        <v>11</v>
      </c>
      <c r="X782">
        <v>10</v>
      </c>
      <c r="Y782">
        <v>18</v>
      </c>
      <c r="Z782">
        <v>4</v>
      </c>
      <c r="AA782">
        <v>6</v>
      </c>
      <c r="AB782">
        <v>3</v>
      </c>
      <c r="AC782">
        <v>0</v>
      </c>
      <c r="AD782">
        <v>15</v>
      </c>
      <c r="AE782">
        <v>15</v>
      </c>
      <c r="AF782">
        <v>3</v>
      </c>
      <c r="AG782">
        <v>6</v>
      </c>
      <c r="AH782">
        <v>1</v>
      </c>
      <c r="AI782">
        <v>1</v>
      </c>
    </row>
    <row r="783" spans="1:35" hidden="1" x14ac:dyDescent="0.25">
      <c r="A783">
        <v>2022</v>
      </c>
      <c r="B783" s="1">
        <v>44860</v>
      </c>
      <c r="C783">
        <v>34</v>
      </c>
      <c r="D783">
        <v>20502</v>
      </c>
      <c r="E783">
        <v>42372</v>
      </c>
      <c r="F783" t="s">
        <v>69</v>
      </c>
      <c r="G783" t="s">
        <v>95</v>
      </c>
      <c r="H783" t="s">
        <v>336</v>
      </c>
      <c r="I783" t="s">
        <v>97</v>
      </c>
      <c r="J783">
        <v>6</v>
      </c>
      <c r="K783">
        <v>1</v>
      </c>
      <c r="L783">
        <v>17750000</v>
      </c>
      <c r="M783">
        <v>84500000</v>
      </c>
      <c r="N783" t="s">
        <v>348</v>
      </c>
      <c r="O783" t="s">
        <v>100</v>
      </c>
      <c r="P783">
        <v>1</v>
      </c>
      <c r="Q783">
        <v>3</v>
      </c>
      <c r="R783">
        <v>1</v>
      </c>
      <c r="S783">
        <v>0</v>
      </c>
      <c r="T783">
        <v>0</v>
      </c>
      <c r="U783">
        <v>9</v>
      </c>
      <c r="V783">
        <v>7</v>
      </c>
      <c r="W783">
        <v>10</v>
      </c>
      <c r="X783">
        <v>7</v>
      </c>
      <c r="Y783">
        <v>6</v>
      </c>
      <c r="Z783">
        <v>2</v>
      </c>
      <c r="AA783">
        <v>0</v>
      </c>
      <c r="AB783">
        <v>0</v>
      </c>
      <c r="AC783">
        <v>2</v>
      </c>
      <c r="AD783">
        <v>11</v>
      </c>
      <c r="AE783">
        <v>17</v>
      </c>
      <c r="AF783">
        <v>5</v>
      </c>
      <c r="AG783">
        <v>7</v>
      </c>
      <c r="AH783">
        <v>-2</v>
      </c>
      <c r="AI783">
        <v>0</v>
      </c>
    </row>
    <row r="784" spans="1:35" hidden="1" x14ac:dyDescent="0.25">
      <c r="A784">
        <v>2022</v>
      </c>
      <c r="B784" s="1">
        <v>44878</v>
      </c>
      <c r="C784">
        <v>38</v>
      </c>
      <c r="D784">
        <v>20194</v>
      </c>
      <c r="E784">
        <v>42372</v>
      </c>
      <c r="F784" t="s">
        <v>69</v>
      </c>
      <c r="G784" t="s">
        <v>51</v>
      </c>
      <c r="H784" t="s">
        <v>336</v>
      </c>
      <c r="I784" t="s">
        <v>311</v>
      </c>
      <c r="J784">
        <v>6</v>
      </c>
      <c r="K784">
        <v>8</v>
      </c>
      <c r="L784">
        <v>41400000</v>
      </c>
      <c r="M784">
        <v>28100000</v>
      </c>
      <c r="N784">
        <v>26</v>
      </c>
      <c r="O784">
        <v>28</v>
      </c>
      <c r="P784">
        <v>3</v>
      </c>
      <c r="Q784">
        <v>0</v>
      </c>
      <c r="R784">
        <v>0</v>
      </c>
      <c r="S784">
        <v>0</v>
      </c>
      <c r="T784">
        <v>6</v>
      </c>
      <c r="U784">
        <v>3</v>
      </c>
      <c r="V784">
        <v>19</v>
      </c>
      <c r="W784">
        <v>13</v>
      </c>
      <c r="X784">
        <v>12</v>
      </c>
      <c r="Y784">
        <v>19</v>
      </c>
      <c r="Z784">
        <v>4</v>
      </c>
      <c r="AA784">
        <v>8</v>
      </c>
      <c r="AB784">
        <v>2</v>
      </c>
      <c r="AC784">
        <v>0</v>
      </c>
      <c r="AD784">
        <v>25</v>
      </c>
      <c r="AE784">
        <v>9</v>
      </c>
      <c r="AF784">
        <v>9</v>
      </c>
      <c r="AG784">
        <v>3</v>
      </c>
      <c r="AH784">
        <v>3</v>
      </c>
      <c r="AI784">
        <v>1</v>
      </c>
    </row>
    <row r="785" spans="1:35" hidden="1" x14ac:dyDescent="0.25">
      <c r="A785">
        <v>2022</v>
      </c>
      <c r="B785" s="1">
        <v>44675</v>
      </c>
      <c r="C785">
        <v>3</v>
      </c>
      <c r="D785">
        <v>4427</v>
      </c>
      <c r="E785">
        <v>13000</v>
      </c>
      <c r="F785" t="s">
        <v>76</v>
      </c>
      <c r="G785" t="s">
        <v>51</v>
      </c>
      <c r="H785" t="s">
        <v>238</v>
      </c>
      <c r="I785" t="s">
        <v>311</v>
      </c>
      <c r="J785">
        <v>18</v>
      </c>
      <c r="K785">
        <v>10</v>
      </c>
      <c r="L785">
        <v>8550000</v>
      </c>
      <c r="M785">
        <v>19980000</v>
      </c>
      <c r="N785" t="s">
        <v>163</v>
      </c>
      <c r="O785" t="s">
        <v>104</v>
      </c>
      <c r="P785">
        <v>1</v>
      </c>
      <c r="Q785">
        <v>1</v>
      </c>
      <c r="R785">
        <v>0</v>
      </c>
      <c r="S785">
        <v>0</v>
      </c>
      <c r="T785">
        <v>2</v>
      </c>
      <c r="U785">
        <v>7</v>
      </c>
      <c r="V785">
        <v>11</v>
      </c>
      <c r="W785">
        <v>5</v>
      </c>
      <c r="X785">
        <v>5</v>
      </c>
      <c r="Y785">
        <v>11</v>
      </c>
      <c r="Z785">
        <v>2</v>
      </c>
      <c r="AA785">
        <v>1</v>
      </c>
      <c r="AB785">
        <v>2</v>
      </c>
      <c r="AC785">
        <v>2</v>
      </c>
      <c r="AD785">
        <v>9</v>
      </c>
      <c r="AE785">
        <v>17</v>
      </c>
      <c r="AF785">
        <v>7</v>
      </c>
      <c r="AG785">
        <v>4</v>
      </c>
      <c r="AH785">
        <v>0</v>
      </c>
      <c r="AI785">
        <v>0</v>
      </c>
    </row>
    <row r="786" spans="1:35" hidden="1" x14ac:dyDescent="0.25">
      <c r="A786">
        <v>2022</v>
      </c>
      <c r="B786" s="1">
        <v>44702</v>
      </c>
      <c r="C786">
        <v>7</v>
      </c>
      <c r="D786">
        <v>4676</v>
      </c>
      <c r="E786">
        <v>13000</v>
      </c>
      <c r="F786" t="s">
        <v>76</v>
      </c>
      <c r="G786" t="s">
        <v>321</v>
      </c>
      <c r="J786">
        <v>19</v>
      </c>
      <c r="K786">
        <v>6</v>
      </c>
      <c r="L786">
        <v>7950000</v>
      </c>
      <c r="M786">
        <v>7800000</v>
      </c>
      <c r="N786" t="s">
        <v>98</v>
      </c>
      <c r="O786" t="s">
        <v>309</v>
      </c>
      <c r="P786">
        <v>2</v>
      </c>
      <c r="Q786">
        <v>0</v>
      </c>
      <c r="R786">
        <v>1</v>
      </c>
      <c r="S786">
        <v>0</v>
      </c>
      <c r="T786">
        <v>3</v>
      </c>
      <c r="U786">
        <v>5</v>
      </c>
      <c r="V786">
        <v>14</v>
      </c>
      <c r="W786">
        <v>13</v>
      </c>
      <c r="X786">
        <v>13</v>
      </c>
      <c r="Y786">
        <v>14</v>
      </c>
      <c r="Z786">
        <v>6</v>
      </c>
      <c r="AA786">
        <v>1</v>
      </c>
      <c r="AB786">
        <v>1</v>
      </c>
      <c r="AC786">
        <v>1</v>
      </c>
      <c r="AD786">
        <v>17</v>
      </c>
      <c r="AE786">
        <v>14</v>
      </c>
      <c r="AF786">
        <v>7</v>
      </c>
      <c r="AG786">
        <v>6</v>
      </c>
      <c r="AH786">
        <v>2</v>
      </c>
      <c r="AI786">
        <v>1</v>
      </c>
    </row>
    <row r="787" spans="1:35" hidden="1" x14ac:dyDescent="0.25">
      <c r="A787">
        <v>2022</v>
      </c>
      <c r="B787" s="1">
        <v>44759</v>
      </c>
      <c r="C787">
        <v>17</v>
      </c>
      <c r="D787">
        <v>7262</v>
      </c>
      <c r="E787">
        <v>13000</v>
      </c>
      <c r="F787" t="s">
        <v>76</v>
      </c>
      <c r="G787" t="s">
        <v>63</v>
      </c>
      <c r="J787">
        <v>18</v>
      </c>
      <c r="K787">
        <v>20</v>
      </c>
      <c r="L787">
        <v>7850000</v>
      </c>
      <c r="M787">
        <v>12600000</v>
      </c>
      <c r="N787">
        <v>28</v>
      </c>
      <c r="O787" t="s">
        <v>129</v>
      </c>
      <c r="P787">
        <v>0</v>
      </c>
      <c r="Q787">
        <v>1</v>
      </c>
      <c r="R787">
        <v>0</v>
      </c>
      <c r="S787">
        <v>0</v>
      </c>
      <c r="T787">
        <v>5</v>
      </c>
      <c r="U787">
        <v>6</v>
      </c>
      <c r="V787">
        <v>7</v>
      </c>
      <c r="W787">
        <v>9</v>
      </c>
      <c r="X787">
        <v>8</v>
      </c>
      <c r="Y787">
        <v>7</v>
      </c>
      <c r="Z787">
        <v>4</v>
      </c>
      <c r="AA787">
        <v>3</v>
      </c>
      <c r="AB787">
        <v>1</v>
      </c>
      <c r="AC787">
        <v>0</v>
      </c>
      <c r="AD787">
        <v>15</v>
      </c>
      <c r="AE787">
        <v>9</v>
      </c>
      <c r="AF787">
        <v>9</v>
      </c>
      <c r="AG787">
        <v>2</v>
      </c>
      <c r="AH787">
        <v>-1</v>
      </c>
      <c r="AI787">
        <v>0</v>
      </c>
    </row>
    <row r="788" spans="1:35" hidden="1" x14ac:dyDescent="0.25">
      <c r="A788">
        <v>2022</v>
      </c>
      <c r="B788" s="1">
        <v>44794</v>
      </c>
      <c r="C788">
        <v>23</v>
      </c>
      <c r="D788">
        <v>4578</v>
      </c>
      <c r="E788">
        <v>13000</v>
      </c>
      <c r="F788" t="s">
        <v>76</v>
      </c>
      <c r="G788" t="s">
        <v>70</v>
      </c>
      <c r="J788">
        <v>19</v>
      </c>
      <c r="K788">
        <v>16</v>
      </c>
      <c r="L788">
        <v>7000000</v>
      </c>
      <c r="M788">
        <v>13650000</v>
      </c>
      <c r="N788" t="s">
        <v>135</v>
      </c>
      <c r="O788" t="s">
        <v>168</v>
      </c>
      <c r="P788">
        <v>1</v>
      </c>
      <c r="Q788">
        <v>1</v>
      </c>
      <c r="R788">
        <v>1</v>
      </c>
      <c r="S788">
        <v>0</v>
      </c>
      <c r="T788">
        <v>3</v>
      </c>
      <c r="U788">
        <v>17</v>
      </c>
      <c r="V788">
        <v>14</v>
      </c>
      <c r="W788">
        <v>8</v>
      </c>
      <c r="X788">
        <v>8</v>
      </c>
      <c r="Y788">
        <v>14</v>
      </c>
      <c r="Z788">
        <v>7</v>
      </c>
      <c r="AA788">
        <v>1</v>
      </c>
      <c r="AB788">
        <v>1</v>
      </c>
      <c r="AC788">
        <v>4</v>
      </c>
      <c r="AD788">
        <v>7</v>
      </c>
      <c r="AE788">
        <v>23</v>
      </c>
      <c r="AF788">
        <v>3</v>
      </c>
      <c r="AG788">
        <v>8</v>
      </c>
      <c r="AH788">
        <v>0</v>
      </c>
      <c r="AI788">
        <v>0</v>
      </c>
    </row>
    <row r="789" spans="1:35" hidden="1" x14ac:dyDescent="0.25">
      <c r="A789">
        <v>2022</v>
      </c>
      <c r="B789" s="1">
        <v>44844</v>
      </c>
      <c r="C789">
        <v>31</v>
      </c>
      <c r="D789">
        <v>12089</v>
      </c>
      <c r="E789">
        <v>13000</v>
      </c>
      <c r="F789" t="s">
        <v>76</v>
      </c>
      <c r="G789" t="s">
        <v>95</v>
      </c>
      <c r="H789" t="s">
        <v>375</v>
      </c>
      <c r="I789" t="s">
        <v>97</v>
      </c>
      <c r="J789">
        <v>18</v>
      </c>
      <c r="K789">
        <v>1</v>
      </c>
      <c r="L789">
        <v>8200000</v>
      </c>
      <c r="M789">
        <v>84500000</v>
      </c>
      <c r="N789" t="s">
        <v>107</v>
      </c>
      <c r="O789" t="s">
        <v>100</v>
      </c>
      <c r="P789">
        <v>1</v>
      </c>
      <c r="Q789">
        <v>1</v>
      </c>
      <c r="R789">
        <v>0</v>
      </c>
      <c r="S789">
        <v>0</v>
      </c>
      <c r="T789">
        <v>4</v>
      </c>
      <c r="U789">
        <v>9</v>
      </c>
      <c r="V789">
        <v>15</v>
      </c>
      <c r="W789">
        <v>8</v>
      </c>
      <c r="X789">
        <v>8</v>
      </c>
      <c r="Y789">
        <v>14</v>
      </c>
      <c r="Z789">
        <v>5</v>
      </c>
      <c r="AA789">
        <v>1</v>
      </c>
      <c r="AB789">
        <v>1</v>
      </c>
      <c r="AC789">
        <v>1</v>
      </c>
      <c r="AD789">
        <v>10</v>
      </c>
      <c r="AE789">
        <v>17</v>
      </c>
      <c r="AF789">
        <v>5</v>
      </c>
      <c r="AG789">
        <v>6</v>
      </c>
      <c r="AH789">
        <v>0</v>
      </c>
      <c r="AI789">
        <v>0</v>
      </c>
    </row>
    <row r="790" spans="1:35" hidden="1" x14ac:dyDescent="0.25">
      <c r="A790">
        <v>2022</v>
      </c>
      <c r="B790" s="1">
        <v>44857</v>
      </c>
      <c r="C790">
        <v>33</v>
      </c>
      <c r="D790">
        <v>10166</v>
      </c>
      <c r="E790">
        <v>13000</v>
      </c>
      <c r="F790" t="s">
        <v>76</v>
      </c>
      <c r="G790" t="s">
        <v>361</v>
      </c>
      <c r="H790" t="s">
        <v>375</v>
      </c>
      <c r="I790" t="s">
        <v>241</v>
      </c>
      <c r="J790">
        <v>18</v>
      </c>
      <c r="K790">
        <v>16</v>
      </c>
      <c r="L790">
        <v>7150000</v>
      </c>
      <c r="M790">
        <v>9450000</v>
      </c>
      <c r="N790" t="s">
        <v>98</v>
      </c>
      <c r="O790" t="s">
        <v>59</v>
      </c>
      <c r="P790">
        <v>1</v>
      </c>
      <c r="Q790">
        <v>0</v>
      </c>
      <c r="R790">
        <v>1</v>
      </c>
      <c r="S790">
        <v>0</v>
      </c>
      <c r="T790">
        <v>4</v>
      </c>
      <c r="U790">
        <v>5</v>
      </c>
      <c r="V790">
        <v>20</v>
      </c>
      <c r="W790">
        <v>13</v>
      </c>
      <c r="X790">
        <v>12</v>
      </c>
      <c r="Y790">
        <v>20</v>
      </c>
      <c r="Z790">
        <v>2</v>
      </c>
      <c r="AA790">
        <v>4</v>
      </c>
      <c r="AB790">
        <v>1</v>
      </c>
      <c r="AC790">
        <v>3</v>
      </c>
      <c r="AD790">
        <v>12</v>
      </c>
      <c r="AE790">
        <v>12</v>
      </c>
      <c r="AF790">
        <v>2</v>
      </c>
      <c r="AG790">
        <v>9</v>
      </c>
      <c r="AH790">
        <v>1</v>
      </c>
      <c r="AI790">
        <v>1</v>
      </c>
    </row>
    <row r="791" spans="1:35" hidden="1" x14ac:dyDescent="0.25">
      <c r="A791">
        <v>2022</v>
      </c>
      <c r="B791" s="1">
        <v>44875</v>
      </c>
      <c r="C791">
        <v>37</v>
      </c>
      <c r="D791">
        <v>4185</v>
      </c>
      <c r="E791">
        <v>13000</v>
      </c>
      <c r="F791" t="s">
        <v>76</v>
      </c>
      <c r="G791" t="s">
        <v>69</v>
      </c>
      <c r="H791" t="s">
        <v>375</v>
      </c>
      <c r="I791" t="s">
        <v>336</v>
      </c>
      <c r="J791">
        <v>17</v>
      </c>
      <c r="K791">
        <v>6</v>
      </c>
      <c r="L791">
        <v>8300000</v>
      </c>
      <c r="M791">
        <v>37000000</v>
      </c>
      <c r="N791" t="s">
        <v>117</v>
      </c>
      <c r="O791">
        <v>26</v>
      </c>
      <c r="P791">
        <v>1</v>
      </c>
      <c r="Q791">
        <v>1</v>
      </c>
      <c r="R791">
        <v>0</v>
      </c>
      <c r="S791">
        <v>0</v>
      </c>
      <c r="T791">
        <v>7</v>
      </c>
      <c r="U791">
        <v>4</v>
      </c>
      <c r="V791">
        <v>8</v>
      </c>
      <c r="W791">
        <v>12</v>
      </c>
      <c r="X791">
        <v>10</v>
      </c>
      <c r="Y791">
        <v>8</v>
      </c>
      <c r="Z791">
        <v>3</v>
      </c>
      <c r="AA791">
        <v>6</v>
      </c>
      <c r="AB791">
        <v>1</v>
      </c>
      <c r="AC791">
        <v>0</v>
      </c>
      <c r="AD791">
        <v>26</v>
      </c>
      <c r="AE791">
        <v>12</v>
      </c>
      <c r="AF791">
        <v>11</v>
      </c>
      <c r="AG791">
        <v>6</v>
      </c>
      <c r="AH791">
        <v>0</v>
      </c>
      <c r="AI791">
        <v>0</v>
      </c>
    </row>
    <row r="792" spans="1:35" hidden="1" x14ac:dyDescent="0.25">
      <c r="A792">
        <v>2022</v>
      </c>
      <c r="B792" s="1">
        <v>44661</v>
      </c>
      <c r="C792">
        <v>1</v>
      </c>
      <c r="D792">
        <v>37531</v>
      </c>
      <c r="E792">
        <v>57018</v>
      </c>
      <c r="F792" t="s">
        <v>89</v>
      </c>
      <c r="G792" t="s">
        <v>37</v>
      </c>
      <c r="H792" t="s">
        <v>370</v>
      </c>
      <c r="I792" t="s">
        <v>383</v>
      </c>
      <c r="J792">
        <v>4</v>
      </c>
      <c r="K792">
        <v>18</v>
      </c>
      <c r="L792">
        <v>63000000</v>
      </c>
      <c r="M792">
        <v>39000000</v>
      </c>
      <c r="N792" t="s">
        <v>129</v>
      </c>
      <c r="O792" t="s">
        <v>117</v>
      </c>
      <c r="P792">
        <v>2</v>
      </c>
      <c r="Q792">
        <v>0</v>
      </c>
      <c r="R792">
        <v>1</v>
      </c>
      <c r="S792">
        <v>0</v>
      </c>
      <c r="T792">
        <v>3</v>
      </c>
      <c r="U792">
        <v>3</v>
      </c>
      <c r="V792">
        <v>12</v>
      </c>
      <c r="W792">
        <v>18</v>
      </c>
      <c r="X792">
        <v>16</v>
      </c>
      <c r="Y792">
        <v>12</v>
      </c>
      <c r="Z792">
        <v>1</v>
      </c>
      <c r="AA792">
        <v>3</v>
      </c>
      <c r="AB792">
        <v>2</v>
      </c>
      <c r="AC792">
        <v>0</v>
      </c>
      <c r="AD792">
        <v>15</v>
      </c>
      <c r="AE792">
        <v>6</v>
      </c>
      <c r="AF792">
        <v>8</v>
      </c>
      <c r="AG792">
        <v>4</v>
      </c>
      <c r="AH792">
        <v>2</v>
      </c>
      <c r="AI792">
        <v>1</v>
      </c>
    </row>
    <row r="793" spans="1:35" hidden="1" x14ac:dyDescent="0.25">
      <c r="A793">
        <v>2022</v>
      </c>
      <c r="B793" s="1">
        <v>44675</v>
      </c>
      <c r="C793">
        <v>3</v>
      </c>
      <c r="D793">
        <v>19974</v>
      </c>
      <c r="E793">
        <v>23018</v>
      </c>
      <c r="F793" t="s">
        <v>89</v>
      </c>
      <c r="G793" t="s">
        <v>321</v>
      </c>
      <c r="H793" t="s">
        <v>370</v>
      </c>
      <c r="I793" t="s">
        <v>358</v>
      </c>
      <c r="J793">
        <v>2</v>
      </c>
      <c r="K793">
        <v>8</v>
      </c>
      <c r="L793">
        <v>42400000</v>
      </c>
      <c r="M793">
        <v>6950000</v>
      </c>
      <c r="N793" t="s">
        <v>142</v>
      </c>
      <c r="O793" t="s">
        <v>98</v>
      </c>
      <c r="P793">
        <v>2</v>
      </c>
      <c r="Q793">
        <v>2</v>
      </c>
      <c r="R793">
        <v>2</v>
      </c>
      <c r="S793">
        <v>0</v>
      </c>
      <c r="T793">
        <v>3</v>
      </c>
      <c r="U793">
        <v>3</v>
      </c>
      <c r="V793">
        <v>10</v>
      </c>
      <c r="W793">
        <v>8</v>
      </c>
      <c r="X793">
        <v>8</v>
      </c>
      <c r="Y793">
        <v>9</v>
      </c>
      <c r="Z793">
        <v>2</v>
      </c>
      <c r="AA793">
        <v>3</v>
      </c>
      <c r="AB793">
        <v>0</v>
      </c>
      <c r="AC793">
        <v>0</v>
      </c>
      <c r="AD793">
        <v>20</v>
      </c>
      <c r="AE793">
        <v>11</v>
      </c>
      <c r="AF793">
        <v>12</v>
      </c>
      <c r="AG793">
        <v>5</v>
      </c>
      <c r="AH793">
        <v>0</v>
      </c>
      <c r="AI793">
        <v>0</v>
      </c>
    </row>
    <row r="794" spans="1:35" hidden="1" x14ac:dyDescent="0.25">
      <c r="A794">
        <v>2022</v>
      </c>
      <c r="B794" s="1">
        <v>44696</v>
      </c>
      <c r="C794">
        <v>6</v>
      </c>
      <c r="D794">
        <v>20749</v>
      </c>
      <c r="E794">
        <v>23018</v>
      </c>
      <c r="F794" t="s">
        <v>89</v>
      </c>
      <c r="G794" t="s">
        <v>76</v>
      </c>
      <c r="H794" t="s">
        <v>370</v>
      </c>
      <c r="I794" t="s">
        <v>238</v>
      </c>
      <c r="J794">
        <v>7</v>
      </c>
      <c r="K794">
        <v>19</v>
      </c>
      <c r="L794">
        <v>74000000</v>
      </c>
      <c r="M794">
        <v>8200000</v>
      </c>
      <c r="N794" t="s">
        <v>129</v>
      </c>
      <c r="O794" t="s">
        <v>99</v>
      </c>
      <c r="P794">
        <v>2</v>
      </c>
      <c r="Q794">
        <v>0</v>
      </c>
      <c r="R794">
        <v>1</v>
      </c>
      <c r="S794">
        <v>0</v>
      </c>
      <c r="T794">
        <v>10</v>
      </c>
      <c r="U794">
        <v>2</v>
      </c>
      <c r="V794">
        <v>16</v>
      </c>
      <c r="W794">
        <v>14</v>
      </c>
      <c r="X794">
        <v>13</v>
      </c>
      <c r="Y794">
        <v>14</v>
      </c>
      <c r="Z794">
        <v>0</v>
      </c>
      <c r="AA794">
        <v>6</v>
      </c>
      <c r="AB794">
        <v>2</v>
      </c>
      <c r="AC794">
        <v>1</v>
      </c>
      <c r="AD794">
        <v>14</v>
      </c>
      <c r="AE794">
        <v>5</v>
      </c>
      <c r="AF794">
        <v>3</v>
      </c>
      <c r="AG794">
        <v>2</v>
      </c>
      <c r="AH794">
        <v>2</v>
      </c>
      <c r="AI794">
        <v>1</v>
      </c>
    </row>
    <row r="795" spans="1:35" hidden="1" x14ac:dyDescent="0.25">
      <c r="A795">
        <v>2022</v>
      </c>
      <c r="B795" s="1">
        <v>44724</v>
      </c>
      <c r="C795">
        <v>11</v>
      </c>
      <c r="D795">
        <v>26501</v>
      </c>
      <c r="E795">
        <v>53018</v>
      </c>
      <c r="F795" t="s">
        <v>89</v>
      </c>
      <c r="G795" t="s">
        <v>326</v>
      </c>
      <c r="H795" t="s">
        <v>370</v>
      </c>
      <c r="I795" t="s">
        <v>344</v>
      </c>
      <c r="J795">
        <v>4</v>
      </c>
      <c r="K795">
        <v>10</v>
      </c>
      <c r="L795">
        <v>59800000</v>
      </c>
      <c r="M795">
        <v>23800000</v>
      </c>
      <c r="N795" t="s">
        <v>105</v>
      </c>
      <c r="O795" t="s">
        <v>332</v>
      </c>
      <c r="P795">
        <v>1</v>
      </c>
      <c r="Q795">
        <v>1</v>
      </c>
      <c r="R795">
        <v>1</v>
      </c>
      <c r="S795">
        <v>0</v>
      </c>
      <c r="T795">
        <v>5</v>
      </c>
      <c r="U795">
        <v>6</v>
      </c>
      <c r="V795">
        <v>11</v>
      </c>
      <c r="W795">
        <v>16</v>
      </c>
      <c r="X795">
        <v>15</v>
      </c>
      <c r="Y795">
        <v>11</v>
      </c>
      <c r="Z795">
        <v>5</v>
      </c>
      <c r="AA795">
        <v>2</v>
      </c>
      <c r="AB795">
        <v>1</v>
      </c>
      <c r="AC795">
        <v>2</v>
      </c>
      <c r="AD795">
        <v>16</v>
      </c>
      <c r="AE795">
        <v>12</v>
      </c>
      <c r="AF795">
        <v>8</v>
      </c>
      <c r="AG795">
        <v>4</v>
      </c>
      <c r="AH795">
        <v>0</v>
      </c>
      <c r="AI795">
        <v>0</v>
      </c>
    </row>
    <row r="796" spans="1:35" hidden="1" x14ac:dyDescent="0.25">
      <c r="A796">
        <v>2022</v>
      </c>
      <c r="B796" s="1">
        <v>44731</v>
      </c>
      <c r="C796">
        <v>13</v>
      </c>
      <c r="D796">
        <v>55373</v>
      </c>
      <c r="E796">
        <v>57018</v>
      </c>
      <c r="F796" t="s">
        <v>89</v>
      </c>
      <c r="G796" t="s">
        <v>77</v>
      </c>
      <c r="H796" t="s">
        <v>370</v>
      </c>
      <c r="I796" t="s">
        <v>315</v>
      </c>
      <c r="J796">
        <v>6</v>
      </c>
      <c r="K796">
        <v>10</v>
      </c>
      <c r="L796">
        <v>58400000</v>
      </c>
      <c r="M796">
        <v>95800000</v>
      </c>
      <c r="N796" t="s">
        <v>48</v>
      </c>
      <c r="O796" t="s">
        <v>135</v>
      </c>
      <c r="P796">
        <v>2</v>
      </c>
      <c r="Q796">
        <v>0</v>
      </c>
      <c r="R796">
        <v>1</v>
      </c>
      <c r="S796">
        <v>0</v>
      </c>
      <c r="T796">
        <v>9</v>
      </c>
      <c r="U796">
        <v>8</v>
      </c>
      <c r="V796">
        <v>18</v>
      </c>
      <c r="W796">
        <v>13</v>
      </c>
      <c r="X796">
        <v>12</v>
      </c>
      <c r="Y796">
        <v>18</v>
      </c>
      <c r="Z796">
        <v>3</v>
      </c>
      <c r="AA796">
        <v>1</v>
      </c>
      <c r="AB796">
        <v>1</v>
      </c>
      <c r="AC796">
        <v>1</v>
      </c>
      <c r="AD796">
        <v>16</v>
      </c>
      <c r="AE796">
        <v>10</v>
      </c>
      <c r="AF796">
        <v>6</v>
      </c>
      <c r="AG796">
        <v>3</v>
      </c>
      <c r="AH796">
        <v>2</v>
      </c>
      <c r="AI796">
        <v>1</v>
      </c>
    </row>
    <row r="797" spans="1:35" hidden="1" x14ac:dyDescent="0.25">
      <c r="A797">
        <v>2022</v>
      </c>
      <c r="B797" s="1">
        <v>44752</v>
      </c>
      <c r="C797">
        <v>16</v>
      </c>
      <c r="D797">
        <v>52356</v>
      </c>
      <c r="E797">
        <v>57018</v>
      </c>
      <c r="F797" t="s">
        <v>89</v>
      </c>
      <c r="G797" t="s">
        <v>62</v>
      </c>
      <c r="H797" t="s">
        <v>370</v>
      </c>
      <c r="I797" t="s">
        <v>40</v>
      </c>
      <c r="J797">
        <v>3</v>
      </c>
      <c r="K797">
        <v>7</v>
      </c>
      <c r="L797">
        <v>59000000</v>
      </c>
      <c r="M797">
        <v>26600000</v>
      </c>
      <c r="N797" t="s">
        <v>137</v>
      </c>
      <c r="O797" t="s">
        <v>73</v>
      </c>
      <c r="P797">
        <v>0</v>
      </c>
      <c r="Q797">
        <v>0</v>
      </c>
      <c r="R797">
        <v>0</v>
      </c>
      <c r="S797">
        <v>0</v>
      </c>
      <c r="T797">
        <v>7</v>
      </c>
      <c r="U797">
        <v>4</v>
      </c>
      <c r="V797">
        <v>12</v>
      </c>
      <c r="W797">
        <v>16</v>
      </c>
      <c r="X797">
        <v>15</v>
      </c>
      <c r="Y797">
        <v>12</v>
      </c>
      <c r="Z797">
        <v>2</v>
      </c>
      <c r="AA797">
        <v>2</v>
      </c>
      <c r="AB797">
        <v>2</v>
      </c>
      <c r="AC797">
        <v>0</v>
      </c>
      <c r="AD797">
        <v>11</v>
      </c>
      <c r="AE797">
        <v>6</v>
      </c>
      <c r="AF797">
        <v>6</v>
      </c>
      <c r="AG797">
        <v>2</v>
      </c>
      <c r="AH797">
        <v>0</v>
      </c>
      <c r="AI797">
        <v>0</v>
      </c>
    </row>
    <row r="798" spans="1:35" hidden="1" x14ac:dyDescent="0.25">
      <c r="A798">
        <v>2022</v>
      </c>
      <c r="B798" s="1">
        <v>44766</v>
      </c>
      <c r="C798">
        <v>19</v>
      </c>
      <c r="D798">
        <v>55706</v>
      </c>
      <c r="F798" t="s">
        <v>89</v>
      </c>
      <c r="G798" t="s">
        <v>88</v>
      </c>
      <c r="H798" t="s">
        <v>384</v>
      </c>
      <c r="I798" t="s">
        <v>359</v>
      </c>
      <c r="J798">
        <v>3</v>
      </c>
      <c r="K798">
        <v>2</v>
      </c>
      <c r="L798">
        <v>64400000</v>
      </c>
      <c r="M798">
        <v>50850000</v>
      </c>
      <c r="N798" t="s">
        <v>200</v>
      </c>
      <c r="O798" t="s">
        <v>73</v>
      </c>
      <c r="P798">
        <v>1</v>
      </c>
      <c r="Q798">
        <v>2</v>
      </c>
      <c r="R798">
        <v>1</v>
      </c>
      <c r="S798">
        <v>0</v>
      </c>
      <c r="T798">
        <v>5</v>
      </c>
      <c r="U798">
        <v>0</v>
      </c>
      <c r="V798">
        <v>11</v>
      </c>
      <c r="W798">
        <v>12</v>
      </c>
      <c r="X798">
        <v>11</v>
      </c>
      <c r="Y798">
        <v>11</v>
      </c>
      <c r="Z798">
        <v>1</v>
      </c>
      <c r="AA798">
        <v>5</v>
      </c>
      <c r="AB798">
        <v>2</v>
      </c>
      <c r="AC798">
        <v>0</v>
      </c>
      <c r="AD798">
        <v>14</v>
      </c>
      <c r="AE798">
        <v>7</v>
      </c>
      <c r="AF798">
        <v>5</v>
      </c>
      <c r="AG798">
        <v>3</v>
      </c>
      <c r="AH798">
        <v>-1</v>
      </c>
      <c r="AI798">
        <v>0</v>
      </c>
    </row>
    <row r="799" spans="1:35" hidden="1" x14ac:dyDescent="0.25">
      <c r="A799">
        <v>2022</v>
      </c>
      <c r="B799" s="1">
        <v>44781</v>
      </c>
      <c r="C799">
        <v>21</v>
      </c>
      <c r="D799">
        <v>25119</v>
      </c>
      <c r="E799">
        <v>57018</v>
      </c>
      <c r="F799" t="s">
        <v>89</v>
      </c>
      <c r="G799" t="s">
        <v>69</v>
      </c>
      <c r="H799" t="s">
        <v>71</v>
      </c>
      <c r="I799" t="s">
        <v>336</v>
      </c>
      <c r="J799">
        <v>7</v>
      </c>
      <c r="K799">
        <v>4</v>
      </c>
      <c r="L799">
        <v>62500000</v>
      </c>
      <c r="M799">
        <v>16200000</v>
      </c>
      <c r="N799" t="s">
        <v>66</v>
      </c>
      <c r="O799" t="s">
        <v>352</v>
      </c>
      <c r="P799">
        <v>2</v>
      </c>
      <c r="Q799">
        <v>3</v>
      </c>
      <c r="R799">
        <v>1</v>
      </c>
      <c r="S799">
        <v>0</v>
      </c>
      <c r="T799">
        <v>11</v>
      </c>
      <c r="U799">
        <v>2</v>
      </c>
      <c r="V799">
        <v>10</v>
      </c>
      <c r="W799">
        <v>14</v>
      </c>
      <c r="X799">
        <v>13</v>
      </c>
      <c r="Y799">
        <v>10</v>
      </c>
      <c r="Z799">
        <v>2</v>
      </c>
      <c r="AA799">
        <v>6</v>
      </c>
      <c r="AB799">
        <v>0</v>
      </c>
      <c r="AC799">
        <v>1</v>
      </c>
      <c r="AD799">
        <v>21</v>
      </c>
      <c r="AE799">
        <v>10</v>
      </c>
      <c r="AF799">
        <v>6</v>
      </c>
      <c r="AG799">
        <v>2</v>
      </c>
      <c r="AH799">
        <v>-1</v>
      </c>
      <c r="AI799">
        <v>0</v>
      </c>
    </row>
    <row r="800" spans="1:35" hidden="1" x14ac:dyDescent="0.25">
      <c r="A800">
        <v>2022</v>
      </c>
      <c r="B800" s="1">
        <v>44793</v>
      </c>
      <c r="C800">
        <v>23</v>
      </c>
      <c r="D800">
        <v>31650</v>
      </c>
      <c r="E800">
        <v>57018</v>
      </c>
      <c r="F800" t="s">
        <v>89</v>
      </c>
      <c r="G800" t="s">
        <v>313</v>
      </c>
      <c r="H800" t="s">
        <v>71</v>
      </c>
      <c r="I800" t="s">
        <v>78</v>
      </c>
      <c r="J800">
        <v>7</v>
      </c>
      <c r="K800">
        <v>13</v>
      </c>
      <c r="L800">
        <v>66900000</v>
      </c>
      <c r="M800">
        <v>10150000</v>
      </c>
      <c r="N800" t="s">
        <v>92</v>
      </c>
      <c r="O800" t="s">
        <v>209</v>
      </c>
      <c r="P800">
        <v>0</v>
      </c>
      <c r="Q800">
        <v>1</v>
      </c>
      <c r="R800">
        <v>0</v>
      </c>
      <c r="S800">
        <v>0</v>
      </c>
      <c r="T800">
        <v>7</v>
      </c>
      <c r="U800">
        <v>0</v>
      </c>
      <c r="V800">
        <v>10</v>
      </c>
      <c r="W800">
        <v>13</v>
      </c>
      <c r="X800">
        <v>12</v>
      </c>
      <c r="Y800">
        <v>10</v>
      </c>
      <c r="Z800">
        <v>2</v>
      </c>
      <c r="AA800">
        <v>7</v>
      </c>
      <c r="AB800">
        <v>0</v>
      </c>
      <c r="AC800">
        <v>2</v>
      </c>
      <c r="AD800">
        <v>28</v>
      </c>
      <c r="AE800">
        <v>5</v>
      </c>
      <c r="AF800">
        <v>16</v>
      </c>
      <c r="AG800">
        <v>2</v>
      </c>
      <c r="AH800">
        <v>-1</v>
      </c>
      <c r="AI800">
        <v>0</v>
      </c>
    </row>
    <row r="801" spans="1:35" hidden="1" x14ac:dyDescent="0.25">
      <c r="A801">
        <v>2022</v>
      </c>
      <c r="B801" s="1">
        <v>44833</v>
      </c>
      <c r="C801">
        <v>28</v>
      </c>
      <c r="D801">
        <v>28644</v>
      </c>
      <c r="E801">
        <v>57018</v>
      </c>
      <c r="F801" t="s">
        <v>89</v>
      </c>
      <c r="G801" t="s">
        <v>95</v>
      </c>
      <c r="H801" t="s">
        <v>71</v>
      </c>
      <c r="I801" t="s">
        <v>97</v>
      </c>
      <c r="J801">
        <v>7</v>
      </c>
      <c r="K801">
        <v>1</v>
      </c>
      <c r="L801">
        <v>45400000</v>
      </c>
      <c r="M801">
        <v>50500000</v>
      </c>
      <c r="N801" t="s">
        <v>208</v>
      </c>
      <c r="O801" t="s">
        <v>123</v>
      </c>
      <c r="P801">
        <v>0</v>
      </c>
      <c r="Q801">
        <v>1</v>
      </c>
      <c r="R801">
        <v>0</v>
      </c>
      <c r="S801">
        <v>0</v>
      </c>
      <c r="T801">
        <v>7</v>
      </c>
      <c r="U801">
        <v>9</v>
      </c>
      <c r="V801">
        <v>11</v>
      </c>
      <c r="W801">
        <v>13</v>
      </c>
      <c r="X801">
        <v>11</v>
      </c>
      <c r="Y801">
        <v>11</v>
      </c>
      <c r="Z801">
        <v>2</v>
      </c>
      <c r="AA801">
        <v>3</v>
      </c>
      <c r="AB801">
        <v>2</v>
      </c>
      <c r="AC801">
        <v>3</v>
      </c>
      <c r="AD801">
        <v>16</v>
      </c>
      <c r="AE801">
        <v>10</v>
      </c>
      <c r="AF801">
        <v>10</v>
      </c>
      <c r="AG801">
        <v>4</v>
      </c>
      <c r="AH801">
        <v>-1</v>
      </c>
      <c r="AI801">
        <v>0</v>
      </c>
    </row>
    <row r="802" spans="1:35" hidden="1" x14ac:dyDescent="0.25">
      <c r="A802">
        <v>2022</v>
      </c>
      <c r="B802" s="1">
        <v>44835</v>
      </c>
      <c r="C802">
        <v>29</v>
      </c>
      <c r="D802">
        <v>20858</v>
      </c>
      <c r="E802">
        <v>57018</v>
      </c>
      <c r="F802" t="s">
        <v>89</v>
      </c>
      <c r="G802" t="s">
        <v>55</v>
      </c>
      <c r="H802" t="s">
        <v>71</v>
      </c>
      <c r="I802" t="s">
        <v>57</v>
      </c>
      <c r="J802">
        <v>7</v>
      </c>
      <c r="K802">
        <v>2</v>
      </c>
      <c r="L802">
        <v>50400000</v>
      </c>
      <c r="M802">
        <v>27100000</v>
      </c>
      <c r="N802" t="s">
        <v>111</v>
      </c>
      <c r="O802" t="s">
        <v>111</v>
      </c>
      <c r="P802">
        <v>2</v>
      </c>
      <c r="Q802">
        <v>0</v>
      </c>
      <c r="R802">
        <v>1</v>
      </c>
      <c r="S802">
        <v>0</v>
      </c>
      <c r="T802">
        <v>10</v>
      </c>
      <c r="U802">
        <v>1</v>
      </c>
      <c r="V802">
        <v>16</v>
      </c>
      <c r="W802">
        <v>4</v>
      </c>
      <c r="X802">
        <v>3</v>
      </c>
      <c r="Y802">
        <v>16</v>
      </c>
      <c r="Z802">
        <v>2</v>
      </c>
      <c r="AA802">
        <v>3</v>
      </c>
      <c r="AB802">
        <v>1</v>
      </c>
      <c r="AC802">
        <v>3</v>
      </c>
      <c r="AD802">
        <v>14</v>
      </c>
      <c r="AE802">
        <v>5</v>
      </c>
      <c r="AF802">
        <v>6</v>
      </c>
      <c r="AG802">
        <v>2</v>
      </c>
      <c r="AH802">
        <v>2</v>
      </c>
      <c r="AI802">
        <v>1</v>
      </c>
    </row>
    <row r="803" spans="1:35" hidden="1" x14ac:dyDescent="0.25">
      <c r="A803">
        <v>2022</v>
      </c>
      <c r="B803" s="1">
        <v>44843</v>
      </c>
      <c r="C803">
        <v>31</v>
      </c>
      <c r="D803">
        <v>34718</v>
      </c>
      <c r="E803">
        <v>57018</v>
      </c>
      <c r="F803" t="s">
        <v>89</v>
      </c>
      <c r="G803" t="s">
        <v>361</v>
      </c>
      <c r="H803" t="s">
        <v>71</v>
      </c>
      <c r="I803" t="s">
        <v>241</v>
      </c>
      <c r="J803">
        <v>7</v>
      </c>
      <c r="K803">
        <v>15</v>
      </c>
      <c r="L803">
        <v>50400000</v>
      </c>
      <c r="M803">
        <v>9350000</v>
      </c>
      <c r="N803" t="s">
        <v>174</v>
      </c>
      <c r="O803" t="s">
        <v>208</v>
      </c>
      <c r="P803">
        <v>0</v>
      </c>
      <c r="Q803">
        <v>0</v>
      </c>
      <c r="R803">
        <v>0</v>
      </c>
      <c r="S803">
        <v>0</v>
      </c>
      <c r="T803">
        <v>16</v>
      </c>
      <c r="U803">
        <v>0</v>
      </c>
      <c r="V803">
        <v>12</v>
      </c>
      <c r="W803">
        <v>18</v>
      </c>
      <c r="X803">
        <v>16</v>
      </c>
      <c r="Y803">
        <v>11</v>
      </c>
      <c r="Z803">
        <v>2</v>
      </c>
      <c r="AA803">
        <v>2</v>
      </c>
      <c r="AB803">
        <v>3</v>
      </c>
      <c r="AC803">
        <v>1</v>
      </c>
      <c r="AD803">
        <v>16</v>
      </c>
      <c r="AE803">
        <v>5</v>
      </c>
      <c r="AF803">
        <v>6</v>
      </c>
      <c r="AG803">
        <v>2</v>
      </c>
      <c r="AH803">
        <v>0</v>
      </c>
      <c r="AI803">
        <v>0</v>
      </c>
    </row>
    <row r="804" spans="1:35" hidden="1" x14ac:dyDescent="0.25">
      <c r="A804">
        <v>2022</v>
      </c>
      <c r="B804" s="1">
        <v>44862</v>
      </c>
      <c r="C804">
        <v>34</v>
      </c>
      <c r="D804">
        <v>18298</v>
      </c>
      <c r="E804">
        <v>56018</v>
      </c>
      <c r="F804" t="s">
        <v>89</v>
      </c>
      <c r="G804" t="s">
        <v>44</v>
      </c>
      <c r="H804" t="s">
        <v>71</v>
      </c>
      <c r="I804" t="s">
        <v>364</v>
      </c>
      <c r="J804">
        <v>7</v>
      </c>
      <c r="K804">
        <v>20</v>
      </c>
      <c r="L804">
        <v>44500000</v>
      </c>
      <c r="M804">
        <v>6650000</v>
      </c>
      <c r="N804" t="s">
        <v>111</v>
      </c>
      <c r="O804" t="s">
        <v>129</v>
      </c>
      <c r="P804">
        <v>1</v>
      </c>
      <c r="Q804">
        <v>0</v>
      </c>
      <c r="R804">
        <v>1</v>
      </c>
      <c r="S804">
        <v>0</v>
      </c>
      <c r="T804">
        <v>3</v>
      </c>
      <c r="U804">
        <v>4</v>
      </c>
      <c r="V804">
        <v>13</v>
      </c>
      <c r="W804">
        <v>13</v>
      </c>
      <c r="X804">
        <v>13</v>
      </c>
      <c r="Y804">
        <v>13</v>
      </c>
      <c r="Z804">
        <v>4</v>
      </c>
      <c r="AA804">
        <v>2</v>
      </c>
      <c r="AB804">
        <v>3</v>
      </c>
      <c r="AC804">
        <v>3</v>
      </c>
      <c r="AD804">
        <v>14</v>
      </c>
      <c r="AE804">
        <v>9</v>
      </c>
      <c r="AF804">
        <v>8</v>
      </c>
      <c r="AG804">
        <v>4</v>
      </c>
      <c r="AH804">
        <v>1</v>
      </c>
      <c r="AI804">
        <v>1</v>
      </c>
    </row>
    <row r="805" spans="1:35" hidden="1" x14ac:dyDescent="0.25">
      <c r="A805">
        <v>2022</v>
      </c>
      <c r="B805" s="1">
        <v>44873</v>
      </c>
      <c r="C805">
        <v>36</v>
      </c>
      <c r="D805">
        <v>31160</v>
      </c>
      <c r="E805">
        <v>56018</v>
      </c>
      <c r="F805" t="s">
        <v>89</v>
      </c>
      <c r="G805" t="s">
        <v>51</v>
      </c>
      <c r="H805" t="s">
        <v>71</v>
      </c>
      <c r="I805" t="s">
        <v>311</v>
      </c>
      <c r="J805">
        <v>7</v>
      </c>
      <c r="K805">
        <v>11</v>
      </c>
      <c r="L805">
        <v>40700000</v>
      </c>
      <c r="M805">
        <v>31100000</v>
      </c>
      <c r="N805" t="s">
        <v>59</v>
      </c>
      <c r="O805" t="s">
        <v>235</v>
      </c>
      <c r="P805">
        <v>0</v>
      </c>
      <c r="Q805">
        <v>2</v>
      </c>
      <c r="R805">
        <v>0</v>
      </c>
      <c r="S805">
        <v>0</v>
      </c>
      <c r="T805">
        <v>6</v>
      </c>
      <c r="U805">
        <v>2</v>
      </c>
      <c r="V805">
        <v>10</v>
      </c>
      <c r="W805">
        <v>19</v>
      </c>
      <c r="X805">
        <v>19</v>
      </c>
      <c r="Y805">
        <v>10</v>
      </c>
      <c r="Z805">
        <v>0</v>
      </c>
      <c r="AA805">
        <v>1</v>
      </c>
      <c r="AB805">
        <v>5</v>
      </c>
      <c r="AC805">
        <v>2</v>
      </c>
      <c r="AD805">
        <v>11</v>
      </c>
      <c r="AE805">
        <v>8</v>
      </c>
      <c r="AF805">
        <v>8</v>
      </c>
      <c r="AG805">
        <v>5</v>
      </c>
      <c r="AH805">
        <v>-2</v>
      </c>
      <c r="AI805">
        <v>0</v>
      </c>
    </row>
    <row r="806" spans="1:35" hidden="1" x14ac:dyDescent="0.25">
      <c r="A806">
        <v>2022</v>
      </c>
      <c r="B806" s="1">
        <v>44876</v>
      </c>
      <c r="C806">
        <v>37</v>
      </c>
      <c r="D806">
        <v>28824</v>
      </c>
      <c r="E806">
        <v>56018</v>
      </c>
      <c r="F806" t="s">
        <v>89</v>
      </c>
      <c r="G806" t="s">
        <v>70</v>
      </c>
      <c r="H806" t="s">
        <v>71</v>
      </c>
      <c r="I806" t="s">
        <v>90</v>
      </c>
      <c r="J806">
        <v>8</v>
      </c>
      <c r="K806">
        <v>16</v>
      </c>
      <c r="L806">
        <v>40200000</v>
      </c>
      <c r="M806">
        <v>9950000</v>
      </c>
      <c r="N806" t="s">
        <v>299</v>
      </c>
      <c r="O806" t="s">
        <v>73</v>
      </c>
      <c r="P806">
        <v>3</v>
      </c>
      <c r="Q806">
        <v>0</v>
      </c>
      <c r="R806">
        <v>2</v>
      </c>
      <c r="S806">
        <v>0</v>
      </c>
      <c r="T806">
        <v>3</v>
      </c>
      <c r="U806">
        <v>5</v>
      </c>
      <c r="V806">
        <v>12</v>
      </c>
      <c r="W806">
        <v>11</v>
      </c>
      <c r="X806">
        <v>11</v>
      </c>
      <c r="Y806">
        <v>12</v>
      </c>
      <c r="Z806">
        <v>1</v>
      </c>
      <c r="AA806">
        <v>4</v>
      </c>
      <c r="AB806">
        <v>1</v>
      </c>
      <c r="AC806">
        <v>1</v>
      </c>
      <c r="AD806">
        <v>14</v>
      </c>
      <c r="AE806">
        <v>6</v>
      </c>
      <c r="AF806">
        <v>3</v>
      </c>
      <c r="AG806">
        <v>3</v>
      </c>
      <c r="AH806">
        <v>3</v>
      </c>
      <c r="AI806">
        <v>1</v>
      </c>
    </row>
    <row r="807" spans="1:35" hidden="1" x14ac:dyDescent="0.25">
      <c r="A807">
        <v>2022</v>
      </c>
      <c r="B807" s="1">
        <v>44683</v>
      </c>
      <c r="C807">
        <v>4</v>
      </c>
      <c r="D807">
        <v>23823</v>
      </c>
      <c r="E807">
        <v>56000</v>
      </c>
      <c r="F807" t="s">
        <v>37</v>
      </c>
      <c r="G807" t="s">
        <v>365</v>
      </c>
      <c r="H807" t="s">
        <v>240</v>
      </c>
      <c r="I807" t="s">
        <v>367</v>
      </c>
      <c r="J807">
        <v>6</v>
      </c>
      <c r="K807">
        <v>7</v>
      </c>
      <c r="L807">
        <v>34300000</v>
      </c>
      <c r="M807">
        <v>6000000</v>
      </c>
      <c r="N807" t="s">
        <v>98</v>
      </c>
      <c r="O807" t="s">
        <v>100</v>
      </c>
      <c r="P807">
        <v>0</v>
      </c>
      <c r="Q807">
        <v>0</v>
      </c>
      <c r="R807">
        <v>0</v>
      </c>
      <c r="S807">
        <v>0</v>
      </c>
      <c r="T807">
        <v>18</v>
      </c>
      <c r="U807">
        <v>2</v>
      </c>
      <c r="V807">
        <v>15</v>
      </c>
      <c r="W807">
        <v>16</v>
      </c>
      <c r="X807">
        <v>16</v>
      </c>
      <c r="Y807">
        <v>15</v>
      </c>
      <c r="Z807">
        <v>4</v>
      </c>
      <c r="AA807">
        <v>3</v>
      </c>
      <c r="AB807">
        <v>0</v>
      </c>
      <c r="AC807">
        <v>0</v>
      </c>
      <c r="AD807">
        <v>23</v>
      </c>
      <c r="AE807">
        <v>11</v>
      </c>
      <c r="AF807">
        <v>11</v>
      </c>
      <c r="AG807">
        <v>2</v>
      </c>
      <c r="AH807">
        <v>0</v>
      </c>
      <c r="AI807">
        <v>0</v>
      </c>
    </row>
    <row r="808" spans="1:35" hidden="1" x14ac:dyDescent="0.25">
      <c r="A808">
        <v>2022</v>
      </c>
      <c r="B808" s="1">
        <v>44712</v>
      </c>
      <c r="C808">
        <v>8</v>
      </c>
      <c r="D808">
        <v>11050</v>
      </c>
      <c r="E808">
        <v>56000</v>
      </c>
      <c r="F808" t="s">
        <v>37</v>
      </c>
      <c r="G808" t="s">
        <v>76</v>
      </c>
      <c r="J808">
        <v>11</v>
      </c>
      <c r="K808">
        <v>18</v>
      </c>
      <c r="L808">
        <v>41900000</v>
      </c>
      <c r="M808">
        <v>7600000</v>
      </c>
      <c r="N808" t="s">
        <v>163</v>
      </c>
      <c r="O808" t="s">
        <v>73</v>
      </c>
      <c r="P808">
        <v>1</v>
      </c>
      <c r="Q808">
        <v>1</v>
      </c>
      <c r="R808">
        <v>1</v>
      </c>
      <c r="S808">
        <v>0</v>
      </c>
      <c r="T808">
        <v>3</v>
      </c>
      <c r="U808">
        <v>12</v>
      </c>
      <c r="V808">
        <v>7</v>
      </c>
      <c r="W808">
        <v>16</v>
      </c>
      <c r="X808">
        <v>15</v>
      </c>
      <c r="Y808">
        <v>6</v>
      </c>
      <c r="Z808">
        <v>4</v>
      </c>
      <c r="AA808">
        <v>4</v>
      </c>
      <c r="AB808">
        <v>0</v>
      </c>
      <c r="AC808">
        <v>0</v>
      </c>
      <c r="AD808">
        <v>10</v>
      </c>
      <c r="AE808">
        <v>20</v>
      </c>
      <c r="AF808">
        <v>5</v>
      </c>
      <c r="AG808">
        <v>11</v>
      </c>
      <c r="AH808">
        <v>0</v>
      </c>
      <c r="AI808">
        <v>0</v>
      </c>
    </row>
    <row r="809" spans="1:35" hidden="1" x14ac:dyDescent="0.25">
      <c r="A809">
        <v>2022</v>
      </c>
      <c r="B809" s="1">
        <v>44724</v>
      </c>
      <c r="C809">
        <v>11</v>
      </c>
      <c r="D809">
        <v>22392</v>
      </c>
      <c r="E809">
        <v>56000</v>
      </c>
      <c r="F809" t="s">
        <v>37</v>
      </c>
      <c r="G809" t="s">
        <v>77</v>
      </c>
      <c r="H809" t="s">
        <v>240</v>
      </c>
      <c r="I809" t="s">
        <v>315</v>
      </c>
      <c r="J809">
        <v>7</v>
      </c>
      <c r="K809">
        <v>14</v>
      </c>
      <c r="L809">
        <v>39900000</v>
      </c>
      <c r="M809">
        <v>74600000</v>
      </c>
      <c r="N809" t="s">
        <v>100</v>
      </c>
      <c r="O809" t="s">
        <v>144</v>
      </c>
      <c r="P809">
        <v>3</v>
      </c>
      <c r="Q809">
        <v>1</v>
      </c>
      <c r="R809">
        <v>2</v>
      </c>
      <c r="S809">
        <v>0</v>
      </c>
      <c r="T809">
        <v>4</v>
      </c>
      <c r="U809">
        <v>4</v>
      </c>
      <c r="V809">
        <v>15</v>
      </c>
      <c r="W809">
        <v>14</v>
      </c>
      <c r="X809">
        <v>14</v>
      </c>
      <c r="Y809">
        <v>15</v>
      </c>
      <c r="Z809">
        <v>2</v>
      </c>
      <c r="AA809">
        <v>1</v>
      </c>
      <c r="AB809">
        <v>3</v>
      </c>
      <c r="AC809">
        <v>1</v>
      </c>
      <c r="AD809">
        <v>11</v>
      </c>
      <c r="AE809">
        <v>16</v>
      </c>
      <c r="AF809">
        <v>4</v>
      </c>
      <c r="AG809">
        <v>8</v>
      </c>
      <c r="AH809">
        <v>2</v>
      </c>
      <c r="AI809">
        <v>1</v>
      </c>
    </row>
    <row r="810" spans="1:35" hidden="1" x14ac:dyDescent="0.25">
      <c r="A810">
        <v>2022</v>
      </c>
      <c r="B810" s="1">
        <v>44737</v>
      </c>
      <c r="C810">
        <v>14</v>
      </c>
      <c r="D810">
        <v>13454</v>
      </c>
      <c r="E810">
        <v>56000</v>
      </c>
      <c r="F810" t="s">
        <v>37</v>
      </c>
      <c r="G810" t="s">
        <v>321</v>
      </c>
      <c r="H810" t="s">
        <v>240</v>
      </c>
      <c r="I810" t="s">
        <v>358</v>
      </c>
      <c r="J810">
        <v>5</v>
      </c>
      <c r="K810">
        <v>15</v>
      </c>
      <c r="L810">
        <v>28900000</v>
      </c>
      <c r="M810">
        <v>7300000</v>
      </c>
      <c r="N810" t="s">
        <v>129</v>
      </c>
      <c r="O810" t="s">
        <v>168</v>
      </c>
      <c r="P810">
        <v>3</v>
      </c>
      <c r="Q810">
        <v>0</v>
      </c>
      <c r="R810">
        <v>2</v>
      </c>
      <c r="S810">
        <v>0</v>
      </c>
      <c r="T810">
        <v>1</v>
      </c>
      <c r="U810">
        <v>9</v>
      </c>
      <c r="V810">
        <v>9</v>
      </c>
      <c r="W810">
        <v>16</v>
      </c>
      <c r="X810">
        <v>14</v>
      </c>
      <c r="Y810">
        <v>8</v>
      </c>
      <c r="Z810">
        <v>4</v>
      </c>
      <c r="AA810">
        <v>5</v>
      </c>
      <c r="AB810">
        <v>0</v>
      </c>
      <c r="AC810">
        <v>2</v>
      </c>
      <c r="AD810">
        <v>15</v>
      </c>
      <c r="AE810">
        <v>14</v>
      </c>
      <c r="AF810">
        <v>4</v>
      </c>
      <c r="AG810">
        <v>5</v>
      </c>
      <c r="AH810">
        <v>3</v>
      </c>
      <c r="AI810">
        <v>1</v>
      </c>
    </row>
    <row r="811" spans="1:35" hidden="1" x14ac:dyDescent="0.25">
      <c r="A811">
        <v>2022</v>
      </c>
      <c r="B811" s="1">
        <v>44754</v>
      </c>
      <c r="C811">
        <v>16</v>
      </c>
      <c r="D811">
        <v>19023</v>
      </c>
      <c r="E811">
        <v>56000</v>
      </c>
      <c r="F811" t="s">
        <v>37</v>
      </c>
      <c r="G811" t="s">
        <v>310</v>
      </c>
      <c r="H811" t="s">
        <v>240</v>
      </c>
      <c r="I811" t="s">
        <v>312</v>
      </c>
      <c r="J811">
        <v>5</v>
      </c>
      <c r="K811">
        <v>13</v>
      </c>
      <c r="L811">
        <v>27000000</v>
      </c>
      <c r="M811">
        <v>9300000</v>
      </c>
      <c r="N811" t="s">
        <v>208</v>
      </c>
      <c r="O811" t="s">
        <v>235</v>
      </c>
      <c r="P811">
        <v>1</v>
      </c>
      <c r="Q811">
        <v>0</v>
      </c>
      <c r="R811">
        <v>0</v>
      </c>
      <c r="S811">
        <v>0</v>
      </c>
      <c r="T811">
        <v>13</v>
      </c>
      <c r="U811">
        <v>2</v>
      </c>
      <c r="V811">
        <v>5</v>
      </c>
      <c r="W811">
        <v>8</v>
      </c>
      <c r="X811">
        <v>7</v>
      </c>
      <c r="Y811">
        <v>5</v>
      </c>
      <c r="Z811">
        <v>7</v>
      </c>
      <c r="AA811">
        <v>3</v>
      </c>
      <c r="AB811">
        <v>2</v>
      </c>
      <c r="AC811">
        <v>2</v>
      </c>
      <c r="AD811">
        <v>21</v>
      </c>
      <c r="AE811">
        <v>9</v>
      </c>
      <c r="AF811">
        <v>11</v>
      </c>
      <c r="AG811">
        <v>1</v>
      </c>
      <c r="AH811">
        <v>1</v>
      </c>
      <c r="AI811">
        <v>1</v>
      </c>
    </row>
    <row r="812" spans="1:35" hidden="1" x14ac:dyDescent="0.25">
      <c r="A812">
        <v>2022</v>
      </c>
      <c r="B812" s="1">
        <v>44773</v>
      </c>
      <c r="C812">
        <v>20</v>
      </c>
      <c r="D812">
        <v>39451</v>
      </c>
      <c r="E812">
        <v>56000</v>
      </c>
      <c r="F812" t="s">
        <v>37</v>
      </c>
      <c r="G812" t="s">
        <v>89</v>
      </c>
      <c r="H812" t="s">
        <v>240</v>
      </c>
      <c r="I812" t="s">
        <v>71</v>
      </c>
      <c r="J812">
        <v>7</v>
      </c>
      <c r="K812">
        <v>4</v>
      </c>
      <c r="L812">
        <v>33400000</v>
      </c>
      <c r="M812">
        <v>59900000</v>
      </c>
      <c r="N812" t="s">
        <v>128</v>
      </c>
      <c r="O812" t="s">
        <v>193</v>
      </c>
      <c r="P812">
        <v>3</v>
      </c>
      <c r="Q812">
        <v>0</v>
      </c>
      <c r="R812">
        <v>3</v>
      </c>
      <c r="S812">
        <v>0</v>
      </c>
      <c r="T812">
        <v>1</v>
      </c>
      <c r="U812">
        <v>7</v>
      </c>
      <c r="V812">
        <v>13</v>
      </c>
      <c r="W812">
        <v>12</v>
      </c>
      <c r="X812">
        <v>10</v>
      </c>
      <c r="Y812">
        <v>13</v>
      </c>
      <c r="Z812">
        <v>5</v>
      </c>
      <c r="AA812">
        <v>0</v>
      </c>
      <c r="AB812">
        <v>1</v>
      </c>
      <c r="AC812">
        <v>1</v>
      </c>
      <c r="AD812">
        <v>9</v>
      </c>
      <c r="AE812">
        <v>21</v>
      </c>
      <c r="AF812">
        <v>3</v>
      </c>
      <c r="AG812">
        <v>10</v>
      </c>
      <c r="AH812">
        <v>3</v>
      </c>
      <c r="AI812">
        <v>1</v>
      </c>
    </row>
    <row r="813" spans="1:35" hidden="1" x14ac:dyDescent="0.25">
      <c r="A813">
        <v>2022</v>
      </c>
      <c r="B813" s="1">
        <v>44788</v>
      </c>
      <c r="C813">
        <v>22</v>
      </c>
      <c r="D813">
        <v>14824</v>
      </c>
      <c r="E813">
        <v>56000</v>
      </c>
      <c r="F813" t="s">
        <v>37</v>
      </c>
      <c r="G813" t="s">
        <v>55</v>
      </c>
      <c r="H813" t="s">
        <v>240</v>
      </c>
      <c r="I813" t="s">
        <v>57</v>
      </c>
      <c r="J813">
        <v>6</v>
      </c>
      <c r="K813">
        <v>3</v>
      </c>
      <c r="L813">
        <v>31700000</v>
      </c>
      <c r="M813">
        <v>27550000</v>
      </c>
      <c r="N813">
        <v>27</v>
      </c>
      <c r="O813" t="s">
        <v>128</v>
      </c>
      <c r="P813">
        <v>3</v>
      </c>
      <c r="Q813">
        <v>0</v>
      </c>
      <c r="R813">
        <v>1</v>
      </c>
      <c r="S813">
        <v>0</v>
      </c>
      <c r="T813">
        <v>6</v>
      </c>
      <c r="U813">
        <v>5</v>
      </c>
      <c r="V813">
        <v>21</v>
      </c>
      <c r="W813">
        <v>12</v>
      </c>
      <c r="X813">
        <v>11</v>
      </c>
      <c r="Y813">
        <v>20</v>
      </c>
      <c r="Z813">
        <v>0</v>
      </c>
      <c r="AA813">
        <v>2</v>
      </c>
      <c r="AB813">
        <v>1</v>
      </c>
      <c r="AC813">
        <v>2</v>
      </c>
      <c r="AD813">
        <v>15</v>
      </c>
      <c r="AE813">
        <v>7</v>
      </c>
      <c r="AF813">
        <v>5</v>
      </c>
      <c r="AG813">
        <v>1</v>
      </c>
      <c r="AH813">
        <v>3</v>
      </c>
      <c r="AI813">
        <v>1</v>
      </c>
    </row>
    <row r="814" spans="1:35" hidden="1" x14ac:dyDescent="0.25">
      <c r="A814">
        <v>2022</v>
      </c>
      <c r="B814" s="1">
        <v>44803</v>
      </c>
      <c r="C814">
        <v>24</v>
      </c>
      <c r="D814">
        <v>16518</v>
      </c>
      <c r="E814">
        <v>56000</v>
      </c>
      <c r="F814" t="s">
        <v>37</v>
      </c>
      <c r="G814" t="s">
        <v>44</v>
      </c>
      <c r="H814" t="s">
        <v>240</v>
      </c>
      <c r="I814" t="s">
        <v>238</v>
      </c>
      <c r="J814">
        <v>5</v>
      </c>
      <c r="K814">
        <v>20</v>
      </c>
      <c r="L814">
        <v>33500000</v>
      </c>
      <c r="M814">
        <v>7000000</v>
      </c>
      <c r="N814" t="s">
        <v>163</v>
      </c>
      <c r="O814" t="s">
        <v>137</v>
      </c>
      <c r="P814">
        <v>4</v>
      </c>
      <c r="Q814">
        <v>0</v>
      </c>
      <c r="R814">
        <v>2</v>
      </c>
      <c r="S814">
        <v>0</v>
      </c>
      <c r="T814">
        <v>10</v>
      </c>
      <c r="U814">
        <v>1</v>
      </c>
      <c r="V814">
        <v>4</v>
      </c>
      <c r="W814">
        <v>10</v>
      </c>
      <c r="X814">
        <v>10</v>
      </c>
      <c r="Y814">
        <v>3</v>
      </c>
      <c r="Z814">
        <v>1</v>
      </c>
      <c r="AA814">
        <v>9</v>
      </c>
      <c r="AB814">
        <v>0</v>
      </c>
      <c r="AC814">
        <v>0</v>
      </c>
      <c r="AD814">
        <v>24</v>
      </c>
      <c r="AE814">
        <v>7</v>
      </c>
      <c r="AF814">
        <v>5</v>
      </c>
      <c r="AG814">
        <v>4</v>
      </c>
      <c r="AH814">
        <v>4</v>
      </c>
      <c r="AI814">
        <v>1</v>
      </c>
    </row>
    <row r="815" spans="1:35" hidden="1" x14ac:dyDescent="0.25">
      <c r="A815">
        <v>2022</v>
      </c>
      <c r="B815" s="1">
        <v>44814</v>
      </c>
      <c r="C815">
        <v>26</v>
      </c>
      <c r="D815">
        <v>30719</v>
      </c>
      <c r="E815">
        <v>56000</v>
      </c>
      <c r="F815" t="s">
        <v>37</v>
      </c>
      <c r="G815" t="s">
        <v>70</v>
      </c>
      <c r="H815" t="s">
        <v>240</v>
      </c>
      <c r="I815" t="s">
        <v>90</v>
      </c>
      <c r="J815">
        <v>4</v>
      </c>
      <c r="K815">
        <v>16</v>
      </c>
      <c r="L815">
        <v>36000000</v>
      </c>
      <c r="M815">
        <v>12000000</v>
      </c>
      <c r="N815" t="s">
        <v>168</v>
      </c>
      <c r="O815" t="s">
        <v>129</v>
      </c>
      <c r="P815">
        <v>1</v>
      </c>
      <c r="Q815">
        <v>0</v>
      </c>
      <c r="R815">
        <v>0</v>
      </c>
      <c r="S815">
        <v>0</v>
      </c>
      <c r="T815">
        <v>4</v>
      </c>
      <c r="U815">
        <v>3</v>
      </c>
      <c r="V815">
        <v>16</v>
      </c>
      <c r="W815">
        <v>14</v>
      </c>
      <c r="X815">
        <v>13</v>
      </c>
      <c r="Y815">
        <v>16</v>
      </c>
      <c r="Z815">
        <v>0</v>
      </c>
      <c r="AA815">
        <v>2</v>
      </c>
      <c r="AB815">
        <v>2</v>
      </c>
      <c r="AC815">
        <v>0</v>
      </c>
      <c r="AD815">
        <v>16</v>
      </c>
      <c r="AE815">
        <v>1</v>
      </c>
      <c r="AF815">
        <v>7</v>
      </c>
      <c r="AG815">
        <v>1</v>
      </c>
      <c r="AH815">
        <v>1</v>
      </c>
      <c r="AI815">
        <v>1</v>
      </c>
    </row>
    <row r="816" spans="1:35" hidden="1" x14ac:dyDescent="0.25">
      <c r="A816">
        <v>2022</v>
      </c>
      <c r="B816" s="1">
        <v>44833</v>
      </c>
      <c r="C816">
        <v>28</v>
      </c>
      <c r="D816">
        <v>17945</v>
      </c>
      <c r="E816">
        <v>56000</v>
      </c>
      <c r="F816" t="s">
        <v>37</v>
      </c>
      <c r="G816" t="s">
        <v>56</v>
      </c>
      <c r="H816" t="s">
        <v>240</v>
      </c>
      <c r="I816" t="s">
        <v>341</v>
      </c>
      <c r="J816">
        <v>2</v>
      </c>
      <c r="K816">
        <v>12</v>
      </c>
      <c r="L816">
        <v>23500000</v>
      </c>
      <c r="M816">
        <v>49700000</v>
      </c>
      <c r="N816" t="s">
        <v>86</v>
      </c>
      <c r="O816" t="s">
        <v>252</v>
      </c>
      <c r="P816">
        <v>0</v>
      </c>
      <c r="Q816">
        <v>0</v>
      </c>
      <c r="R816">
        <v>0</v>
      </c>
      <c r="S816">
        <v>0</v>
      </c>
      <c r="T816">
        <v>6</v>
      </c>
      <c r="U816">
        <v>3</v>
      </c>
      <c r="V816">
        <v>14</v>
      </c>
      <c r="W816">
        <v>15</v>
      </c>
      <c r="X816">
        <v>12</v>
      </c>
      <c r="Y816">
        <v>14</v>
      </c>
      <c r="Z816">
        <v>5</v>
      </c>
      <c r="AA816">
        <v>6</v>
      </c>
      <c r="AB816">
        <v>2</v>
      </c>
      <c r="AC816">
        <v>0</v>
      </c>
      <c r="AD816">
        <v>12</v>
      </c>
      <c r="AE816">
        <v>12</v>
      </c>
      <c r="AF816">
        <v>5</v>
      </c>
      <c r="AG816">
        <v>4</v>
      </c>
      <c r="AH816">
        <v>0</v>
      </c>
      <c r="AI816">
        <v>0</v>
      </c>
    </row>
    <row r="817" spans="1:35" hidden="1" x14ac:dyDescent="0.25">
      <c r="A817">
        <v>2022</v>
      </c>
      <c r="B817" s="1">
        <v>44835</v>
      </c>
      <c r="C817">
        <v>29</v>
      </c>
      <c r="D817">
        <v>30858</v>
      </c>
      <c r="E817">
        <v>56000</v>
      </c>
      <c r="F817" t="s">
        <v>37</v>
      </c>
      <c r="G817" t="s">
        <v>326</v>
      </c>
      <c r="H817" t="s">
        <v>240</v>
      </c>
      <c r="I817" t="s">
        <v>363</v>
      </c>
      <c r="J817">
        <v>3</v>
      </c>
      <c r="K817">
        <v>10</v>
      </c>
      <c r="L817">
        <v>24550000</v>
      </c>
      <c r="M817">
        <v>48900000</v>
      </c>
      <c r="N817" t="s">
        <v>209</v>
      </c>
      <c r="O817" t="s">
        <v>80</v>
      </c>
      <c r="P817">
        <v>1</v>
      </c>
      <c r="Q817">
        <v>0</v>
      </c>
      <c r="R817">
        <v>1</v>
      </c>
      <c r="S817">
        <v>0</v>
      </c>
      <c r="T817">
        <v>2</v>
      </c>
      <c r="U817">
        <v>5</v>
      </c>
      <c r="V817">
        <v>7</v>
      </c>
      <c r="W817">
        <v>13</v>
      </c>
      <c r="X817">
        <v>13</v>
      </c>
      <c r="Y817">
        <v>6</v>
      </c>
      <c r="Z817">
        <v>2</v>
      </c>
      <c r="AA817">
        <v>2</v>
      </c>
      <c r="AB817">
        <v>3</v>
      </c>
      <c r="AC817">
        <v>1</v>
      </c>
      <c r="AD817">
        <v>9</v>
      </c>
      <c r="AE817">
        <v>11</v>
      </c>
      <c r="AF817">
        <v>5</v>
      </c>
      <c r="AG817">
        <v>4</v>
      </c>
      <c r="AH817">
        <v>1</v>
      </c>
      <c r="AI817">
        <v>1</v>
      </c>
    </row>
    <row r="818" spans="1:35" hidden="1" x14ac:dyDescent="0.25">
      <c r="A818">
        <v>2022</v>
      </c>
      <c r="B818" s="1">
        <v>44871</v>
      </c>
      <c r="C818">
        <v>36</v>
      </c>
      <c r="D818">
        <v>11226</v>
      </c>
      <c r="E818">
        <v>56000</v>
      </c>
      <c r="F818" t="s">
        <v>37</v>
      </c>
      <c r="G818" t="s">
        <v>69</v>
      </c>
      <c r="H818" t="s">
        <v>240</v>
      </c>
      <c r="I818" t="s">
        <v>336</v>
      </c>
      <c r="J818">
        <v>2</v>
      </c>
      <c r="K818">
        <v>6</v>
      </c>
      <c r="L818">
        <v>27750000</v>
      </c>
      <c r="M818">
        <v>35150000</v>
      </c>
      <c r="N818" t="s">
        <v>120</v>
      </c>
      <c r="O818">
        <v>26</v>
      </c>
      <c r="P818">
        <v>2</v>
      </c>
      <c r="Q818">
        <v>0</v>
      </c>
      <c r="R818">
        <v>0</v>
      </c>
      <c r="S818">
        <v>0</v>
      </c>
      <c r="T818">
        <v>10</v>
      </c>
      <c r="U818">
        <v>5</v>
      </c>
      <c r="V818">
        <v>5</v>
      </c>
      <c r="W818">
        <v>20</v>
      </c>
      <c r="X818">
        <v>19</v>
      </c>
      <c r="Y818">
        <v>5</v>
      </c>
      <c r="Z818">
        <v>1</v>
      </c>
      <c r="AA818">
        <v>3</v>
      </c>
      <c r="AB818">
        <v>1</v>
      </c>
      <c r="AC818">
        <v>1</v>
      </c>
      <c r="AD818">
        <v>11</v>
      </c>
      <c r="AE818">
        <v>14</v>
      </c>
      <c r="AF818">
        <v>4</v>
      </c>
      <c r="AG818">
        <v>11</v>
      </c>
      <c r="AH818">
        <v>2</v>
      </c>
      <c r="AI818">
        <v>1</v>
      </c>
    </row>
    <row r="819" spans="1:35" hidden="1" x14ac:dyDescent="0.25">
      <c r="A819">
        <v>2022</v>
      </c>
      <c r="B819" s="1">
        <v>44878</v>
      </c>
      <c r="C819">
        <v>38</v>
      </c>
      <c r="D819">
        <v>31632</v>
      </c>
      <c r="E819">
        <v>56000</v>
      </c>
      <c r="F819" t="s">
        <v>37</v>
      </c>
      <c r="G819" t="s">
        <v>95</v>
      </c>
      <c r="H819" t="s">
        <v>240</v>
      </c>
      <c r="I819" t="s">
        <v>97</v>
      </c>
      <c r="J819">
        <v>2</v>
      </c>
      <c r="K819">
        <v>1</v>
      </c>
      <c r="L819">
        <v>28550000</v>
      </c>
      <c r="M819">
        <v>85200000</v>
      </c>
      <c r="N819" t="s">
        <v>114</v>
      </c>
      <c r="O819" t="s">
        <v>233</v>
      </c>
      <c r="P819">
        <v>3</v>
      </c>
      <c r="Q819">
        <v>0</v>
      </c>
      <c r="R819">
        <v>2</v>
      </c>
      <c r="S819">
        <v>0</v>
      </c>
      <c r="T819">
        <v>6</v>
      </c>
      <c r="U819">
        <v>5</v>
      </c>
      <c r="V819">
        <v>13</v>
      </c>
      <c r="W819">
        <v>17</v>
      </c>
      <c r="X819">
        <v>15</v>
      </c>
      <c r="Y819">
        <v>12</v>
      </c>
      <c r="Z819">
        <v>2</v>
      </c>
      <c r="AA819">
        <v>5</v>
      </c>
      <c r="AB819">
        <v>1</v>
      </c>
      <c r="AC819">
        <v>2</v>
      </c>
      <c r="AD819">
        <v>15</v>
      </c>
      <c r="AE819">
        <v>11</v>
      </c>
      <c r="AF819">
        <v>5</v>
      </c>
      <c r="AG819">
        <v>5</v>
      </c>
      <c r="AH819">
        <v>3</v>
      </c>
      <c r="AI819">
        <v>1</v>
      </c>
    </row>
    <row r="820" spans="1:35" hidden="1" x14ac:dyDescent="0.25">
      <c r="A820">
        <v>2022</v>
      </c>
      <c r="B820" s="1">
        <v>44668</v>
      </c>
      <c r="C820">
        <v>2</v>
      </c>
      <c r="D820">
        <v>2351</v>
      </c>
      <c r="E820">
        <v>13212</v>
      </c>
      <c r="F820" t="s">
        <v>56</v>
      </c>
      <c r="G820" t="s">
        <v>76</v>
      </c>
      <c r="H820" t="s">
        <v>341</v>
      </c>
      <c r="I820" t="s">
        <v>238</v>
      </c>
      <c r="J820">
        <v>9</v>
      </c>
      <c r="K820">
        <v>11</v>
      </c>
      <c r="L820">
        <v>36500000</v>
      </c>
      <c r="M820">
        <v>8650000</v>
      </c>
      <c r="N820" t="s">
        <v>176</v>
      </c>
      <c r="O820" t="s">
        <v>209</v>
      </c>
      <c r="P820">
        <v>4</v>
      </c>
      <c r="Q820">
        <v>0</v>
      </c>
      <c r="R820">
        <v>3</v>
      </c>
      <c r="S820">
        <v>0</v>
      </c>
      <c r="T820">
        <v>13</v>
      </c>
      <c r="U820">
        <v>2</v>
      </c>
      <c r="V820">
        <v>12</v>
      </c>
      <c r="W820">
        <v>9</v>
      </c>
      <c r="X820">
        <v>9</v>
      </c>
      <c r="Y820">
        <v>12</v>
      </c>
      <c r="Z820">
        <v>3</v>
      </c>
      <c r="AA820">
        <v>4</v>
      </c>
      <c r="AB820">
        <v>1</v>
      </c>
      <c r="AC820">
        <v>2</v>
      </c>
      <c r="AD820">
        <v>18</v>
      </c>
      <c r="AE820">
        <v>5</v>
      </c>
      <c r="AF820">
        <v>3</v>
      </c>
      <c r="AG820">
        <v>2</v>
      </c>
      <c r="AH820">
        <v>4</v>
      </c>
      <c r="AI820">
        <v>1</v>
      </c>
    </row>
    <row r="821" spans="1:35" hidden="1" x14ac:dyDescent="0.25">
      <c r="A821">
        <v>2022</v>
      </c>
      <c r="B821" s="1">
        <v>44674</v>
      </c>
      <c r="C821">
        <v>3</v>
      </c>
      <c r="D821">
        <v>8040</v>
      </c>
      <c r="E821">
        <v>13212</v>
      </c>
      <c r="F821" t="s">
        <v>56</v>
      </c>
      <c r="G821" t="s">
        <v>62</v>
      </c>
      <c r="H821" t="s">
        <v>341</v>
      </c>
      <c r="I821" t="s">
        <v>40</v>
      </c>
      <c r="J821">
        <v>3</v>
      </c>
      <c r="K821">
        <v>7</v>
      </c>
      <c r="L821">
        <v>22550000</v>
      </c>
      <c r="M821">
        <v>34800000</v>
      </c>
      <c r="N821" t="s">
        <v>253</v>
      </c>
      <c r="O821" t="s">
        <v>114</v>
      </c>
      <c r="P821">
        <v>1</v>
      </c>
      <c r="Q821">
        <v>1</v>
      </c>
      <c r="R821">
        <v>1</v>
      </c>
      <c r="S821">
        <v>0</v>
      </c>
      <c r="T821">
        <v>6</v>
      </c>
      <c r="U821">
        <v>9</v>
      </c>
      <c r="V821">
        <v>13</v>
      </c>
      <c r="W821">
        <v>12</v>
      </c>
      <c r="X821">
        <v>11</v>
      </c>
      <c r="Y821">
        <v>12</v>
      </c>
      <c r="Z821">
        <v>6</v>
      </c>
      <c r="AA821">
        <v>2</v>
      </c>
      <c r="AB821">
        <v>1</v>
      </c>
      <c r="AC821">
        <v>2</v>
      </c>
      <c r="AD821">
        <v>15</v>
      </c>
      <c r="AE821">
        <v>24</v>
      </c>
      <c r="AF821">
        <v>8</v>
      </c>
      <c r="AG821">
        <v>12</v>
      </c>
      <c r="AH821">
        <v>0</v>
      </c>
      <c r="AI821">
        <v>0</v>
      </c>
    </row>
    <row r="822" spans="1:35" hidden="1" x14ac:dyDescent="0.25">
      <c r="A822">
        <v>2022</v>
      </c>
      <c r="B822" s="1">
        <v>44689</v>
      </c>
      <c r="C822">
        <v>5</v>
      </c>
      <c r="D822">
        <v>9993</v>
      </c>
      <c r="E822">
        <v>13212</v>
      </c>
      <c r="F822" t="s">
        <v>56</v>
      </c>
      <c r="G822" t="s">
        <v>88</v>
      </c>
      <c r="H822" t="s">
        <v>341</v>
      </c>
      <c r="I822" t="s">
        <v>359</v>
      </c>
      <c r="J822">
        <v>2</v>
      </c>
      <c r="K822">
        <v>1</v>
      </c>
      <c r="L822">
        <v>33850000</v>
      </c>
      <c r="M822">
        <v>32300000</v>
      </c>
      <c r="N822" t="s">
        <v>385</v>
      </c>
      <c r="O822" t="s">
        <v>100</v>
      </c>
      <c r="P822">
        <v>0</v>
      </c>
      <c r="Q822">
        <v>1</v>
      </c>
      <c r="R822">
        <v>0</v>
      </c>
      <c r="S822">
        <v>0</v>
      </c>
      <c r="T822">
        <v>1</v>
      </c>
      <c r="U822">
        <v>1</v>
      </c>
      <c r="V822">
        <v>11</v>
      </c>
      <c r="W822">
        <v>9</v>
      </c>
      <c r="X822">
        <v>6</v>
      </c>
      <c r="Y822">
        <v>9</v>
      </c>
      <c r="Z822">
        <v>0</v>
      </c>
      <c r="AA822">
        <v>2</v>
      </c>
      <c r="AB822">
        <v>3</v>
      </c>
      <c r="AC822">
        <v>1</v>
      </c>
      <c r="AD822">
        <v>8</v>
      </c>
      <c r="AE822">
        <v>4</v>
      </c>
      <c r="AF822">
        <v>5</v>
      </c>
      <c r="AG822">
        <v>2</v>
      </c>
      <c r="AH822">
        <v>-1</v>
      </c>
      <c r="AI822">
        <v>0</v>
      </c>
    </row>
    <row r="823" spans="1:35" hidden="1" x14ac:dyDescent="0.25">
      <c r="A823">
        <v>2022</v>
      </c>
      <c r="B823" s="1">
        <v>44693</v>
      </c>
      <c r="C823">
        <v>7</v>
      </c>
      <c r="D823">
        <v>5222</v>
      </c>
      <c r="E823">
        <v>13212</v>
      </c>
      <c r="F823" t="s">
        <v>56</v>
      </c>
      <c r="G823" t="s">
        <v>89</v>
      </c>
      <c r="H823" t="s">
        <v>341</v>
      </c>
      <c r="I823" t="s">
        <v>370</v>
      </c>
      <c r="J823">
        <v>11</v>
      </c>
      <c r="K823">
        <v>3</v>
      </c>
      <c r="L823">
        <v>51800000</v>
      </c>
      <c r="M823">
        <v>74000000</v>
      </c>
      <c r="N823" t="s">
        <v>386</v>
      </c>
      <c r="O823" t="s">
        <v>135</v>
      </c>
      <c r="P823">
        <v>1</v>
      </c>
      <c r="Q823">
        <v>1</v>
      </c>
      <c r="R823">
        <v>1</v>
      </c>
      <c r="S823">
        <v>0</v>
      </c>
      <c r="T823">
        <v>3</v>
      </c>
      <c r="U823">
        <v>10</v>
      </c>
      <c r="V823">
        <v>13</v>
      </c>
      <c r="W823">
        <v>5</v>
      </c>
      <c r="X823">
        <v>4</v>
      </c>
      <c r="Y823">
        <v>12</v>
      </c>
      <c r="Z823">
        <v>3</v>
      </c>
      <c r="AA823">
        <v>0</v>
      </c>
      <c r="AB823">
        <v>1</v>
      </c>
      <c r="AC823">
        <v>2</v>
      </c>
      <c r="AD823">
        <v>6</v>
      </c>
      <c r="AE823">
        <v>18</v>
      </c>
      <c r="AF823">
        <v>4</v>
      </c>
      <c r="AG823">
        <v>4</v>
      </c>
      <c r="AH823">
        <v>0</v>
      </c>
      <c r="AI823">
        <v>0</v>
      </c>
    </row>
    <row r="824" spans="1:35" hidden="1" x14ac:dyDescent="0.25">
      <c r="A824">
        <v>2022</v>
      </c>
      <c r="B824" s="1">
        <v>44718</v>
      </c>
      <c r="C824">
        <v>9</v>
      </c>
      <c r="D824">
        <v>3062</v>
      </c>
      <c r="E824">
        <v>13212</v>
      </c>
      <c r="F824" t="s">
        <v>56</v>
      </c>
      <c r="G824" t="s">
        <v>37</v>
      </c>
      <c r="H824" t="s">
        <v>341</v>
      </c>
      <c r="I824" t="s">
        <v>240</v>
      </c>
      <c r="J824">
        <v>14</v>
      </c>
      <c r="K824">
        <v>12</v>
      </c>
      <c r="L824">
        <v>43650000</v>
      </c>
      <c r="M824">
        <v>39900000</v>
      </c>
      <c r="N824" t="s">
        <v>145</v>
      </c>
      <c r="O824" t="s">
        <v>86</v>
      </c>
      <c r="P824">
        <v>0</v>
      </c>
      <c r="Q824">
        <v>2</v>
      </c>
      <c r="R824">
        <v>0</v>
      </c>
      <c r="S824">
        <v>0</v>
      </c>
      <c r="T824">
        <v>7</v>
      </c>
      <c r="U824">
        <v>3</v>
      </c>
      <c r="V824">
        <v>20</v>
      </c>
      <c r="W824">
        <v>12</v>
      </c>
      <c r="X824">
        <v>11</v>
      </c>
      <c r="Y824">
        <v>19</v>
      </c>
      <c r="Z824">
        <v>3</v>
      </c>
      <c r="AA824">
        <v>2</v>
      </c>
      <c r="AB824">
        <v>2</v>
      </c>
      <c r="AC824">
        <v>1</v>
      </c>
      <c r="AD824">
        <v>8</v>
      </c>
      <c r="AE824">
        <v>9</v>
      </c>
      <c r="AF824">
        <v>3</v>
      </c>
      <c r="AG824">
        <v>3</v>
      </c>
      <c r="AH824">
        <v>-2</v>
      </c>
      <c r="AI824">
        <v>0</v>
      </c>
    </row>
    <row r="825" spans="1:35" hidden="1" x14ac:dyDescent="0.25">
      <c r="A825">
        <v>2022</v>
      </c>
      <c r="B825" s="1">
        <v>44721</v>
      </c>
      <c r="C825">
        <v>10</v>
      </c>
      <c r="D825">
        <v>8627</v>
      </c>
      <c r="E825">
        <v>13212</v>
      </c>
      <c r="F825" t="s">
        <v>56</v>
      </c>
      <c r="G825" t="s">
        <v>77</v>
      </c>
      <c r="H825" t="s">
        <v>341</v>
      </c>
      <c r="I825" t="s">
        <v>371</v>
      </c>
      <c r="J825">
        <v>15</v>
      </c>
      <c r="K825">
        <v>11</v>
      </c>
      <c r="L825">
        <v>51300000</v>
      </c>
      <c r="M825">
        <v>81000000</v>
      </c>
      <c r="N825">
        <v>25</v>
      </c>
      <c r="O825" t="s">
        <v>233</v>
      </c>
      <c r="P825">
        <v>1</v>
      </c>
      <c r="Q825">
        <v>0</v>
      </c>
      <c r="R825">
        <v>1</v>
      </c>
      <c r="S825">
        <v>0</v>
      </c>
      <c r="T825">
        <v>5</v>
      </c>
      <c r="U825">
        <v>7</v>
      </c>
      <c r="V825">
        <v>11</v>
      </c>
      <c r="W825">
        <v>16</v>
      </c>
      <c r="X825">
        <v>15</v>
      </c>
      <c r="Y825">
        <v>10</v>
      </c>
      <c r="Z825">
        <v>3</v>
      </c>
      <c r="AA825">
        <v>1</v>
      </c>
      <c r="AB825">
        <v>2</v>
      </c>
      <c r="AC825">
        <v>1</v>
      </c>
      <c r="AD825">
        <v>12</v>
      </c>
      <c r="AE825">
        <v>13</v>
      </c>
      <c r="AF825">
        <v>8</v>
      </c>
      <c r="AG825">
        <v>8</v>
      </c>
      <c r="AH825">
        <v>1</v>
      </c>
      <c r="AI825">
        <v>1</v>
      </c>
    </row>
    <row r="826" spans="1:35" hidden="1" x14ac:dyDescent="0.25">
      <c r="A826">
        <v>2022</v>
      </c>
      <c r="B826" s="1">
        <v>44728</v>
      </c>
      <c r="C826">
        <v>12</v>
      </c>
      <c r="D826">
        <v>2352</v>
      </c>
      <c r="E826">
        <v>13212</v>
      </c>
      <c r="F826" t="s">
        <v>56</v>
      </c>
      <c r="G826" t="s">
        <v>321</v>
      </c>
      <c r="H826" t="s">
        <v>341</v>
      </c>
      <c r="I826" t="s">
        <v>358</v>
      </c>
      <c r="J826">
        <v>12</v>
      </c>
      <c r="K826">
        <v>7</v>
      </c>
      <c r="L826">
        <v>42500000</v>
      </c>
      <c r="M826">
        <v>7500000</v>
      </c>
      <c r="N826" t="s">
        <v>270</v>
      </c>
      <c r="O826" t="s">
        <v>99</v>
      </c>
      <c r="P826">
        <v>4</v>
      </c>
      <c r="Q826">
        <v>2</v>
      </c>
      <c r="R826">
        <v>3</v>
      </c>
      <c r="S826">
        <v>0</v>
      </c>
      <c r="T826">
        <v>4</v>
      </c>
      <c r="U826">
        <v>5</v>
      </c>
      <c r="V826">
        <v>14</v>
      </c>
      <c r="W826">
        <v>12</v>
      </c>
      <c r="X826">
        <v>12</v>
      </c>
      <c r="Y826">
        <v>13</v>
      </c>
      <c r="Z826">
        <v>3</v>
      </c>
      <c r="AA826">
        <v>3</v>
      </c>
      <c r="AB826">
        <v>1</v>
      </c>
      <c r="AC826">
        <v>1</v>
      </c>
      <c r="AD826">
        <v>19</v>
      </c>
      <c r="AE826">
        <v>16</v>
      </c>
      <c r="AF826">
        <v>8</v>
      </c>
      <c r="AG826">
        <v>6</v>
      </c>
      <c r="AH826">
        <v>2</v>
      </c>
      <c r="AI826">
        <v>1</v>
      </c>
    </row>
    <row r="827" spans="1:35" hidden="1" x14ac:dyDescent="0.25">
      <c r="A827">
        <v>2022</v>
      </c>
      <c r="B827" s="1">
        <v>44745</v>
      </c>
      <c r="C827">
        <v>15</v>
      </c>
      <c r="D827">
        <v>4509</v>
      </c>
      <c r="E827">
        <v>13212</v>
      </c>
      <c r="F827" t="s">
        <v>56</v>
      </c>
      <c r="G827" t="s">
        <v>51</v>
      </c>
      <c r="H827" t="s">
        <v>341</v>
      </c>
      <c r="I827" t="s">
        <v>311</v>
      </c>
      <c r="J827">
        <v>12</v>
      </c>
      <c r="K827">
        <v>10</v>
      </c>
      <c r="L827">
        <v>44200000</v>
      </c>
      <c r="M827">
        <v>33500000</v>
      </c>
      <c r="N827" t="s">
        <v>270</v>
      </c>
      <c r="O827" t="s">
        <v>217</v>
      </c>
      <c r="P827">
        <v>0</v>
      </c>
      <c r="Q827">
        <v>1</v>
      </c>
      <c r="R827">
        <v>0</v>
      </c>
      <c r="S827">
        <v>0</v>
      </c>
      <c r="T827">
        <v>9</v>
      </c>
      <c r="U827">
        <v>4</v>
      </c>
      <c r="V827">
        <v>11</v>
      </c>
      <c r="W827">
        <v>19</v>
      </c>
      <c r="X827">
        <v>19</v>
      </c>
      <c r="Y827">
        <v>10</v>
      </c>
      <c r="Z827">
        <v>0</v>
      </c>
      <c r="AA827">
        <v>6</v>
      </c>
      <c r="AB827">
        <v>6</v>
      </c>
      <c r="AC827">
        <v>0</v>
      </c>
      <c r="AD827">
        <v>18</v>
      </c>
      <c r="AE827">
        <v>9</v>
      </c>
      <c r="AF827">
        <v>7</v>
      </c>
      <c r="AG827">
        <v>6</v>
      </c>
      <c r="AH827">
        <v>-1</v>
      </c>
      <c r="AI827">
        <v>0</v>
      </c>
    </row>
    <row r="828" spans="1:35" hidden="1" x14ac:dyDescent="0.25">
      <c r="A828">
        <v>2022</v>
      </c>
      <c r="B828" s="1">
        <v>44751</v>
      </c>
      <c r="C828">
        <v>16</v>
      </c>
      <c r="D828">
        <v>3162</v>
      </c>
      <c r="E828">
        <v>13212</v>
      </c>
      <c r="F828" t="s">
        <v>56</v>
      </c>
      <c r="G828" t="s">
        <v>365</v>
      </c>
      <c r="H828" t="s">
        <v>341</v>
      </c>
      <c r="I828" t="s">
        <v>367</v>
      </c>
      <c r="J828">
        <v>14</v>
      </c>
      <c r="K828">
        <v>11</v>
      </c>
      <c r="L828">
        <v>44200000</v>
      </c>
      <c r="M828">
        <v>11900000</v>
      </c>
      <c r="N828" t="s">
        <v>270</v>
      </c>
      <c r="O828" t="s">
        <v>137</v>
      </c>
      <c r="P828">
        <v>4</v>
      </c>
      <c r="Q828">
        <v>0</v>
      </c>
      <c r="R828">
        <v>0</v>
      </c>
      <c r="S828">
        <v>0</v>
      </c>
      <c r="T828">
        <v>19</v>
      </c>
      <c r="U828">
        <v>7</v>
      </c>
      <c r="V828">
        <v>5</v>
      </c>
      <c r="W828">
        <v>6</v>
      </c>
      <c r="X828">
        <v>5</v>
      </c>
      <c r="Y828">
        <v>5</v>
      </c>
      <c r="Z828">
        <v>2</v>
      </c>
      <c r="AA828">
        <v>8</v>
      </c>
      <c r="AB828">
        <v>1</v>
      </c>
      <c r="AC828">
        <v>0</v>
      </c>
      <c r="AD828">
        <v>37</v>
      </c>
      <c r="AE828">
        <v>8</v>
      </c>
      <c r="AF828">
        <v>11</v>
      </c>
      <c r="AG828">
        <v>3</v>
      </c>
      <c r="AH828">
        <v>4</v>
      </c>
      <c r="AI828">
        <v>1</v>
      </c>
    </row>
    <row r="829" spans="1:35" hidden="1" x14ac:dyDescent="0.25">
      <c r="A829">
        <v>2022</v>
      </c>
      <c r="B829" s="1">
        <v>44763</v>
      </c>
      <c r="C829">
        <v>18</v>
      </c>
      <c r="D829">
        <v>4048</v>
      </c>
      <c r="E829">
        <v>13212</v>
      </c>
      <c r="F829" t="s">
        <v>56</v>
      </c>
      <c r="G829" t="s">
        <v>63</v>
      </c>
      <c r="H829" t="s">
        <v>341</v>
      </c>
      <c r="I829" t="s">
        <v>65</v>
      </c>
      <c r="J829">
        <v>8</v>
      </c>
      <c r="K829">
        <v>19</v>
      </c>
      <c r="L829">
        <v>43200000</v>
      </c>
      <c r="M829">
        <v>12350000</v>
      </c>
      <c r="N829" t="s">
        <v>220</v>
      </c>
      <c r="O829" t="s">
        <v>134</v>
      </c>
      <c r="P829">
        <v>2</v>
      </c>
      <c r="Q829">
        <v>1</v>
      </c>
      <c r="R829">
        <v>1</v>
      </c>
      <c r="S829">
        <v>0</v>
      </c>
      <c r="T829">
        <v>4</v>
      </c>
      <c r="U829">
        <v>9</v>
      </c>
      <c r="V829">
        <v>14</v>
      </c>
      <c r="W829">
        <v>18</v>
      </c>
      <c r="X829">
        <v>16</v>
      </c>
      <c r="Y829">
        <v>13</v>
      </c>
      <c r="Z829">
        <v>2</v>
      </c>
      <c r="AA829">
        <v>5</v>
      </c>
      <c r="AB829">
        <v>1</v>
      </c>
      <c r="AC829">
        <v>1</v>
      </c>
      <c r="AD829">
        <v>14</v>
      </c>
      <c r="AE829">
        <v>10</v>
      </c>
      <c r="AF829">
        <v>5</v>
      </c>
      <c r="AG829">
        <v>4</v>
      </c>
      <c r="AH829">
        <v>1</v>
      </c>
      <c r="AI829">
        <v>1</v>
      </c>
    </row>
    <row r="830" spans="1:35" hidden="1" x14ac:dyDescent="0.25">
      <c r="A830">
        <v>2022</v>
      </c>
      <c r="B830" s="1">
        <v>44774</v>
      </c>
      <c r="C830">
        <v>20</v>
      </c>
      <c r="D830">
        <v>3236</v>
      </c>
      <c r="E830">
        <v>13212</v>
      </c>
      <c r="F830" t="s">
        <v>56</v>
      </c>
      <c r="G830" t="s">
        <v>44</v>
      </c>
      <c r="H830" t="s">
        <v>341</v>
      </c>
      <c r="I830" t="s">
        <v>238</v>
      </c>
      <c r="J830">
        <v>8</v>
      </c>
      <c r="K830">
        <v>19</v>
      </c>
      <c r="L830">
        <v>54200000</v>
      </c>
      <c r="M830">
        <v>6600000</v>
      </c>
      <c r="N830" t="s">
        <v>60</v>
      </c>
      <c r="O830" t="s">
        <v>66</v>
      </c>
      <c r="P830">
        <v>1</v>
      </c>
      <c r="Q830">
        <v>0</v>
      </c>
      <c r="R830">
        <v>1</v>
      </c>
      <c r="S830">
        <v>0</v>
      </c>
      <c r="T830">
        <v>7</v>
      </c>
      <c r="U830">
        <v>5</v>
      </c>
      <c r="V830">
        <v>11</v>
      </c>
      <c r="W830">
        <v>15</v>
      </c>
      <c r="X830">
        <v>15</v>
      </c>
      <c r="Y830">
        <v>11</v>
      </c>
      <c r="Z830">
        <v>3</v>
      </c>
      <c r="AA830">
        <v>4</v>
      </c>
      <c r="AB830">
        <v>2</v>
      </c>
      <c r="AC830">
        <v>1</v>
      </c>
      <c r="AD830">
        <v>23</v>
      </c>
      <c r="AE830">
        <v>9</v>
      </c>
      <c r="AF830">
        <v>12</v>
      </c>
      <c r="AG830">
        <v>3</v>
      </c>
      <c r="AH830">
        <v>1</v>
      </c>
      <c r="AI830">
        <v>1</v>
      </c>
    </row>
    <row r="831" spans="1:35" hidden="1" x14ac:dyDescent="0.25">
      <c r="A831">
        <v>2022</v>
      </c>
      <c r="B831" s="1">
        <v>44794</v>
      </c>
      <c r="C831">
        <v>23</v>
      </c>
      <c r="D831">
        <v>2488</v>
      </c>
      <c r="E831">
        <v>13212</v>
      </c>
      <c r="F831" t="s">
        <v>56</v>
      </c>
      <c r="G831" t="s">
        <v>361</v>
      </c>
      <c r="H831" t="s">
        <v>341</v>
      </c>
      <c r="I831" t="s">
        <v>213</v>
      </c>
      <c r="J831">
        <v>9</v>
      </c>
      <c r="K831">
        <v>14</v>
      </c>
      <c r="L831">
        <v>49700000</v>
      </c>
      <c r="M831">
        <v>11250000</v>
      </c>
      <c r="N831" t="s">
        <v>221</v>
      </c>
      <c r="O831" t="s">
        <v>92</v>
      </c>
      <c r="P831">
        <v>1</v>
      </c>
      <c r="Q831">
        <v>1</v>
      </c>
      <c r="R831">
        <v>0</v>
      </c>
      <c r="S831">
        <v>0</v>
      </c>
      <c r="T831">
        <v>10</v>
      </c>
      <c r="U831">
        <v>2</v>
      </c>
      <c r="V831">
        <v>22</v>
      </c>
      <c r="W831">
        <v>16</v>
      </c>
      <c r="X831">
        <v>14</v>
      </c>
      <c r="Y831">
        <v>21</v>
      </c>
      <c r="Z831">
        <v>1</v>
      </c>
      <c r="AA831">
        <v>10</v>
      </c>
      <c r="AB831">
        <v>1</v>
      </c>
      <c r="AC831">
        <v>2</v>
      </c>
      <c r="AD831">
        <v>28</v>
      </c>
      <c r="AE831">
        <v>8</v>
      </c>
      <c r="AF831">
        <v>10</v>
      </c>
      <c r="AG831">
        <v>4</v>
      </c>
      <c r="AH831">
        <v>0</v>
      </c>
      <c r="AI831">
        <v>0</v>
      </c>
    </row>
    <row r="832" spans="1:35" hidden="1" x14ac:dyDescent="0.25">
      <c r="A832">
        <v>2022</v>
      </c>
      <c r="B832" s="1">
        <v>44822</v>
      </c>
      <c r="C832">
        <v>27</v>
      </c>
      <c r="D832">
        <v>3984</v>
      </c>
      <c r="E832">
        <v>13212</v>
      </c>
      <c r="F832" t="s">
        <v>56</v>
      </c>
      <c r="G832" t="s">
        <v>313</v>
      </c>
      <c r="H832" t="s">
        <v>341</v>
      </c>
      <c r="I832" t="s">
        <v>78</v>
      </c>
      <c r="J832">
        <v>11</v>
      </c>
      <c r="K832">
        <v>9</v>
      </c>
      <c r="L832">
        <v>51200000</v>
      </c>
      <c r="M832">
        <v>9380000</v>
      </c>
      <c r="N832" t="s">
        <v>202</v>
      </c>
      <c r="O832" t="s">
        <v>114</v>
      </c>
      <c r="P832">
        <v>1</v>
      </c>
      <c r="Q832">
        <v>1</v>
      </c>
      <c r="R832">
        <v>1</v>
      </c>
      <c r="S832">
        <v>0</v>
      </c>
      <c r="T832">
        <v>5</v>
      </c>
      <c r="U832">
        <v>2</v>
      </c>
      <c r="V832">
        <v>14</v>
      </c>
      <c r="W832">
        <v>16</v>
      </c>
      <c r="X832">
        <v>16</v>
      </c>
      <c r="Y832">
        <v>14</v>
      </c>
      <c r="Z832">
        <v>1</v>
      </c>
      <c r="AA832">
        <v>5</v>
      </c>
      <c r="AB832">
        <v>0</v>
      </c>
      <c r="AC832">
        <v>0</v>
      </c>
      <c r="AD832">
        <v>21</v>
      </c>
      <c r="AE832">
        <v>5</v>
      </c>
      <c r="AF832">
        <v>13</v>
      </c>
      <c r="AG832">
        <v>1</v>
      </c>
      <c r="AH832">
        <v>0</v>
      </c>
      <c r="AI832">
        <v>0</v>
      </c>
    </row>
    <row r="833" spans="1:35" hidden="1" x14ac:dyDescent="0.25">
      <c r="A833">
        <v>2022</v>
      </c>
      <c r="B833" s="1">
        <v>44852</v>
      </c>
      <c r="C833">
        <v>32</v>
      </c>
      <c r="D833">
        <v>6705</v>
      </c>
      <c r="E833">
        <v>13212</v>
      </c>
      <c r="F833" t="s">
        <v>56</v>
      </c>
      <c r="G833" t="s">
        <v>326</v>
      </c>
      <c r="H833" t="s">
        <v>341</v>
      </c>
      <c r="I833" t="s">
        <v>363</v>
      </c>
      <c r="J833">
        <v>13</v>
      </c>
      <c r="K833">
        <v>12</v>
      </c>
      <c r="L833">
        <v>41700000</v>
      </c>
      <c r="M833">
        <v>43600000</v>
      </c>
      <c r="N833" t="s">
        <v>278</v>
      </c>
      <c r="O833" t="s">
        <v>202</v>
      </c>
      <c r="P833">
        <v>0</v>
      </c>
      <c r="Q833">
        <v>2</v>
      </c>
      <c r="R833">
        <v>0</v>
      </c>
      <c r="S833">
        <v>0</v>
      </c>
      <c r="T833">
        <v>15</v>
      </c>
      <c r="U833">
        <v>2</v>
      </c>
      <c r="V833">
        <v>21</v>
      </c>
      <c r="W833">
        <v>11</v>
      </c>
      <c r="X833">
        <v>11</v>
      </c>
      <c r="Y833">
        <v>18</v>
      </c>
      <c r="Z833">
        <v>1</v>
      </c>
      <c r="AA833">
        <v>3</v>
      </c>
      <c r="AB833">
        <v>1</v>
      </c>
      <c r="AC833">
        <v>1</v>
      </c>
      <c r="AD833">
        <v>19</v>
      </c>
      <c r="AE833">
        <v>9</v>
      </c>
      <c r="AF833">
        <v>9</v>
      </c>
      <c r="AG833">
        <v>4</v>
      </c>
      <c r="AH833">
        <v>-2</v>
      </c>
      <c r="AI833">
        <v>0</v>
      </c>
    </row>
    <row r="834" spans="1:35" hidden="1" x14ac:dyDescent="0.25">
      <c r="A834">
        <v>2022</v>
      </c>
      <c r="B834" s="1">
        <v>44856</v>
      </c>
      <c r="C834">
        <v>33</v>
      </c>
      <c r="D834">
        <v>3011</v>
      </c>
      <c r="E834">
        <v>13212</v>
      </c>
      <c r="F834" t="s">
        <v>56</v>
      </c>
      <c r="G834" t="s">
        <v>69</v>
      </c>
      <c r="H834" t="s">
        <v>341</v>
      </c>
      <c r="I834" t="s">
        <v>336</v>
      </c>
      <c r="J834">
        <v>14</v>
      </c>
      <c r="K834">
        <v>6</v>
      </c>
      <c r="L834">
        <v>36500000</v>
      </c>
      <c r="M834">
        <v>36900000</v>
      </c>
      <c r="N834" t="s">
        <v>372</v>
      </c>
      <c r="O834">
        <v>26</v>
      </c>
      <c r="P834">
        <v>4</v>
      </c>
      <c r="Q834">
        <v>2</v>
      </c>
      <c r="R834">
        <v>3</v>
      </c>
      <c r="S834">
        <v>0</v>
      </c>
      <c r="T834">
        <v>4</v>
      </c>
      <c r="U834">
        <v>4</v>
      </c>
      <c r="V834">
        <v>16</v>
      </c>
      <c r="W834">
        <v>13</v>
      </c>
      <c r="X834">
        <v>13</v>
      </c>
      <c r="Y834">
        <v>16</v>
      </c>
      <c r="Z834">
        <v>2</v>
      </c>
      <c r="AA834">
        <v>2</v>
      </c>
      <c r="AB834">
        <v>1</v>
      </c>
      <c r="AC834">
        <v>0</v>
      </c>
      <c r="AD834">
        <v>11</v>
      </c>
      <c r="AE834">
        <v>9</v>
      </c>
      <c r="AF834">
        <v>3</v>
      </c>
      <c r="AG834">
        <v>3</v>
      </c>
      <c r="AH834">
        <v>2</v>
      </c>
      <c r="AI834">
        <v>1</v>
      </c>
    </row>
    <row r="835" spans="1:35" hidden="1" x14ac:dyDescent="0.25">
      <c r="A835">
        <v>2022</v>
      </c>
      <c r="B835" s="1">
        <v>44681</v>
      </c>
      <c r="C835">
        <v>4</v>
      </c>
      <c r="D835">
        <v>10165</v>
      </c>
      <c r="E835">
        <v>14525</v>
      </c>
      <c r="F835" t="s">
        <v>313</v>
      </c>
      <c r="G835" t="s">
        <v>89</v>
      </c>
      <c r="H835" t="s">
        <v>78</v>
      </c>
      <c r="I835" t="s">
        <v>370</v>
      </c>
      <c r="J835">
        <v>18</v>
      </c>
      <c r="K835">
        <v>2</v>
      </c>
      <c r="L835">
        <v>8550000</v>
      </c>
      <c r="M835">
        <v>72000000</v>
      </c>
      <c r="N835">
        <v>28</v>
      </c>
      <c r="O835" t="s">
        <v>134</v>
      </c>
      <c r="P835">
        <v>2</v>
      </c>
      <c r="Q835">
        <v>2</v>
      </c>
      <c r="R835">
        <v>0</v>
      </c>
      <c r="S835">
        <v>1</v>
      </c>
      <c r="T835">
        <v>0</v>
      </c>
      <c r="U835">
        <v>10</v>
      </c>
      <c r="V835">
        <v>21</v>
      </c>
      <c r="W835">
        <v>15</v>
      </c>
      <c r="X835">
        <v>14</v>
      </c>
      <c r="Y835">
        <v>20</v>
      </c>
      <c r="Z835">
        <v>3</v>
      </c>
      <c r="AA835">
        <v>0</v>
      </c>
      <c r="AB835">
        <v>0</v>
      </c>
      <c r="AC835">
        <v>2</v>
      </c>
      <c r="AD835">
        <v>7</v>
      </c>
      <c r="AE835">
        <v>21</v>
      </c>
      <c r="AF835">
        <v>3</v>
      </c>
      <c r="AG835">
        <v>11</v>
      </c>
      <c r="AH835">
        <v>0</v>
      </c>
      <c r="AI835">
        <v>0</v>
      </c>
    </row>
    <row r="836" spans="1:35" hidden="1" x14ac:dyDescent="0.25">
      <c r="A836">
        <v>2022</v>
      </c>
      <c r="B836" s="1">
        <v>44709</v>
      </c>
      <c r="C836">
        <v>8</v>
      </c>
      <c r="D836">
        <v>6283</v>
      </c>
      <c r="E836">
        <v>14525</v>
      </c>
      <c r="F836" t="s">
        <v>313</v>
      </c>
      <c r="G836" t="s">
        <v>56</v>
      </c>
      <c r="H836" t="s">
        <v>78</v>
      </c>
      <c r="I836" t="s">
        <v>341</v>
      </c>
      <c r="J836">
        <v>16</v>
      </c>
      <c r="K836">
        <v>13</v>
      </c>
      <c r="L836">
        <v>6900000</v>
      </c>
      <c r="M836">
        <v>49150000</v>
      </c>
      <c r="N836" t="s">
        <v>134</v>
      </c>
      <c r="O836" t="s">
        <v>387</v>
      </c>
      <c r="P836">
        <v>1</v>
      </c>
      <c r="Q836">
        <v>1</v>
      </c>
      <c r="R836">
        <v>0</v>
      </c>
      <c r="S836">
        <v>1</v>
      </c>
      <c r="T836">
        <v>6</v>
      </c>
      <c r="U836">
        <v>1</v>
      </c>
      <c r="V836">
        <v>18</v>
      </c>
      <c r="W836">
        <v>22</v>
      </c>
      <c r="X836">
        <v>22</v>
      </c>
      <c r="Y836">
        <v>18</v>
      </c>
      <c r="Z836">
        <v>3</v>
      </c>
      <c r="AA836">
        <v>1</v>
      </c>
      <c r="AB836">
        <v>0</v>
      </c>
      <c r="AC836">
        <v>1</v>
      </c>
      <c r="AD836">
        <v>17</v>
      </c>
      <c r="AE836">
        <v>14</v>
      </c>
      <c r="AF836">
        <v>7</v>
      </c>
      <c r="AG836">
        <v>8</v>
      </c>
      <c r="AH836">
        <v>0</v>
      </c>
      <c r="AI836">
        <v>0</v>
      </c>
    </row>
    <row r="837" spans="1:35" hidden="1" x14ac:dyDescent="0.25">
      <c r="A837">
        <v>2022</v>
      </c>
      <c r="B837" s="1">
        <v>44724</v>
      </c>
      <c r="C837">
        <v>11</v>
      </c>
      <c r="D837">
        <v>9011</v>
      </c>
      <c r="E837">
        <v>14525</v>
      </c>
      <c r="F837" t="s">
        <v>313</v>
      </c>
      <c r="G837" t="s">
        <v>361</v>
      </c>
      <c r="H837" t="s">
        <v>78</v>
      </c>
      <c r="I837" t="s">
        <v>368</v>
      </c>
      <c r="J837">
        <v>13</v>
      </c>
      <c r="K837">
        <v>12</v>
      </c>
      <c r="L837">
        <v>11000000</v>
      </c>
      <c r="M837">
        <v>10850000</v>
      </c>
      <c r="N837" t="s">
        <v>107</v>
      </c>
      <c r="O837" t="s">
        <v>105</v>
      </c>
      <c r="P837">
        <v>1</v>
      </c>
      <c r="Q837">
        <v>1</v>
      </c>
      <c r="R837">
        <v>0</v>
      </c>
      <c r="S837">
        <v>1</v>
      </c>
      <c r="T837">
        <v>2</v>
      </c>
      <c r="U837">
        <v>10</v>
      </c>
      <c r="V837">
        <v>20</v>
      </c>
      <c r="W837">
        <v>14</v>
      </c>
      <c r="X837">
        <v>14</v>
      </c>
      <c r="Y837">
        <v>19</v>
      </c>
      <c r="Z837">
        <v>5</v>
      </c>
      <c r="AA837">
        <v>3</v>
      </c>
      <c r="AB837">
        <v>1</v>
      </c>
      <c r="AC837">
        <v>3</v>
      </c>
      <c r="AD837">
        <v>12</v>
      </c>
      <c r="AE837">
        <v>20</v>
      </c>
      <c r="AF837">
        <v>6</v>
      </c>
      <c r="AG837">
        <v>8</v>
      </c>
      <c r="AH837">
        <v>0</v>
      </c>
      <c r="AI837">
        <v>0</v>
      </c>
    </row>
    <row r="838" spans="1:35" hidden="1" x14ac:dyDescent="0.25">
      <c r="A838">
        <v>2022</v>
      </c>
      <c r="B838" s="1">
        <v>44728</v>
      </c>
      <c r="C838">
        <v>12</v>
      </c>
      <c r="D838">
        <v>8892</v>
      </c>
      <c r="E838">
        <v>14525</v>
      </c>
      <c r="F838" t="s">
        <v>313</v>
      </c>
      <c r="G838" t="s">
        <v>37</v>
      </c>
      <c r="H838" t="s">
        <v>78</v>
      </c>
      <c r="I838" t="s">
        <v>240</v>
      </c>
      <c r="J838">
        <v>14</v>
      </c>
      <c r="K838">
        <v>4</v>
      </c>
      <c r="L838">
        <v>8750000</v>
      </c>
      <c r="M838">
        <v>39400000</v>
      </c>
      <c r="N838" t="s">
        <v>239</v>
      </c>
      <c r="O838">
        <v>28</v>
      </c>
      <c r="P838">
        <v>1</v>
      </c>
      <c r="Q838">
        <v>2</v>
      </c>
      <c r="R838">
        <v>1</v>
      </c>
      <c r="S838">
        <v>1</v>
      </c>
      <c r="T838">
        <v>8</v>
      </c>
      <c r="U838">
        <v>2</v>
      </c>
      <c r="V838">
        <v>11</v>
      </c>
      <c r="W838">
        <v>14</v>
      </c>
      <c r="X838">
        <v>13</v>
      </c>
      <c r="Y838">
        <v>10</v>
      </c>
      <c r="Z838">
        <v>6</v>
      </c>
      <c r="AA838">
        <v>1</v>
      </c>
      <c r="AB838">
        <v>4</v>
      </c>
      <c r="AC838">
        <v>0</v>
      </c>
      <c r="AD838">
        <v>6</v>
      </c>
      <c r="AE838">
        <v>16</v>
      </c>
      <c r="AF838">
        <v>2</v>
      </c>
      <c r="AG838">
        <v>3</v>
      </c>
      <c r="AH838">
        <v>-1</v>
      </c>
      <c r="AI838">
        <v>0</v>
      </c>
    </row>
    <row r="839" spans="1:35" hidden="1" x14ac:dyDescent="0.25">
      <c r="A839">
        <v>2022</v>
      </c>
      <c r="B839" s="1">
        <v>44763</v>
      </c>
      <c r="C839">
        <v>18</v>
      </c>
      <c r="D839">
        <v>11974</v>
      </c>
      <c r="E839">
        <v>14525</v>
      </c>
      <c r="F839" t="s">
        <v>313</v>
      </c>
      <c r="G839" t="s">
        <v>55</v>
      </c>
      <c r="H839" t="s">
        <v>78</v>
      </c>
      <c r="I839" t="s">
        <v>57</v>
      </c>
      <c r="J839">
        <v>13</v>
      </c>
      <c r="K839">
        <v>5</v>
      </c>
      <c r="L839">
        <v>8280000</v>
      </c>
      <c r="M839">
        <v>26350000</v>
      </c>
      <c r="N839" t="s">
        <v>116</v>
      </c>
      <c r="O839" t="s">
        <v>137</v>
      </c>
      <c r="P839">
        <v>2</v>
      </c>
      <c r="Q839">
        <v>3</v>
      </c>
      <c r="R839">
        <v>1</v>
      </c>
      <c r="S839">
        <v>1</v>
      </c>
      <c r="T839">
        <v>2</v>
      </c>
      <c r="U839">
        <v>3</v>
      </c>
      <c r="V839">
        <v>19</v>
      </c>
      <c r="W839">
        <v>9</v>
      </c>
      <c r="X839">
        <v>6</v>
      </c>
      <c r="Y839">
        <v>18</v>
      </c>
      <c r="Z839">
        <v>7</v>
      </c>
      <c r="AA839">
        <v>3</v>
      </c>
      <c r="AB839">
        <v>2</v>
      </c>
      <c r="AC839">
        <v>0</v>
      </c>
      <c r="AD839">
        <v>15</v>
      </c>
      <c r="AE839">
        <v>17</v>
      </c>
      <c r="AF839">
        <v>7</v>
      </c>
      <c r="AG839">
        <v>4</v>
      </c>
      <c r="AH839">
        <v>-1</v>
      </c>
      <c r="AI839">
        <v>0</v>
      </c>
    </row>
    <row r="840" spans="1:35" hidden="1" x14ac:dyDescent="0.25">
      <c r="A840">
        <v>2022</v>
      </c>
      <c r="B840" s="1">
        <v>44786</v>
      </c>
      <c r="C840">
        <v>22</v>
      </c>
      <c r="D840">
        <v>10831</v>
      </c>
      <c r="E840">
        <v>14525</v>
      </c>
      <c r="F840" t="s">
        <v>313</v>
      </c>
      <c r="G840" t="s">
        <v>365</v>
      </c>
      <c r="H840" t="s">
        <v>78</v>
      </c>
      <c r="I840" t="s">
        <v>367</v>
      </c>
      <c r="J840">
        <v>13</v>
      </c>
      <c r="K840">
        <v>16</v>
      </c>
      <c r="L840">
        <v>7330000</v>
      </c>
      <c r="M840">
        <v>8050000</v>
      </c>
      <c r="N840" t="s">
        <v>209</v>
      </c>
      <c r="O840" t="s">
        <v>47</v>
      </c>
      <c r="P840">
        <v>1</v>
      </c>
      <c r="Q840">
        <v>1</v>
      </c>
      <c r="R840">
        <v>0</v>
      </c>
      <c r="S840">
        <v>1</v>
      </c>
      <c r="T840">
        <v>6</v>
      </c>
      <c r="U840">
        <v>2</v>
      </c>
      <c r="V840">
        <v>13</v>
      </c>
      <c r="W840">
        <v>10</v>
      </c>
      <c r="X840">
        <v>10</v>
      </c>
      <c r="Y840">
        <v>12</v>
      </c>
      <c r="Z840">
        <v>2</v>
      </c>
      <c r="AA840">
        <v>1</v>
      </c>
      <c r="AB840">
        <v>1</v>
      </c>
      <c r="AC840">
        <v>2</v>
      </c>
      <c r="AD840">
        <v>17</v>
      </c>
      <c r="AE840">
        <v>13</v>
      </c>
      <c r="AF840">
        <v>11</v>
      </c>
      <c r="AG840">
        <v>8</v>
      </c>
      <c r="AH840">
        <v>0</v>
      </c>
      <c r="AI840">
        <v>0</v>
      </c>
    </row>
    <row r="841" spans="1:35" hidden="1" x14ac:dyDescent="0.25">
      <c r="A841">
        <v>2022</v>
      </c>
      <c r="B841" s="1">
        <v>44836</v>
      </c>
      <c r="C841">
        <v>29</v>
      </c>
      <c r="D841">
        <v>9898</v>
      </c>
      <c r="E841">
        <v>14525</v>
      </c>
      <c r="F841" t="s">
        <v>313</v>
      </c>
      <c r="G841" t="s">
        <v>63</v>
      </c>
      <c r="H841" t="s">
        <v>78</v>
      </c>
      <c r="I841" t="s">
        <v>65</v>
      </c>
      <c r="J841">
        <v>11</v>
      </c>
      <c r="K841">
        <v>14</v>
      </c>
      <c r="L841">
        <v>11880000</v>
      </c>
      <c r="M841">
        <v>14250000</v>
      </c>
      <c r="N841" t="s">
        <v>98</v>
      </c>
      <c r="O841" t="s">
        <v>48</v>
      </c>
      <c r="P841">
        <v>0</v>
      </c>
      <c r="Q841">
        <v>1</v>
      </c>
      <c r="R841">
        <v>0</v>
      </c>
      <c r="S841">
        <v>1</v>
      </c>
      <c r="T841">
        <v>6</v>
      </c>
      <c r="U841">
        <v>3</v>
      </c>
      <c r="V841">
        <v>11</v>
      </c>
      <c r="W841">
        <v>15</v>
      </c>
      <c r="X841">
        <v>13</v>
      </c>
      <c r="Y841">
        <v>10</v>
      </c>
      <c r="Z841">
        <v>3</v>
      </c>
      <c r="AA841">
        <v>3</v>
      </c>
      <c r="AB841">
        <v>3</v>
      </c>
      <c r="AC841">
        <v>2</v>
      </c>
      <c r="AD841">
        <v>12</v>
      </c>
      <c r="AE841">
        <v>14</v>
      </c>
      <c r="AF841">
        <v>7</v>
      </c>
      <c r="AG841">
        <v>6</v>
      </c>
      <c r="AH841">
        <v>-1</v>
      </c>
      <c r="AI841">
        <v>0</v>
      </c>
    </row>
    <row r="842" spans="1:35" hidden="1" x14ac:dyDescent="0.25">
      <c r="A842">
        <v>2022</v>
      </c>
      <c r="B842" s="1">
        <v>44878</v>
      </c>
      <c r="C842">
        <v>38</v>
      </c>
      <c r="D842">
        <v>13927</v>
      </c>
      <c r="E842">
        <v>14525</v>
      </c>
      <c r="F842" t="s">
        <v>313</v>
      </c>
      <c r="G842" t="s">
        <v>62</v>
      </c>
      <c r="H842" t="s">
        <v>78</v>
      </c>
      <c r="I842" t="s">
        <v>40</v>
      </c>
      <c r="J842">
        <v>13</v>
      </c>
      <c r="K842">
        <v>11</v>
      </c>
      <c r="L842">
        <v>11400000</v>
      </c>
      <c r="M842">
        <v>42000000</v>
      </c>
      <c r="N842" t="s">
        <v>100</v>
      </c>
      <c r="O842" t="s">
        <v>104</v>
      </c>
      <c r="P842">
        <v>0</v>
      </c>
      <c r="Q842">
        <v>4</v>
      </c>
      <c r="R842">
        <v>0</v>
      </c>
      <c r="S842">
        <v>1</v>
      </c>
      <c r="T842">
        <v>3</v>
      </c>
      <c r="U842">
        <v>4</v>
      </c>
      <c r="V842">
        <v>12</v>
      </c>
      <c r="W842">
        <v>14</v>
      </c>
      <c r="X842">
        <v>12</v>
      </c>
      <c r="Y842">
        <v>12</v>
      </c>
      <c r="Z842">
        <v>3</v>
      </c>
      <c r="AA842">
        <v>2</v>
      </c>
      <c r="AB842">
        <v>1</v>
      </c>
      <c r="AC842">
        <v>0</v>
      </c>
      <c r="AD842">
        <v>6</v>
      </c>
      <c r="AE842">
        <v>13</v>
      </c>
      <c r="AF842">
        <v>3</v>
      </c>
      <c r="AG842">
        <v>3</v>
      </c>
      <c r="AH842">
        <v>-4</v>
      </c>
      <c r="AI842">
        <v>0</v>
      </c>
    </row>
    <row r="843" spans="1:35" hidden="1" x14ac:dyDescent="0.25">
      <c r="A843">
        <v>2022</v>
      </c>
      <c r="B843" s="1">
        <v>44668</v>
      </c>
      <c r="C843">
        <v>2</v>
      </c>
      <c r="D843">
        <v>13052</v>
      </c>
      <c r="E843">
        <v>20120</v>
      </c>
      <c r="F843" t="s">
        <v>326</v>
      </c>
      <c r="G843" t="s">
        <v>321</v>
      </c>
      <c r="H843" t="s">
        <v>344</v>
      </c>
      <c r="I843" t="s">
        <v>358</v>
      </c>
      <c r="J843">
        <v>12</v>
      </c>
      <c r="K843">
        <v>2</v>
      </c>
      <c r="L843">
        <v>34900000</v>
      </c>
      <c r="M843">
        <v>9000000</v>
      </c>
      <c r="N843" t="s">
        <v>176</v>
      </c>
      <c r="O843" t="s">
        <v>48</v>
      </c>
      <c r="P843">
        <v>2</v>
      </c>
      <c r="Q843">
        <v>1</v>
      </c>
      <c r="R843">
        <v>2</v>
      </c>
      <c r="S843">
        <v>1</v>
      </c>
      <c r="T843">
        <v>4</v>
      </c>
      <c r="U843">
        <v>7</v>
      </c>
      <c r="V843">
        <v>22</v>
      </c>
      <c r="W843">
        <v>10</v>
      </c>
      <c r="X843">
        <v>10</v>
      </c>
      <c r="Y843">
        <v>21</v>
      </c>
      <c r="Z843">
        <v>5</v>
      </c>
      <c r="AA843">
        <v>6</v>
      </c>
      <c r="AB843">
        <v>2</v>
      </c>
      <c r="AC843">
        <v>0</v>
      </c>
      <c r="AD843">
        <v>15</v>
      </c>
      <c r="AE843">
        <v>22</v>
      </c>
      <c r="AF843">
        <v>5</v>
      </c>
      <c r="AG843">
        <v>9</v>
      </c>
      <c r="AH843">
        <v>1</v>
      </c>
      <c r="AI843">
        <v>1</v>
      </c>
    </row>
    <row r="844" spans="1:35" hidden="1" x14ac:dyDescent="0.25">
      <c r="A844">
        <v>2022</v>
      </c>
      <c r="B844" s="1">
        <v>44689</v>
      </c>
      <c r="C844">
        <v>5</v>
      </c>
      <c r="D844">
        <v>7256</v>
      </c>
      <c r="E844">
        <v>20120</v>
      </c>
      <c r="F844" t="s">
        <v>326</v>
      </c>
      <c r="G844" t="s">
        <v>70</v>
      </c>
      <c r="H844" t="s">
        <v>344</v>
      </c>
      <c r="I844" t="s">
        <v>374</v>
      </c>
      <c r="J844">
        <v>6</v>
      </c>
      <c r="K844">
        <v>7</v>
      </c>
      <c r="L844">
        <v>29700000</v>
      </c>
      <c r="M844">
        <v>6450000</v>
      </c>
      <c r="N844" t="s">
        <v>252</v>
      </c>
      <c r="O844" t="s">
        <v>296</v>
      </c>
      <c r="P844">
        <v>4</v>
      </c>
      <c r="Q844">
        <v>1</v>
      </c>
      <c r="R844">
        <v>2</v>
      </c>
      <c r="S844">
        <v>1</v>
      </c>
      <c r="T844">
        <v>4</v>
      </c>
      <c r="U844">
        <v>8</v>
      </c>
      <c r="V844">
        <v>14</v>
      </c>
      <c r="W844">
        <v>12</v>
      </c>
      <c r="X844">
        <v>12</v>
      </c>
      <c r="Y844">
        <v>12</v>
      </c>
      <c r="Z844">
        <v>2</v>
      </c>
      <c r="AA844">
        <v>2</v>
      </c>
      <c r="AB844">
        <v>1</v>
      </c>
      <c r="AC844">
        <v>2</v>
      </c>
      <c r="AD844">
        <v>12</v>
      </c>
      <c r="AE844">
        <v>16</v>
      </c>
      <c r="AF844">
        <v>3</v>
      </c>
      <c r="AG844">
        <v>7</v>
      </c>
      <c r="AH844">
        <v>3</v>
      </c>
      <c r="AI844">
        <v>1</v>
      </c>
    </row>
    <row r="845" spans="1:35" hidden="1" x14ac:dyDescent="0.25">
      <c r="A845">
        <v>2022</v>
      </c>
      <c r="B845" s="1">
        <v>44731</v>
      </c>
      <c r="C845">
        <v>13</v>
      </c>
      <c r="D845">
        <v>710</v>
      </c>
      <c r="E845">
        <v>20120</v>
      </c>
      <c r="F845" t="s">
        <v>326</v>
      </c>
      <c r="G845" t="s">
        <v>56</v>
      </c>
      <c r="H845" t="s">
        <v>344</v>
      </c>
      <c r="I845" t="s">
        <v>341</v>
      </c>
      <c r="J845">
        <v>8</v>
      </c>
      <c r="K845">
        <v>9</v>
      </c>
      <c r="L845">
        <v>33100000</v>
      </c>
      <c r="M845">
        <v>43850000</v>
      </c>
      <c r="N845">
        <v>24</v>
      </c>
      <c r="O845" t="s">
        <v>171</v>
      </c>
      <c r="P845">
        <v>2</v>
      </c>
      <c r="Q845">
        <v>2</v>
      </c>
      <c r="R845">
        <v>2</v>
      </c>
      <c r="S845">
        <v>1</v>
      </c>
      <c r="T845">
        <v>3</v>
      </c>
      <c r="U845">
        <v>9</v>
      </c>
      <c r="V845">
        <v>13</v>
      </c>
      <c r="W845">
        <v>18</v>
      </c>
      <c r="X845">
        <v>18</v>
      </c>
      <c r="Y845">
        <v>12</v>
      </c>
      <c r="Z845">
        <v>5</v>
      </c>
      <c r="AA845">
        <v>3</v>
      </c>
      <c r="AB845">
        <v>0</v>
      </c>
      <c r="AC845">
        <v>0</v>
      </c>
      <c r="AD845">
        <v>12</v>
      </c>
      <c r="AE845">
        <v>18</v>
      </c>
      <c r="AF845">
        <v>2</v>
      </c>
      <c r="AG845">
        <v>7</v>
      </c>
      <c r="AH845">
        <v>0</v>
      </c>
      <c r="AI845">
        <v>0</v>
      </c>
    </row>
    <row r="846" spans="1:35" hidden="1" x14ac:dyDescent="0.25">
      <c r="A846">
        <v>2022</v>
      </c>
      <c r="B846" s="1">
        <v>44745</v>
      </c>
      <c r="C846">
        <v>15</v>
      </c>
      <c r="D846">
        <v>12464</v>
      </c>
      <c r="E846">
        <v>20120</v>
      </c>
      <c r="F846" t="s">
        <v>326</v>
      </c>
      <c r="G846" t="s">
        <v>77</v>
      </c>
      <c r="H846" t="s">
        <v>344</v>
      </c>
      <c r="I846" t="s">
        <v>315</v>
      </c>
      <c r="J846">
        <v>7</v>
      </c>
      <c r="K846">
        <v>9</v>
      </c>
      <c r="L846">
        <v>37200000</v>
      </c>
      <c r="M846">
        <v>55300000</v>
      </c>
      <c r="N846" t="s">
        <v>228</v>
      </c>
      <c r="O846" t="s">
        <v>120</v>
      </c>
      <c r="P846">
        <v>1</v>
      </c>
      <c r="Q846">
        <v>2</v>
      </c>
      <c r="R846">
        <v>0</v>
      </c>
      <c r="S846">
        <v>1</v>
      </c>
      <c r="T846">
        <v>7</v>
      </c>
      <c r="U846">
        <v>3</v>
      </c>
      <c r="V846">
        <v>15</v>
      </c>
      <c r="W846">
        <v>13</v>
      </c>
      <c r="X846">
        <v>13</v>
      </c>
      <c r="Y846">
        <v>15</v>
      </c>
      <c r="Z846">
        <v>4</v>
      </c>
      <c r="AA846">
        <v>6</v>
      </c>
      <c r="AB846">
        <v>2</v>
      </c>
      <c r="AC846">
        <v>0</v>
      </c>
      <c r="AD846">
        <v>15</v>
      </c>
      <c r="AE846">
        <v>11</v>
      </c>
      <c r="AF846">
        <v>5</v>
      </c>
      <c r="AG846">
        <v>4</v>
      </c>
      <c r="AH846">
        <v>-1</v>
      </c>
      <c r="AI846">
        <v>0</v>
      </c>
    </row>
    <row r="847" spans="1:35" hidden="1" x14ac:dyDescent="0.25">
      <c r="A847">
        <v>2022</v>
      </c>
      <c r="B847" s="1">
        <v>44810</v>
      </c>
      <c r="C847">
        <v>25</v>
      </c>
      <c r="D847">
        <v>11497</v>
      </c>
      <c r="E847">
        <v>20120</v>
      </c>
      <c r="F847" t="s">
        <v>326</v>
      </c>
      <c r="G847" t="s">
        <v>313</v>
      </c>
      <c r="H847" t="s">
        <v>362</v>
      </c>
      <c r="I847" t="s">
        <v>78</v>
      </c>
      <c r="J847">
        <v>8</v>
      </c>
      <c r="K847">
        <v>10</v>
      </c>
      <c r="L847">
        <v>40400000</v>
      </c>
      <c r="M847">
        <v>9680000</v>
      </c>
      <c r="N847" t="s">
        <v>151</v>
      </c>
      <c r="O847">
        <v>28</v>
      </c>
      <c r="P847">
        <v>1</v>
      </c>
      <c r="Q847">
        <v>2</v>
      </c>
      <c r="R847">
        <v>0</v>
      </c>
      <c r="S847">
        <v>1</v>
      </c>
      <c r="T847">
        <v>13</v>
      </c>
      <c r="U847">
        <v>2</v>
      </c>
      <c r="V847">
        <v>8</v>
      </c>
      <c r="W847">
        <v>16</v>
      </c>
      <c r="X847">
        <v>16</v>
      </c>
      <c r="Y847">
        <v>8</v>
      </c>
      <c r="Z847">
        <v>2</v>
      </c>
      <c r="AA847">
        <v>7</v>
      </c>
      <c r="AB847">
        <v>1</v>
      </c>
      <c r="AC847">
        <v>0</v>
      </c>
      <c r="AD847">
        <v>24</v>
      </c>
      <c r="AE847">
        <v>9</v>
      </c>
      <c r="AF847">
        <v>12</v>
      </c>
      <c r="AG847">
        <v>3</v>
      </c>
      <c r="AH847">
        <v>-1</v>
      </c>
      <c r="AI847">
        <v>0</v>
      </c>
    </row>
    <row r="848" spans="1:35" hidden="1" x14ac:dyDescent="0.25">
      <c r="A848">
        <v>2022</v>
      </c>
      <c r="B848" s="1">
        <v>44696</v>
      </c>
      <c r="C848">
        <v>6</v>
      </c>
      <c r="D848">
        <v>9355</v>
      </c>
      <c r="E848">
        <v>17800</v>
      </c>
      <c r="F848" t="s">
        <v>365</v>
      </c>
      <c r="G848" t="s">
        <v>44</v>
      </c>
      <c r="H848" t="s">
        <v>367</v>
      </c>
      <c r="I848" t="s">
        <v>369</v>
      </c>
      <c r="J848">
        <v>3</v>
      </c>
      <c r="K848">
        <v>18</v>
      </c>
      <c r="L848">
        <v>5980000</v>
      </c>
      <c r="M848">
        <v>8150000</v>
      </c>
      <c r="N848" t="s">
        <v>105</v>
      </c>
      <c r="O848" t="s">
        <v>135</v>
      </c>
      <c r="P848">
        <v>1</v>
      </c>
      <c r="Q848">
        <v>2</v>
      </c>
      <c r="R848">
        <v>1</v>
      </c>
      <c r="S848">
        <v>1</v>
      </c>
      <c r="T848">
        <v>6</v>
      </c>
      <c r="U848">
        <v>6</v>
      </c>
      <c r="V848">
        <v>18</v>
      </c>
      <c r="W848">
        <v>16</v>
      </c>
      <c r="X848">
        <v>16</v>
      </c>
      <c r="Y848">
        <v>18</v>
      </c>
      <c r="Z848">
        <v>1</v>
      </c>
      <c r="AA848">
        <v>4</v>
      </c>
      <c r="AB848">
        <v>0</v>
      </c>
      <c r="AC848">
        <v>0</v>
      </c>
      <c r="AD848">
        <v>17</v>
      </c>
      <c r="AE848">
        <v>5</v>
      </c>
      <c r="AF848">
        <v>8</v>
      </c>
      <c r="AG848">
        <v>1</v>
      </c>
      <c r="AH848">
        <v>-1</v>
      </c>
      <c r="AI848">
        <v>0</v>
      </c>
    </row>
    <row r="849" spans="1:35" hidden="1" x14ac:dyDescent="0.25">
      <c r="A849">
        <v>2022</v>
      </c>
      <c r="B849" s="1">
        <v>44717</v>
      </c>
      <c r="C849">
        <v>9</v>
      </c>
      <c r="D849">
        <v>11962</v>
      </c>
      <c r="E849">
        <v>17800</v>
      </c>
      <c r="F849" t="s">
        <v>365</v>
      </c>
      <c r="G849" t="s">
        <v>62</v>
      </c>
      <c r="H849" t="s">
        <v>367</v>
      </c>
      <c r="I849" t="s">
        <v>40</v>
      </c>
      <c r="J849">
        <v>13</v>
      </c>
      <c r="K849">
        <v>5</v>
      </c>
      <c r="L849">
        <v>5280000</v>
      </c>
      <c r="M849">
        <v>26900000</v>
      </c>
      <c r="N849" t="s">
        <v>100</v>
      </c>
      <c r="O849">
        <v>28</v>
      </c>
      <c r="P849">
        <v>1</v>
      </c>
      <c r="Q849">
        <v>1</v>
      </c>
      <c r="R849">
        <v>0</v>
      </c>
      <c r="S849">
        <v>1</v>
      </c>
      <c r="T849">
        <v>4</v>
      </c>
      <c r="U849">
        <v>7</v>
      </c>
      <c r="V849">
        <v>11</v>
      </c>
      <c r="W849">
        <v>23</v>
      </c>
      <c r="X849">
        <v>23</v>
      </c>
      <c r="Y849">
        <v>10</v>
      </c>
      <c r="Z849">
        <v>3</v>
      </c>
      <c r="AA849">
        <v>5</v>
      </c>
      <c r="AB849">
        <v>1</v>
      </c>
      <c r="AC849">
        <v>2</v>
      </c>
      <c r="AD849">
        <v>17</v>
      </c>
      <c r="AE849">
        <v>16</v>
      </c>
      <c r="AF849">
        <v>8</v>
      </c>
      <c r="AG849">
        <v>5</v>
      </c>
      <c r="AH849">
        <v>0</v>
      </c>
      <c r="AI849">
        <v>0</v>
      </c>
    </row>
    <row r="850" spans="1:35" hidden="1" x14ac:dyDescent="0.25">
      <c r="A850">
        <v>2022</v>
      </c>
      <c r="B850" s="1">
        <v>44729</v>
      </c>
      <c r="C850">
        <v>12</v>
      </c>
      <c r="D850">
        <v>8937</v>
      </c>
      <c r="E850">
        <v>17800</v>
      </c>
      <c r="F850" t="s">
        <v>365</v>
      </c>
      <c r="G850" t="s">
        <v>63</v>
      </c>
      <c r="H850" t="s">
        <v>367</v>
      </c>
      <c r="I850" t="s">
        <v>65</v>
      </c>
      <c r="J850">
        <v>10</v>
      </c>
      <c r="K850">
        <v>20</v>
      </c>
      <c r="L850">
        <v>8280000</v>
      </c>
      <c r="M850">
        <v>9850000</v>
      </c>
      <c r="N850">
        <v>29</v>
      </c>
      <c r="O850" t="s">
        <v>137</v>
      </c>
      <c r="P850">
        <v>3</v>
      </c>
      <c r="Q850">
        <v>2</v>
      </c>
      <c r="R850">
        <v>2</v>
      </c>
      <c r="S850">
        <v>1</v>
      </c>
      <c r="T850">
        <v>3</v>
      </c>
      <c r="U850">
        <v>4</v>
      </c>
      <c r="V850">
        <v>16</v>
      </c>
      <c r="W850">
        <v>17</v>
      </c>
      <c r="X850">
        <v>16</v>
      </c>
      <c r="Y850">
        <v>11</v>
      </c>
      <c r="Z850">
        <v>1</v>
      </c>
      <c r="AA850">
        <v>1</v>
      </c>
      <c r="AB850">
        <v>2</v>
      </c>
      <c r="AC850">
        <v>2</v>
      </c>
      <c r="AD850">
        <v>12</v>
      </c>
      <c r="AE850">
        <v>4</v>
      </c>
      <c r="AF850">
        <v>6</v>
      </c>
      <c r="AG850">
        <v>1</v>
      </c>
      <c r="AH850">
        <v>1</v>
      </c>
      <c r="AI850">
        <v>1</v>
      </c>
    </row>
    <row r="851" spans="1:35" hidden="1" x14ac:dyDescent="0.25">
      <c r="A851">
        <v>2022</v>
      </c>
      <c r="B851" s="1">
        <v>44836</v>
      </c>
      <c r="C851">
        <v>29</v>
      </c>
      <c r="D851">
        <v>8062</v>
      </c>
      <c r="E851">
        <v>17800</v>
      </c>
      <c r="F851" t="s">
        <v>365</v>
      </c>
      <c r="G851" t="s">
        <v>76</v>
      </c>
      <c r="H851" t="s">
        <v>362</v>
      </c>
      <c r="I851" t="s">
        <v>375</v>
      </c>
      <c r="J851">
        <v>18</v>
      </c>
      <c r="K851">
        <v>19</v>
      </c>
      <c r="L851">
        <v>12030000</v>
      </c>
      <c r="M851">
        <v>7150000</v>
      </c>
      <c r="N851" t="s">
        <v>86</v>
      </c>
      <c r="O851" t="s">
        <v>98</v>
      </c>
      <c r="P851">
        <v>1</v>
      </c>
      <c r="Q851">
        <v>2</v>
      </c>
      <c r="R851">
        <v>0</v>
      </c>
      <c r="S851">
        <v>1</v>
      </c>
      <c r="T851">
        <v>11</v>
      </c>
      <c r="U851">
        <v>3</v>
      </c>
      <c r="V851">
        <v>7</v>
      </c>
      <c r="W851">
        <v>13</v>
      </c>
      <c r="X851">
        <v>11</v>
      </c>
      <c r="Y851">
        <v>6</v>
      </c>
      <c r="Z851">
        <v>1</v>
      </c>
      <c r="AA851">
        <v>3</v>
      </c>
      <c r="AB851">
        <v>2</v>
      </c>
      <c r="AC851">
        <v>0</v>
      </c>
      <c r="AD851">
        <v>20</v>
      </c>
      <c r="AE851">
        <v>9</v>
      </c>
      <c r="AF851">
        <v>9</v>
      </c>
      <c r="AG851">
        <v>5</v>
      </c>
      <c r="AH851">
        <v>-1</v>
      </c>
      <c r="AI851">
        <v>0</v>
      </c>
    </row>
    <row r="852" spans="1:35" hidden="1" x14ac:dyDescent="0.25">
      <c r="A852">
        <v>2022</v>
      </c>
      <c r="B852" s="1">
        <v>44696</v>
      </c>
      <c r="C852">
        <v>6</v>
      </c>
      <c r="D852">
        <v>23616</v>
      </c>
      <c r="E852">
        <v>46931</v>
      </c>
      <c r="F852" t="s">
        <v>51</v>
      </c>
      <c r="G852" t="s">
        <v>63</v>
      </c>
      <c r="H852" t="s">
        <v>311</v>
      </c>
      <c r="I852" t="s">
        <v>65</v>
      </c>
      <c r="J852">
        <v>8</v>
      </c>
      <c r="K852">
        <v>20</v>
      </c>
      <c r="L852">
        <v>18880000</v>
      </c>
      <c r="M852">
        <v>13800000</v>
      </c>
      <c r="N852" t="s">
        <v>107</v>
      </c>
      <c r="O852" t="s">
        <v>137</v>
      </c>
      <c r="P852">
        <v>3</v>
      </c>
      <c r="Q852">
        <v>1</v>
      </c>
      <c r="R852">
        <v>1</v>
      </c>
      <c r="S852">
        <v>1</v>
      </c>
      <c r="T852">
        <v>5</v>
      </c>
      <c r="U852">
        <v>1</v>
      </c>
      <c r="V852">
        <v>14</v>
      </c>
      <c r="W852">
        <v>15</v>
      </c>
      <c r="X852">
        <v>14</v>
      </c>
      <c r="Y852">
        <v>14</v>
      </c>
      <c r="Z852">
        <v>2</v>
      </c>
      <c r="AA852">
        <v>3</v>
      </c>
      <c r="AB852">
        <v>3</v>
      </c>
      <c r="AC852">
        <v>2</v>
      </c>
      <c r="AD852">
        <v>13</v>
      </c>
      <c r="AE852">
        <v>10</v>
      </c>
      <c r="AF852">
        <v>4</v>
      </c>
      <c r="AG852">
        <v>3</v>
      </c>
      <c r="AH852">
        <v>2</v>
      </c>
      <c r="AI852">
        <v>1</v>
      </c>
    </row>
    <row r="853" spans="1:35" hidden="1" x14ac:dyDescent="0.25">
      <c r="A853">
        <v>2022</v>
      </c>
      <c r="B853" s="1">
        <v>44726</v>
      </c>
      <c r="C853">
        <v>11</v>
      </c>
      <c r="D853">
        <v>12627</v>
      </c>
      <c r="E853">
        <v>46931</v>
      </c>
      <c r="F853" t="s">
        <v>51</v>
      </c>
      <c r="G853" t="s">
        <v>365</v>
      </c>
      <c r="H853" t="s">
        <v>311</v>
      </c>
      <c r="I853" t="s">
        <v>367</v>
      </c>
      <c r="J853">
        <v>15</v>
      </c>
      <c r="K853">
        <v>16</v>
      </c>
      <c r="L853">
        <v>15480000</v>
      </c>
      <c r="M853">
        <v>7180000</v>
      </c>
      <c r="N853" t="s">
        <v>73</v>
      </c>
      <c r="O853" t="s">
        <v>174</v>
      </c>
      <c r="P853">
        <v>0</v>
      </c>
      <c r="Q853">
        <v>1</v>
      </c>
      <c r="R853">
        <v>0</v>
      </c>
      <c r="S853">
        <v>1</v>
      </c>
      <c r="T853">
        <v>7</v>
      </c>
      <c r="U853">
        <v>1</v>
      </c>
      <c r="V853">
        <v>19</v>
      </c>
      <c r="W853">
        <v>22</v>
      </c>
      <c r="X853">
        <v>21</v>
      </c>
      <c r="Y853">
        <v>19</v>
      </c>
      <c r="Z853">
        <v>1</v>
      </c>
      <c r="AA853">
        <v>7</v>
      </c>
      <c r="AB853">
        <v>1</v>
      </c>
      <c r="AC853">
        <v>5</v>
      </c>
      <c r="AD853">
        <v>21</v>
      </c>
      <c r="AE853">
        <v>9</v>
      </c>
      <c r="AF853">
        <v>9</v>
      </c>
      <c r="AG853">
        <v>4</v>
      </c>
      <c r="AH853">
        <v>-1</v>
      </c>
      <c r="AI853">
        <v>0</v>
      </c>
    </row>
    <row r="854" spans="1:35" hidden="1" x14ac:dyDescent="0.25">
      <c r="A854">
        <v>2022</v>
      </c>
      <c r="B854" s="1">
        <v>44866</v>
      </c>
      <c r="C854">
        <v>35</v>
      </c>
      <c r="D854">
        <v>16365</v>
      </c>
      <c r="E854">
        <v>46931</v>
      </c>
      <c r="F854" t="s">
        <v>51</v>
      </c>
      <c r="G854" t="s">
        <v>70</v>
      </c>
      <c r="H854" t="s">
        <v>311</v>
      </c>
      <c r="I854" t="s">
        <v>90</v>
      </c>
      <c r="J854">
        <v>10</v>
      </c>
      <c r="K854">
        <v>16</v>
      </c>
      <c r="L854">
        <v>22600000</v>
      </c>
      <c r="M854">
        <v>8150000</v>
      </c>
      <c r="N854" t="s">
        <v>166</v>
      </c>
      <c r="O854" t="s">
        <v>235</v>
      </c>
      <c r="P854">
        <v>0</v>
      </c>
      <c r="Q854">
        <v>2</v>
      </c>
      <c r="R854">
        <v>0</v>
      </c>
      <c r="S854">
        <v>1</v>
      </c>
      <c r="T854">
        <v>11</v>
      </c>
      <c r="U854">
        <v>3</v>
      </c>
      <c r="V854">
        <v>4</v>
      </c>
      <c r="W854">
        <v>18</v>
      </c>
      <c r="X854">
        <v>18</v>
      </c>
      <c r="Y854">
        <v>4</v>
      </c>
      <c r="Z854">
        <v>3</v>
      </c>
      <c r="AA854">
        <v>5</v>
      </c>
      <c r="AB854">
        <v>0</v>
      </c>
      <c r="AC854">
        <v>1</v>
      </c>
      <c r="AD854">
        <v>23</v>
      </c>
      <c r="AE854">
        <v>13</v>
      </c>
      <c r="AF854">
        <v>11</v>
      </c>
      <c r="AG854">
        <v>7</v>
      </c>
      <c r="AH854">
        <v>-2</v>
      </c>
      <c r="AI854">
        <v>0</v>
      </c>
    </row>
    <row r="855" spans="1:35" hidden="1" x14ac:dyDescent="0.25">
      <c r="A855">
        <v>2022</v>
      </c>
      <c r="B855" s="1">
        <v>44717</v>
      </c>
      <c r="C855">
        <v>9</v>
      </c>
      <c r="D855">
        <v>63795</v>
      </c>
      <c r="E855">
        <v>65346</v>
      </c>
      <c r="F855" t="s">
        <v>77</v>
      </c>
      <c r="G855" t="s">
        <v>63</v>
      </c>
      <c r="H855" t="s">
        <v>371</v>
      </c>
      <c r="I855" t="s">
        <v>65</v>
      </c>
      <c r="J855">
        <v>8</v>
      </c>
      <c r="K855">
        <v>20</v>
      </c>
      <c r="L855">
        <v>74000000</v>
      </c>
      <c r="M855">
        <v>11650000</v>
      </c>
      <c r="N855">
        <v>27</v>
      </c>
      <c r="O855" t="s">
        <v>100</v>
      </c>
      <c r="P855">
        <v>1</v>
      </c>
      <c r="Q855">
        <v>2</v>
      </c>
      <c r="R855">
        <v>1</v>
      </c>
      <c r="S855">
        <v>1</v>
      </c>
      <c r="T855">
        <v>9</v>
      </c>
      <c r="U855">
        <v>3</v>
      </c>
      <c r="V855">
        <v>9</v>
      </c>
      <c r="W855">
        <v>21</v>
      </c>
      <c r="X855">
        <v>20</v>
      </c>
      <c r="Y855">
        <v>9</v>
      </c>
      <c r="Z855">
        <v>3</v>
      </c>
      <c r="AA855">
        <v>2</v>
      </c>
      <c r="AB855">
        <v>2</v>
      </c>
      <c r="AC855">
        <v>5</v>
      </c>
      <c r="AD855">
        <v>10</v>
      </c>
      <c r="AE855">
        <v>12</v>
      </c>
      <c r="AF855">
        <v>4</v>
      </c>
      <c r="AG855">
        <v>5</v>
      </c>
      <c r="AH855">
        <v>-1</v>
      </c>
      <c r="AI855">
        <v>0</v>
      </c>
    </row>
    <row r="856" spans="1:35" hidden="1" x14ac:dyDescent="0.25">
      <c r="A856">
        <v>2022</v>
      </c>
      <c r="B856" s="1">
        <v>44808</v>
      </c>
      <c r="C856">
        <v>25</v>
      </c>
      <c r="D856">
        <v>64387</v>
      </c>
      <c r="E856">
        <v>78838</v>
      </c>
      <c r="F856" t="s">
        <v>77</v>
      </c>
      <c r="G856" t="s">
        <v>361</v>
      </c>
      <c r="H856" t="s">
        <v>346</v>
      </c>
      <c r="I856" t="s">
        <v>241</v>
      </c>
      <c r="J856">
        <v>2</v>
      </c>
      <c r="K856">
        <v>15</v>
      </c>
      <c r="L856">
        <v>63900000</v>
      </c>
      <c r="M856">
        <v>10450000</v>
      </c>
      <c r="N856">
        <v>29</v>
      </c>
      <c r="O856" t="s">
        <v>142</v>
      </c>
      <c r="P856">
        <v>1</v>
      </c>
      <c r="Q856">
        <v>1</v>
      </c>
      <c r="R856">
        <v>0</v>
      </c>
      <c r="S856">
        <v>1</v>
      </c>
      <c r="T856">
        <v>12</v>
      </c>
      <c r="U856">
        <v>7</v>
      </c>
      <c r="V856">
        <v>12</v>
      </c>
      <c r="W856">
        <v>19</v>
      </c>
      <c r="X856">
        <v>17</v>
      </c>
      <c r="Y856">
        <v>11</v>
      </c>
      <c r="Z856">
        <v>0</v>
      </c>
      <c r="AA856">
        <v>5</v>
      </c>
      <c r="AB856">
        <v>0</v>
      </c>
      <c r="AC856">
        <v>2</v>
      </c>
      <c r="AD856">
        <v>15</v>
      </c>
      <c r="AE856">
        <v>6</v>
      </c>
      <c r="AF856">
        <v>4</v>
      </c>
      <c r="AG856">
        <v>4</v>
      </c>
      <c r="AH856">
        <v>0</v>
      </c>
      <c r="AI856">
        <v>0</v>
      </c>
    </row>
    <row r="857" spans="1:35" hidden="1" x14ac:dyDescent="0.25">
      <c r="A857">
        <v>2022</v>
      </c>
      <c r="B857" s="1">
        <v>44822</v>
      </c>
      <c r="C857">
        <v>27</v>
      </c>
      <c r="D857">
        <v>55170</v>
      </c>
      <c r="E857">
        <v>78838</v>
      </c>
      <c r="F857" t="s">
        <v>77</v>
      </c>
      <c r="G857" t="s">
        <v>55</v>
      </c>
      <c r="H857" t="s">
        <v>315</v>
      </c>
      <c r="I857" t="s">
        <v>57</v>
      </c>
      <c r="J857">
        <v>3</v>
      </c>
      <c r="K857">
        <v>4</v>
      </c>
      <c r="L857">
        <v>83000000</v>
      </c>
      <c r="M857">
        <v>33800000</v>
      </c>
      <c r="N857" t="s">
        <v>235</v>
      </c>
      <c r="O857" t="s">
        <v>107</v>
      </c>
      <c r="P857">
        <v>1</v>
      </c>
      <c r="Q857">
        <v>2</v>
      </c>
      <c r="R857">
        <v>0</v>
      </c>
      <c r="S857">
        <v>1</v>
      </c>
      <c r="T857">
        <v>6</v>
      </c>
      <c r="U857">
        <v>2</v>
      </c>
      <c r="V857">
        <v>12</v>
      </c>
      <c r="W857">
        <v>10</v>
      </c>
      <c r="X857">
        <v>10</v>
      </c>
      <c r="Y857">
        <v>11</v>
      </c>
      <c r="Z857">
        <v>2</v>
      </c>
      <c r="AA857">
        <v>5</v>
      </c>
      <c r="AB857">
        <v>4</v>
      </c>
      <c r="AC857">
        <v>0</v>
      </c>
      <c r="AD857">
        <v>18</v>
      </c>
      <c r="AE857">
        <v>12</v>
      </c>
      <c r="AF857">
        <v>9</v>
      </c>
      <c r="AG857">
        <v>5</v>
      </c>
      <c r="AH857">
        <v>-1</v>
      </c>
      <c r="AI857">
        <v>0</v>
      </c>
    </row>
    <row r="858" spans="1:35" hidden="1" x14ac:dyDescent="0.25">
      <c r="A858">
        <v>2022</v>
      </c>
      <c r="B858" s="1">
        <v>44868</v>
      </c>
      <c r="C858">
        <v>35</v>
      </c>
      <c r="D858">
        <v>60369</v>
      </c>
      <c r="E858">
        <v>78838</v>
      </c>
      <c r="F858" t="s">
        <v>77</v>
      </c>
      <c r="G858" t="s">
        <v>88</v>
      </c>
      <c r="H858" t="s">
        <v>315</v>
      </c>
      <c r="I858" t="s">
        <v>359</v>
      </c>
      <c r="J858">
        <v>3</v>
      </c>
      <c r="K858">
        <v>5</v>
      </c>
      <c r="L858">
        <v>55000000</v>
      </c>
      <c r="M858">
        <v>52300000</v>
      </c>
      <c r="N858" t="s">
        <v>149</v>
      </c>
      <c r="O858" t="s">
        <v>116</v>
      </c>
      <c r="P858">
        <v>1</v>
      </c>
      <c r="Q858">
        <v>2</v>
      </c>
      <c r="R858">
        <v>0</v>
      </c>
      <c r="S858">
        <v>1</v>
      </c>
      <c r="T858">
        <v>6</v>
      </c>
      <c r="U858">
        <v>0</v>
      </c>
      <c r="V858">
        <v>9</v>
      </c>
      <c r="W858">
        <v>14</v>
      </c>
      <c r="X858">
        <v>14</v>
      </c>
      <c r="Y858">
        <v>9</v>
      </c>
      <c r="Z858">
        <v>4</v>
      </c>
      <c r="AA858">
        <v>2</v>
      </c>
      <c r="AB858">
        <v>1</v>
      </c>
      <c r="AC858">
        <v>1</v>
      </c>
      <c r="AD858">
        <v>15</v>
      </c>
      <c r="AE858">
        <v>7</v>
      </c>
      <c r="AF858">
        <v>8</v>
      </c>
      <c r="AG858">
        <v>0</v>
      </c>
      <c r="AH858">
        <v>-1</v>
      </c>
      <c r="AI858">
        <v>0</v>
      </c>
    </row>
    <row r="859" spans="1:35" hidden="1" x14ac:dyDescent="0.25">
      <c r="A859">
        <v>2022</v>
      </c>
      <c r="B859" s="1">
        <v>44878</v>
      </c>
      <c r="C859">
        <v>38</v>
      </c>
      <c r="D859">
        <v>63077</v>
      </c>
      <c r="E859">
        <v>78838</v>
      </c>
      <c r="F859" t="s">
        <v>77</v>
      </c>
      <c r="G859" t="s">
        <v>365</v>
      </c>
      <c r="H859" t="s">
        <v>315</v>
      </c>
      <c r="I859" t="s">
        <v>366</v>
      </c>
      <c r="J859">
        <v>5</v>
      </c>
      <c r="K859">
        <v>19</v>
      </c>
      <c r="L859">
        <v>63750000</v>
      </c>
      <c r="M859">
        <v>4650000</v>
      </c>
      <c r="N859" t="s">
        <v>109</v>
      </c>
      <c r="O859" t="s">
        <v>107</v>
      </c>
      <c r="P859">
        <v>1</v>
      </c>
      <c r="Q859">
        <v>2</v>
      </c>
      <c r="R859">
        <v>1</v>
      </c>
      <c r="S859">
        <v>1</v>
      </c>
      <c r="T859">
        <v>10</v>
      </c>
      <c r="U859">
        <v>3</v>
      </c>
      <c r="V859">
        <v>14</v>
      </c>
      <c r="W859">
        <v>11</v>
      </c>
      <c r="X859">
        <v>11</v>
      </c>
      <c r="Y859">
        <v>14</v>
      </c>
      <c r="Z859">
        <v>6</v>
      </c>
      <c r="AA859">
        <v>4</v>
      </c>
      <c r="AB859">
        <v>1</v>
      </c>
      <c r="AC859">
        <v>0</v>
      </c>
      <c r="AD859">
        <v>17</v>
      </c>
      <c r="AE859">
        <v>15</v>
      </c>
      <c r="AF859">
        <v>9</v>
      </c>
      <c r="AG859">
        <v>5</v>
      </c>
      <c r="AH859">
        <v>-1</v>
      </c>
      <c r="AI859">
        <v>0</v>
      </c>
    </row>
    <row r="860" spans="1:35" hidden="1" x14ac:dyDescent="0.25">
      <c r="A860">
        <v>2022</v>
      </c>
      <c r="B860" s="1">
        <v>44669</v>
      </c>
      <c r="C860">
        <v>2</v>
      </c>
      <c r="D860">
        <v>33734</v>
      </c>
      <c r="E860">
        <v>60326</v>
      </c>
      <c r="F860" t="s">
        <v>361</v>
      </c>
      <c r="G860" t="s">
        <v>51</v>
      </c>
      <c r="H860" t="s">
        <v>315</v>
      </c>
      <c r="I860" t="s">
        <v>311</v>
      </c>
      <c r="J860">
        <v>5</v>
      </c>
      <c r="K860">
        <v>17</v>
      </c>
      <c r="L860">
        <v>9750000</v>
      </c>
      <c r="M860">
        <v>27480000</v>
      </c>
      <c r="N860" t="s">
        <v>309</v>
      </c>
      <c r="O860" t="s">
        <v>104</v>
      </c>
      <c r="P860">
        <v>1</v>
      </c>
      <c r="Q860">
        <v>3</v>
      </c>
      <c r="R860">
        <v>1</v>
      </c>
      <c r="S860">
        <v>1</v>
      </c>
      <c r="T860">
        <v>4</v>
      </c>
      <c r="U860">
        <v>2</v>
      </c>
      <c r="V860">
        <v>16</v>
      </c>
      <c r="W860">
        <v>15</v>
      </c>
      <c r="X860">
        <v>15</v>
      </c>
      <c r="Y860">
        <v>16</v>
      </c>
      <c r="Z860">
        <v>0</v>
      </c>
      <c r="AA860">
        <v>3</v>
      </c>
      <c r="AB860">
        <v>1</v>
      </c>
      <c r="AC860">
        <v>2</v>
      </c>
      <c r="AD860">
        <v>18</v>
      </c>
      <c r="AE860">
        <v>11</v>
      </c>
      <c r="AF860">
        <v>7</v>
      </c>
      <c r="AG860">
        <v>5</v>
      </c>
      <c r="AH860">
        <v>-2</v>
      </c>
      <c r="AI860">
        <v>0</v>
      </c>
    </row>
    <row r="861" spans="1:35" hidden="1" x14ac:dyDescent="0.25">
      <c r="A861">
        <v>2022</v>
      </c>
      <c r="B861" s="1">
        <v>44681</v>
      </c>
      <c r="C861">
        <v>4</v>
      </c>
      <c r="D861">
        <v>23211</v>
      </c>
      <c r="E861">
        <v>60326</v>
      </c>
      <c r="F861" t="s">
        <v>361</v>
      </c>
      <c r="G861" t="s">
        <v>56</v>
      </c>
      <c r="H861" t="s">
        <v>315</v>
      </c>
      <c r="I861" t="s">
        <v>341</v>
      </c>
      <c r="J861">
        <v>5</v>
      </c>
      <c r="K861">
        <v>8</v>
      </c>
      <c r="L861">
        <v>8800000</v>
      </c>
      <c r="M861">
        <v>42000000</v>
      </c>
      <c r="N861" t="s">
        <v>100</v>
      </c>
      <c r="O861" t="s">
        <v>228</v>
      </c>
      <c r="P861">
        <v>0</v>
      </c>
      <c r="Q861">
        <v>1</v>
      </c>
      <c r="R861">
        <v>0</v>
      </c>
      <c r="S861">
        <v>1</v>
      </c>
      <c r="T861">
        <v>5</v>
      </c>
      <c r="U861">
        <v>4</v>
      </c>
      <c r="V861">
        <v>11</v>
      </c>
      <c r="W861">
        <v>20</v>
      </c>
      <c r="X861">
        <v>19</v>
      </c>
      <c r="Y861">
        <v>10</v>
      </c>
      <c r="Z861">
        <v>5</v>
      </c>
      <c r="AA861">
        <v>4</v>
      </c>
      <c r="AB861">
        <v>4</v>
      </c>
      <c r="AC861">
        <v>0</v>
      </c>
      <c r="AD861">
        <v>14</v>
      </c>
      <c r="AE861">
        <v>18</v>
      </c>
      <c r="AF861">
        <v>6</v>
      </c>
      <c r="AG861">
        <v>8</v>
      </c>
      <c r="AH861">
        <v>-1</v>
      </c>
      <c r="AI861">
        <v>0</v>
      </c>
    </row>
    <row r="862" spans="1:35" hidden="1" x14ac:dyDescent="0.25">
      <c r="A862">
        <v>2022</v>
      </c>
      <c r="B862" s="1">
        <v>44738</v>
      </c>
      <c r="C862">
        <v>14</v>
      </c>
      <c r="D862">
        <v>21337</v>
      </c>
      <c r="E862">
        <v>60326</v>
      </c>
      <c r="F862" t="s">
        <v>361</v>
      </c>
      <c r="G862" t="s">
        <v>76</v>
      </c>
      <c r="J862">
        <v>13</v>
      </c>
      <c r="K862">
        <v>12</v>
      </c>
      <c r="L862">
        <v>11050000</v>
      </c>
      <c r="M862">
        <v>7650000</v>
      </c>
      <c r="N862" t="s">
        <v>208</v>
      </c>
      <c r="O862" t="s">
        <v>114</v>
      </c>
      <c r="P862">
        <v>1</v>
      </c>
      <c r="Q862">
        <v>1</v>
      </c>
      <c r="R862">
        <v>0</v>
      </c>
      <c r="S862">
        <v>1</v>
      </c>
      <c r="T862">
        <v>4</v>
      </c>
      <c r="U862">
        <v>2</v>
      </c>
      <c r="V862">
        <v>16</v>
      </c>
      <c r="W862">
        <v>18</v>
      </c>
      <c r="X862">
        <v>18</v>
      </c>
      <c r="Y862">
        <v>16</v>
      </c>
      <c r="Z862">
        <v>1</v>
      </c>
      <c r="AA862">
        <v>4</v>
      </c>
      <c r="AB862">
        <v>0</v>
      </c>
      <c r="AC862">
        <v>6</v>
      </c>
      <c r="AD862">
        <v>10</v>
      </c>
      <c r="AE862">
        <v>7</v>
      </c>
      <c r="AF862">
        <v>3</v>
      </c>
      <c r="AG862">
        <v>3</v>
      </c>
      <c r="AH862">
        <v>0</v>
      </c>
      <c r="AI862">
        <v>0</v>
      </c>
    </row>
    <row r="863" spans="1:35" hidden="1" x14ac:dyDescent="0.25">
      <c r="A863">
        <v>2022</v>
      </c>
      <c r="B863" s="1">
        <v>44745</v>
      </c>
      <c r="C863">
        <v>15</v>
      </c>
      <c r="D863">
        <v>23283</v>
      </c>
      <c r="E863">
        <v>60326</v>
      </c>
      <c r="F863" t="s">
        <v>361</v>
      </c>
      <c r="G863" t="s">
        <v>37</v>
      </c>
      <c r="H863" t="s">
        <v>368</v>
      </c>
      <c r="I863" t="s">
        <v>240</v>
      </c>
      <c r="J863">
        <v>15</v>
      </c>
      <c r="K863">
        <v>4</v>
      </c>
      <c r="L863">
        <v>8950000</v>
      </c>
      <c r="M863">
        <v>23850000</v>
      </c>
      <c r="N863" t="s">
        <v>41</v>
      </c>
      <c r="O863" t="s">
        <v>176</v>
      </c>
      <c r="P863">
        <v>1</v>
      </c>
      <c r="Q863">
        <v>1</v>
      </c>
      <c r="R863">
        <v>1</v>
      </c>
      <c r="S863">
        <v>1</v>
      </c>
      <c r="T863">
        <v>3</v>
      </c>
      <c r="U863">
        <v>2</v>
      </c>
      <c r="V863">
        <v>24</v>
      </c>
      <c r="W863">
        <v>20</v>
      </c>
      <c r="X863">
        <v>20</v>
      </c>
      <c r="Y863">
        <v>24</v>
      </c>
      <c r="Z863">
        <v>4</v>
      </c>
      <c r="AA863">
        <v>3</v>
      </c>
      <c r="AB863">
        <v>3</v>
      </c>
      <c r="AC863">
        <v>0</v>
      </c>
      <c r="AD863">
        <v>9</v>
      </c>
      <c r="AE863">
        <v>12</v>
      </c>
      <c r="AF863">
        <v>3</v>
      </c>
      <c r="AG863">
        <v>4</v>
      </c>
      <c r="AH863">
        <v>0</v>
      </c>
      <c r="AI863">
        <v>0</v>
      </c>
    </row>
    <row r="864" spans="1:35" hidden="1" x14ac:dyDescent="0.25">
      <c r="A864">
        <v>2022</v>
      </c>
      <c r="B864" s="1">
        <v>44759</v>
      </c>
      <c r="C864">
        <v>17</v>
      </c>
      <c r="D864">
        <v>28683</v>
      </c>
      <c r="E864">
        <v>60326</v>
      </c>
      <c r="F864" t="s">
        <v>361</v>
      </c>
      <c r="G864" t="s">
        <v>88</v>
      </c>
      <c r="H864" t="s">
        <v>368</v>
      </c>
      <c r="I864" t="s">
        <v>359</v>
      </c>
      <c r="J864">
        <v>17</v>
      </c>
      <c r="K864">
        <v>2</v>
      </c>
      <c r="L864">
        <v>9550000</v>
      </c>
      <c r="M864">
        <v>34850000</v>
      </c>
      <c r="N864" t="s">
        <v>142</v>
      </c>
      <c r="O864" t="s">
        <v>151</v>
      </c>
      <c r="P864">
        <v>3</v>
      </c>
      <c r="Q864">
        <v>1</v>
      </c>
      <c r="R864">
        <v>2</v>
      </c>
      <c r="S864">
        <v>1</v>
      </c>
      <c r="T864">
        <v>6</v>
      </c>
      <c r="U864">
        <v>2</v>
      </c>
      <c r="V864">
        <v>18</v>
      </c>
      <c r="W864">
        <v>5</v>
      </c>
      <c r="X864">
        <v>5</v>
      </c>
      <c r="Y864">
        <v>18</v>
      </c>
      <c r="Z864">
        <v>3</v>
      </c>
      <c r="AA864">
        <v>4</v>
      </c>
      <c r="AB864">
        <v>2</v>
      </c>
      <c r="AC864">
        <v>1</v>
      </c>
      <c r="AD864">
        <v>18</v>
      </c>
      <c r="AE864">
        <v>11</v>
      </c>
      <c r="AF864">
        <v>6</v>
      </c>
      <c r="AG864">
        <v>5</v>
      </c>
      <c r="AH864">
        <v>2</v>
      </c>
      <c r="AI864">
        <v>1</v>
      </c>
    </row>
    <row r="865" spans="1:35" hidden="1" x14ac:dyDescent="0.25">
      <c r="A865">
        <v>2022</v>
      </c>
      <c r="B865" s="1">
        <v>44787</v>
      </c>
      <c r="C865">
        <v>22</v>
      </c>
      <c r="D865">
        <v>33355</v>
      </c>
      <c r="E865">
        <v>60326</v>
      </c>
      <c r="F865" t="s">
        <v>361</v>
      </c>
      <c r="G865" t="s">
        <v>63</v>
      </c>
      <c r="H865" t="s">
        <v>368</v>
      </c>
      <c r="I865" t="s">
        <v>65</v>
      </c>
      <c r="J865">
        <v>14</v>
      </c>
      <c r="K865">
        <v>17</v>
      </c>
      <c r="L865">
        <v>9550000</v>
      </c>
      <c r="M865">
        <v>12000000</v>
      </c>
      <c r="N865" t="s">
        <v>134</v>
      </c>
      <c r="O865">
        <v>30</v>
      </c>
      <c r="P865">
        <v>0</v>
      </c>
      <c r="Q865">
        <v>1</v>
      </c>
      <c r="R865">
        <v>0</v>
      </c>
      <c r="S865">
        <v>1</v>
      </c>
      <c r="T865">
        <v>4</v>
      </c>
      <c r="U865">
        <v>8</v>
      </c>
      <c r="V865">
        <v>9</v>
      </c>
      <c r="W865">
        <v>13</v>
      </c>
      <c r="X865">
        <v>10</v>
      </c>
      <c r="Y865">
        <v>9</v>
      </c>
      <c r="Z865">
        <v>5</v>
      </c>
      <c r="AA865">
        <v>3</v>
      </c>
      <c r="AB865">
        <v>2</v>
      </c>
      <c r="AC865">
        <v>1</v>
      </c>
      <c r="AD865">
        <v>13</v>
      </c>
      <c r="AE865">
        <v>12</v>
      </c>
      <c r="AF865">
        <v>5</v>
      </c>
      <c r="AG865">
        <v>4</v>
      </c>
      <c r="AH865">
        <v>-1</v>
      </c>
      <c r="AI865">
        <v>0</v>
      </c>
    </row>
    <row r="866" spans="1:35" hidden="1" x14ac:dyDescent="0.25">
      <c r="A866">
        <v>2022</v>
      </c>
      <c r="B866" s="1">
        <v>44822</v>
      </c>
      <c r="C866">
        <v>27</v>
      </c>
      <c r="D866">
        <v>43000</v>
      </c>
      <c r="E866">
        <v>60326</v>
      </c>
      <c r="F866" t="s">
        <v>361</v>
      </c>
      <c r="G866" t="s">
        <v>62</v>
      </c>
      <c r="H866" t="s">
        <v>241</v>
      </c>
      <c r="I866" t="s">
        <v>40</v>
      </c>
      <c r="J866">
        <v>14</v>
      </c>
      <c r="K866">
        <v>13</v>
      </c>
      <c r="L866">
        <v>10450000</v>
      </c>
      <c r="M866">
        <v>33500000</v>
      </c>
      <c r="N866" t="s">
        <v>59</v>
      </c>
      <c r="O866" t="s">
        <v>41</v>
      </c>
      <c r="P866">
        <v>0</v>
      </c>
      <c r="Q866">
        <v>2</v>
      </c>
      <c r="R866">
        <v>0</v>
      </c>
      <c r="S866">
        <v>1</v>
      </c>
      <c r="T866">
        <v>4</v>
      </c>
      <c r="U866">
        <v>10</v>
      </c>
      <c r="V866">
        <v>15</v>
      </c>
      <c r="W866">
        <v>11</v>
      </c>
      <c r="X866">
        <v>11</v>
      </c>
      <c r="Y866">
        <v>14</v>
      </c>
      <c r="Z866">
        <v>5</v>
      </c>
      <c r="AA866">
        <v>1</v>
      </c>
      <c r="AB866">
        <v>0</v>
      </c>
      <c r="AC866">
        <v>0</v>
      </c>
      <c r="AD866">
        <v>8</v>
      </c>
      <c r="AE866">
        <v>21</v>
      </c>
      <c r="AF866">
        <v>6</v>
      </c>
      <c r="AG866">
        <v>8</v>
      </c>
      <c r="AH866">
        <v>-2</v>
      </c>
      <c r="AI866">
        <v>0</v>
      </c>
    </row>
    <row r="867" spans="1:35" hidden="1" x14ac:dyDescent="0.25">
      <c r="A867">
        <v>2022</v>
      </c>
      <c r="B867" s="1">
        <v>44836</v>
      </c>
      <c r="C867">
        <v>29</v>
      </c>
      <c r="D867">
        <v>13976</v>
      </c>
      <c r="E867">
        <v>60326</v>
      </c>
      <c r="F867" t="s">
        <v>361</v>
      </c>
      <c r="G867" t="s">
        <v>310</v>
      </c>
      <c r="H867" t="s">
        <v>241</v>
      </c>
      <c r="I867" t="s">
        <v>312</v>
      </c>
      <c r="J867">
        <v>16</v>
      </c>
      <c r="K867">
        <v>8</v>
      </c>
      <c r="L867">
        <v>11000000</v>
      </c>
      <c r="M867">
        <v>7900000</v>
      </c>
      <c r="N867" t="s">
        <v>74</v>
      </c>
      <c r="O867" t="s">
        <v>299</v>
      </c>
      <c r="P867">
        <v>1</v>
      </c>
      <c r="Q867">
        <v>2</v>
      </c>
      <c r="R867">
        <v>0</v>
      </c>
      <c r="S867">
        <v>1</v>
      </c>
      <c r="T867">
        <v>5</v>
      </c>
      <c r="U867">
        <v>4</v>
      </c>
      <c r="V867">
        <v>15</v>
      </c>
      <c r="W867">
        <v>23</v>
      </c>
      <c r="X867">
        <v>22</v>
      </c>
      <c r="Y867">
        <v>15</v>
      </c>
      <c r="Z867">
        <v>2</v>
      </c>
      <c r="AA867">
        <v>3</v>
      </c>
      <c r="AB867">
        <v>0</v>
      </c>
      <c r="AC867">
        <v>1</v>
      </c>
      <c r="AD867">
        <v>16</v>
      </c>
      <c r="AE867">
        <v>11</v>
      </c>
      <c r="AF867">
        <v>8</v>
      </c>
      <c r="AG867">
        <v>5</v>
      </c>
      <c r="AH867">
        <v>-1</v>
      </c>
      <c r="AI867">
        <v>0</v>
      </c>
    </row>
    <row r="868" spans="1:35" hidden="1" x14ac:dyDescent="0.25">
      <c r="A868">
        <v>2022</v>
      </c>
      <c r="B868" s="1">
        <v>44661</v>
      </c>
      <c r="C868">
        <v>1</v>
      </c>
      <c r="D868">
        <v>18279</v>
      </c>
      <c r="E868">
        <v>60326</v>
      </c>
      <c r="F868" t="s">
        <v>63</v>
      </c>
      <c r="G868" t="s">
        <v>70</v>
      </c>
      <c r="H868" t="s">
        <v>65</v>
      </c>
      <c r="I868" t="s">
        <v>374</v>
      </c>
      <c r="J868">
        <v>16</v>
      </c>
      <c r="K868">
        <v>7</v>
      </c>
      <c r="L868">
        <v>11050000</v>
      </c>
      <c r="M868">
        <v>10250000</v>
      </c>
      <c r="N868" t="s">
        <v>114</v>
      </c>
      <c r="O868" t="s">
        <v>235</v>
      </c>
      <c r="P868">
        <v>0</v>
      </c>
      <c r="Q868">
        <v>1</v>
      </c>
      <c r="R868">
        <v>0</v>
      </c>
      <c r="S868">
        <v>1</v>
      </c>
      <c r="T868">
        <v>7</v>
      </c>
      <c r="U868">
        <v>1</v>
      </c>
      <c r="V868">
        <v>22</v>
      </c>
      <c r="W868">
        <v>23</v>
      </c>
      <c r="X868">
        <v>19</v>
      </c>
      <c r="Y868">
        <v>21</v>
      </c>
      <c r="Z868">
        <v>3</v>
      </c>
      <c r="AA868">
        <v>5</v>
      </c>
      <c r="AB868">
        <v>1</v>
      </c>
      <c r="AC868">
        <v>0</v>
      </c>
      <c r="AD868">
        <v>22</v>
      </c>
      <c r="AE868">
        <v>9</v>
      </c>
      <c r="AF868">
        <v>7</v>
      </c>
      <c r="AG868">
        <v>3</v>
      </c>
      <c r="AH868">
        <v>-1</v>
      </c>
      <c r="AI868">
        <v>0</v>
      </c>
    </row>
    <row r="869" spans="1:35" hidden="1" x14ac:dyDescent="0.25">
      <c r="A869">
        <v>2022</v>
      </c>
      <c r="B869" s="1">
        <v>44714</v>
      </c>
      <c r="C869">
        <v>3</v>
      </c>
      <c r="D869">
        <v>37372</v>
      </c>
      <c r="E869">
        <v>60326</v>
      </c>
      <c r="F869" t="s">
        <v>63</v>
      </c>
      <c r="G869" t="s">
        <v>361</v>
      </c>
      <c r="H869" t="s">
        <v>65</v>
      </c>
      <c r="I869" t="s">
        <v>315</v>
      </c>
      <c r="J869">
        <v>19</v>
      </c>
      <c r="K869">
        <v>12</v>
      </c>
      <c r="L869">
        <v>11750000</v>
      </c>
      <c r="M869">
        <v>9400000</v>
      </c>
      <c r="N869" t="s">
        <v>100</v>
      </c>
      <c r="O869" t="s">
        <v>92</v>
      </c>
      <c r="P869">
        <v>0</v>
      </c>
      <c r="Q869">
        <v>1</v>
      </c>
      <c r="R869">
        <v>0</v>
      </c>
      <c r="S869">
        <v>1</v>
      </c>
      <c r="T869">
        <v>4</v>
      </c>
      <c r="U869">
        <v>1</v>
      </c>
      <c r="V869">
        <v>18</v>
      </c>
      <c r="W869">
        <v>18</v>
      </c>
      <c r="X869">
        <v>17</v>
      </c>
      <c r="Y869">
        <v>16</v>
      </c>
      <c r="Z869">
        <v>6</v>
      </c>
      <c r="AA869">
        <v>3</v>
      </c>
      <c r="AB869">
        <v>0</v>
      </c>
      <c r="AC869">
        <v>2</v>
      </c>
      <c r="AD869">
        <v>11</v>
      </c>
      <c r="AE869">
        <v>19</v>
      </c>
      <c r="AF869">
        <v>6</v>
      </c>
      <c r="AG869">
        <v>7</v>
      </c>
      <c r="AH869">
        <v>-1</v>
      </c>
      <c r="AI869">
        <v>0</v>
      </c>
    </row>
    <row r="870" spans="1:35" hidden="1" x14ac:dyDescent="0.25">
      <c r="A870">
        <v>2022</v>
      </c>
      <c r="B870" s="1">
        <v>44703</v>
      </c>
      <c r="C870">
        <v>7</v>
      </c>
      <c r="D870">
        <v>37507</v>
      </c>
      <c r="E870">
        <v>60326</v>
      </c>
      <c r="F870" t="s">
        <v>63</v>
      </c>
      <c r="G870" t="s">
        <v>55</v>
      </c>
      <c r="H870" t="s">
        <v>65</v>
      </c>
      <c r="I870" t="s">
        <v>57</v>
      </c>
      <c r="J870">
        <v>20</v>
      </c>
      <c r="K870">
        <v>12</v>
      </c>
      <c r="L870">
        <v>11550000</v>
      </c>
      <c r="M870">
        <v>37000000</v>
      </c>
      <c r="N870" t="s">
        <v>128</v>
      </c>
      <c r="O870" t="s">
        <v>74</v>
      </c>
      <c r="P870">
        <v>0</v>
      </c>
      <c r="Q870">
        <v>1</v>
      </c>
      <c r="R870">
        <v>0</v>
      </c>
      <c r="S870">
        <v>1</v>
      </c>
      <c r="T870">
        <v>12</v>
      </c>
      <c r="U870">
        <v>5</v>
      </c>
      <c r="V870">
        <v>13</v>
      </c>
      <c r="W870">
        <v>14</v>
      </c>
      <c r="X870">
        <v>13</v>
      </c>
      <c r="Y870">
        <v>11</v>
      </c>
      <c r="Z870">
        <v>2</v>
      </c>
      <c r="AA870">
        <v>8</v>
      </c>
      <c r="AB870">
        <v>0</v>
      </c>
      <c r="AC870">
        <v>3</v>
      </c>
      <c r="AD870">
        <v>23</v>
      </c>
      <c r="AE870">
        <v>7</v>
      </c>
      <c r="AF870">
        <v>7</v>
      </c>
      <c r="AG870">
        <v>4</v>
      </c>
      <c r="AH870">
        <v>-1</v>
      </c>
      <c r="AI870">
        <v>0</v>
      </c>
    </row>
    <row r="871" spans="1:35" hidden="1" x14ac:dyDescent="0.25">
      <c r="A871">
        <v>2022</v>
      </c>
      <c r="B871" s="1">
        <v>44871</v>
      </c>
      <c r="C871">
        <v>36</v>
      </c>
      <c r="D871">
        <v>44810</v>
      </c>
      <c r="E871">
        <v>60326</v>
      </c>
      <c r="F871" t="s">
        <v>63</v>
      </c>
      <c r="G871" t="s">
        <v>76</v>
      </c>
      <c r="H871" t="s">
        <v>65</v>
      </c>
      <c r="I871" t="s">
        <v>375</v>
      </c>
      <c r="J871">
        <v>10</v>
      </c>
      <c r="K871">
        <v>18</v>
      </c>
      <c r="L871">
        <v>14450000</v>
      </c>
      <c r="M871">
        <v>8500000</v>
      </c>
      <c r="N871" t="s">
        <v>193</v>
      </c>
      <c r="O871" t="s">
        <v>99</v>
      </c>
      <c r="P871">
        <v>1</v>
      </c>
      <c r="Q871">
        <v>1</v>
      </c>
      <c r="R871">
        <v>0</v>
      </c>
      <c r="S871">
        <v>1</v>
      </c>
      <c r="T871">
        <v>11</v>
      </c>
      <c r="U871">
        <v>3</v>
      </c>
      <c r="V871">
        <v>9</v>
      </c>
      <c r="W871">
        <v>12</v>
      </c>
      <c r="X871">
        <v>11</v>
      </c>
      <c r="Y871">
        <v>8</v>
      </c>
      <c r="Z871">
        <v>5</v>
      </c>
      <c r="AA871">
        <v>5</v>
      </c>
      <c r="AB871">
        <v>2</v>
      </c>
      <c r="AC871">
        <v>1</v>
      </c>
      <c r="AD871">
        <v>18</v>
      </c>
      <c r="AE871">
        <v>13</v>
      </c>
      <c r="AF871">
        <v>7</v>
      </c>
      <c r="AG871">
        <v>6</v>
      </c>
      <c r="AH871">
        <v>0</v>
      </c>
      <c r="AI871">
        <v>0</v>
      </c>
    </row>
    <row r="872" spans="1:35" hidden="1" x14ac:dyDescent="0.25">
      <c r="A872">
        <v>2022</v>
      </c>
      <c r="B872" s="1">
        <v>44663</v>
      </c>
      <c r="C872">
        <v>1</v>
      </c>
      <c r="D872">
        <v>3300</v>
      </c>
      <c r="E872">
        <v>23726</v>
      </c>
      <c r="F872" t="s">
        <v>44</v>
      </c>
      <c r="G872" t="s">
        <v>56</v>
      </c>
      <c r="H872" t="s">
        <v>369</v>
      </c>
      <c r="I872" t="s">
        <v>341</v>
      </c>
      <c r="J872">
        <v>8</v>
      </c>
      <c r="K872">
        <v>9</v>
      </c>
      <c r="L872">
        <v>8000000</v>
      </c>
      <c r="M872">
        <v>37700000</v>
      </c>
      <c r="N872" t="s">
        <v>74</v>
      </c>
      <c r="O872" t="s">
        <v>385</v>
      </c>
      <c r="P872">
        <v>2</v>
      </c>
      <c r="Q872">
        <v>2</v>
      </c>
      <c r="R872">
        <v>1</v>
      </c>
      <c r="S872">
        <v>1</v>
      </c>
      <c r="T872">
        <v>5</v>
      </c>
      <c r="U872">
        <v>4</v>
      </c>
      <c r="V872">
        <v>16</v>
      </c>
      <c r="W872">
        <v>17</v>
      </c>
      <c r="X872">
        <v>16</v>
      </c>
      <c r="Y872">
        <v>16</v>
      </c>
      <c r="Z872">
        <v>1</v>
      </c>
      <c r="AA872">
        <v>6</v>
      </c>
      <c r="AB872">
        <v>5</v>
      </c>
      <c r="AC872">
        <v>1</v>
      </c>
      <c r="AD872">
        <v>13</v>
      </c>
      <c r="AE872">
        <v>15</v>
      </c>
      <c r="AF872">
        <v>3</v>
      </c>
      <c r="AG872">
        <v>8</v>
      </c>
      <c r="AH872">
        <v>0</v>
      </c>
      <c r="AI872">
        <v>0</v>
      </c>
    </row>
    <row r="873" spans="1:35" hidden="1" x14ac:dyDescent="0.25">
      <c r="A873">
        <v>2022</v>
      </c>
      <c r="B873" s="1">
        <v>44721</v>
      </c>
      <c r="C873">
        <v>10</v>
      </c>
      <c r="D873">
        <v>3590</v>
      </c>
      <c r="E873">
        <v>23726</v>
      </c>
      <c r="F873" t="s">
        <v>44</v>
      </c>
      <c r="G873" t="s">
        <v>69</v>
      </c>
      <c r="H873" t="s">
        <v>369</v>
      </c>
      <c r="I873" t="s">
        <v>336</v>
      </c>
      <c r="J873">
        <v>17</v>
      </c>
      <c r="K873">
        <v>8</v>
      </c>
      <c r="L873">
        <v>6650000</v>
      </c>
      <c r="M873">
        <v>27700000</v>
      </c>
      <c r="N873" t="s">
        <v>151</v>
      </c>
      <c r="O873" t="s">
        <v>145</v>
      </c>
      <c r="P873">
        <v>1</v>
      </c>
      <c r="Q873">
        <v>3</v>
      </c>
      <c r="R873">
        <v>1</v>
      </c>
      <c r="S873">
        <v>1</v>
      </c>
      <c r="T873">
        <v>11</v>
      </c>
      <c r="U873">
        <v>5</v>
      </c>
      <c r="V873">
        <v>9</v>
      </c>
      <c r="W873">
        <v>10</v>
      </c>
      <c r="X873">
        <v>10</v>
      </c>
      <c r="Y873">
        <v>8</v>
      </c>
      <c r="Z873">
        <v>3</v>
      </c>
      <c r="AA873">
        <v>3</v>
      </c>
      <c r="AB873">
        <v>0</v>
      </c>
      <c r="AC873">
        <v>1</v>
      </c>
      <c r="AD873">
        <v>18</v>
      </c>
      <c r="AE873">
        <v>7</v>
      </c>
      <c r="AF873">
        <v>8</v>
      </c>
      <c r="AG873">
        <v>0</v>
      </c>
      <c r="AH873">
        <v>-2</v>
      </c>
      <c r="AI873">
        <v>0</v>
      </c>
    </row>
    <row r="874" spans="1:35" hidden="1" x14ac:dyDescent="0.25">
      <c r="A874">
        <v>2022</v>
      </c>
      <c r="B874" s="1">
        <v>44744</v>
      </c>
      <c r="C874">
        <v>15</v>
      </c>
      <c r="D874">
        <v>6565</v>
      </c>
      <c r="E874">
        <v>23726</v>
      </c>
      <c r="F874" t="s">
        <v>44</v>
      </c>
      <c r="G874" t="s">
        <v>89</v>
      </c>
      <c r="H874" t="s">
        <v>238</v>
      </c>
      <c r="I874" t="s">
        <v>370</v>
      </c>
      <c r="J874">
        <v>19</v>
      </c>
      <c r="K874">
        <v>5</v>
      </c>
      <c r="L874">
        <v>6750000</v>
      </c>
      <c r="M874">
        <v>48500000</v>
      </c>
      <c r="N874" t="s">
        <v>111</v>
      </c>
      <c r="O874" t="s">
        <v>105</v>
      </c>
      <c r="P874">
        <v>1</v>
      </c>
      <c r="Q874">
        <v>2</v>
      </c>
      <c r="R874">
        <v>0</v>
      </c>
      <c r="S874">
        <v>1</v>
      </c>
      <c r="T874">
        <v>6</v>
      </c>
      <c r="U874">
        <v>6</v>
      </c>
      <c r="V874">
        <v>11</v>
      </c>
      <c r="W874">
        <v>11</v>
      </c>
      <c r="X874">
        <v>11</v>
      </c>
      <c r="Y874">
        <v>11</v>
      </c>
      <c r="Z874">
        <v>2</v>
      </c>
      <c r="AA874">
        <v>2</v>
      </c>
      <c r="AB874">
        <v>1</v>
      </c>
      <c r="AC874">
        <v>0</v>
      </c>
      <c r="AD874">
        <v>17</v>
      </c>
      <c r="AE874">
        <v>8</v>
      </c>
      <c r="AF874">
        <v>8</v>
      </c>
      <c r="AG874">
        <v>2</v>
      </c>
      <c r="AH874">
        <v>-1</v>
      </c>
      <c r="AI874">
        <v>0</v>
      </c>
    </row>
    <row r="875" spans="1:35" hidden="1" x14ac:dyDescent="0.25">
      <c r="A875">
        <v>2022</v>
      </c>
      <c r="B875" s="1">
        <v>44822</v>
      </c>
      <c r="C875">
        <v>27</v>
      </c>
      <c r="D875">
        <v>2144</v>
      </c>
      <c r="E875">
        <v>23726</v>
      </c>
      <c r="F875" t="s">
        <v>44</v>
      </c>
      <c r="G875" t="s">
        <v>63</v>
      </c>
      <c r="H875" t="s">
        <v>238</v>
      </c>
      <c r="I875" t="s">
        <v>65</v>
      </c>
      <c r="J875">
        <v>20</v>
      </c>
      <c r="K875">
        <v>15</v>
      </c>
      <c r="L875">
        <v>7300000</v>
      </c>
      <c r="M875">
        <v>13950000</v>
      </c>
      <c r="N875" t="s">
        <v>66</v>
      </c>
      <c r="O875" t="s">
        <v>200</v>
      </c>
      <c r="P875">
        <v>1</v>
      </c>
      <c r="Q875">
        <v>1</v>
      </c>
      <c r="R875">
        <v>0</v>
      </c>
      <c r="S875">
        <v>1</v>
      </c>
      <c r="T875">
        <v>14</v>
      </c>
      <c r="U875">
        <v>2</v>
      </c>
      <c r="V875">
        <v>14</v>
      </c>
      <c r="W875">
        <v>17</v>
      </c>
      <c r="X875">
        <v>17</v>
      </c>
      <c r="Y875">
        <v>14</v>
      </c>
      <c r="Z875">
        <v>1</v>
      </c>
      <c r="AA875">
        <v>6</v>
      </c>
      <c r="AB875">
        <v>1</v>
      </c>
      <c r="AC875">
        <v>1</v>
      </c>
      <c r="AD875">
        <v>18</v>
      </c>
      <c r="AE875">
        <v>11</v>
      </c>
      <c r="AF875">
        <v>8</v>
      </c>
      <c r="AG875">
        <v>10</v>
      </c>
      <c r="AH875">
        <v>0</v>
      </c>
      <c r="AI875">
        <v>0</v>
      </c>
    </row>
    <row r="876" spans="1:35" hidden="1" x14ac:dyDescent="0.25">
      <c r="A876">
        <v>2022</v>
      </c>
      <c r="B876" s="1">
        <v>44839</v>
      </c>
      <c r="C876">
        <v>30</v>
      </c>
      <c r="D876">
        <v>3159</v>
      </c>
      <c r="E876">
        <v>23726</v>
      </c>
      <c r="F876" t="s">
        <v>44</v>
      </c>
      <c r="G876" t="s">
        <v>88</v>
      </c>
      <c r="H876" t="s">
        <v>364</v>
      </c>
      <c r="I876" t="s">
        <v>359</v>
      </c>
      <c r="J876">
        <v>20</v>
      </c>
      <c r="K876">
        <v>4</v>
      </c>
      <c r="L876">
        <v>6100000</v>
      </c>
      <c r="M876">
        <v>47300000</v>
      </c>
      <c r="N876" t="s">
        <v>120</v>
      </c>
      <c r="O876" t="s">
        <v>123</v>
      </c>
      <c r="P876">
        <v>2</v>
      </c>
      <c r="Q876">
        <v>2</v>
      </c>
      <c r="R876">
        <v>0</v>
      </c>
      <c r="S876">
        <v>1</v>
      </c>
      <c r="T876">
        <v>2</v>
      </c>
      <c r="U876">
        <v>5</v>
      </c>
      <c r="V876">
        <v>9</v>
      </c>
      <c r="W876">
        <v>7</v>
      </c>
      <c r="X876">
        <v>6</v>
      </c>
      <c r="Y876">
        <v>8</v>
      </c>
      <c r="Z876">
        <v>4</v>
      </c>
      <c r="AA876">
        <v>0</v>
      </c>
      <c r="AB876">
        <v>1</v>
      </c>
      <c r="AC876">
        <v>1</v>
      </c>
      <c r="AD876">
        <v>17</v>
      </c>
      <c r="AE876">
        <v>12</v>
      </c>
      <c r="AF876">
        <v>8</v>
      </c>
      <c r="AG876">
        <v>5</v>
      </c>
      <c r="AH876">
        <v>0</v>
      </c>
      <c r="AI876">
        <v>0</v>
      </c>
    </row>
    <row r="877" spans="1:35" hidden="1" x14ac:dyDescent="0.25">
      <c r="A877">
        <v>2022</v>
      </c>
      <c r="B877" s="1">
        <v>44857</v>
      </c>
      <c r="C877">
        <v>33</v>
      </c>
      <c r="D877">
        <v>3204</v>
      </c>
      <c r="E877">
        <v>23726</v>
      </c>
      <c r="F877" t="s">
        <v>44</v>
      </c>
      <c r="G877" t="s">
        <v>62</v>
      </c>
      <c r="H877" t="s">
        <v>364</v>
      </c>
      <c r="I877" t="s">
        <v>40</v>
      </c>
      <c r="J877">
        <v>20</v>
      </c>
      <c r="K877">
        <v>10</v>
      </c>
      <c r="L877">
        <v>5900000</v>
      </c>
      <c r="M877">
        <v>30500000</v>
      </c>
      <c r="N877" t="s">
        <v>163</v>
      </c>
      <c r="O877">
        <v>27</v>
      </c>
      <c r="P877">
        <v>1</v>
      </c>
      <c r="Q877">
        <v>2</v>
      </c>
      <c r="R877">
        <v>1</v>
      </c>
      <c r="S877">
        <v>1</v>
      </c>
      <c r="T877">
        <v>5</v>
      </c>
      <c r="U877">
        <v>6</v>
      </c>
      <c r="V877">
        <v>6</v>
      </c>
      <c r="W877">
        <v>10</v>
      </c>
      <c r="X877">
        <v>10</v>
      </c>
      <c r="Y877">
        <v>6</v>
      </c>
      <c r="Z877">
        <v>4</v>
      </c>
      <c r="AA877">
        <v>2</v>
      </c>
      <c r="AB877">
        <v>2</v>
      </c>
      <c r="AC877">
        <v>1</v>
      </c>
      <c r="AD877">
        <v>13</v>
      </c>
      <c r="AE877">
        <v>13</v>
      </c>
      <c r="AF877">
        <v>8</v>
      </c>
      <c r="AG877">
        <v>3</v>
      </c>
      <c r="AH877">
        <v>-1</v>
      </c>
      <c r="AI877">
        <v>0</v>
      </c>
    </row>
    <row r="878" spans="1:35" hidden="1" x14ac:dyDescent="0.25">
      <c r="A878">
        <v>2022</v>
      </c>
      <c r="B878" s="1">
        <v>44875</v>
      </c>
      <c r="C878">
        <v>37</v>
      </c>
      <c r="D878">
        <v>5231</v>
      </c>
      <c r="E878">
        <v>23726</v>
      </c>
      <c r="F878" t="s">
        <v>44</v>
      </c>
      <c r="G878" t="s">
        <v>77</v>
      </c>
      <c r="H878" t="s">
        <v>360</v>
      </c>
      <c r="I878" t="s">
        <v>315</v>
      </c>
      <c r="J878">
        <v>20</v>
      </c>
      <c r="K878">
        <v>5</v>
      </c>
      <c r="L878">
        <v>5650000</v>
      </c>
      <c r="M878">
        <v>61500000</v>
      </c>
      <c r="N878" t="s">
        <v>104</v>
      </c>
      <c r="O878">
        <v>25</v>
      </c>
      <c r="P878">
        <v>2</v>
      </c>
      <c r="Q878">
        <v>2</v>
      </c>
      <c r="R878">
        <v>2</v>
      </c>
      <c r="S878">
        <v>1</v>
      </c>
      <c r="T878">
        <v>2</v>
      </c>
      <c r="U878">
        <v>4</v>
      </c>
      <c r="V878">
        <v>17</v>
      </c>
      <c r="W878">
        <v>14</v>
      </c>
      <c r="X878">
        <v>14</v>
      </c>
      <c r="Y878">
        <v>16</v>
      </c>
      <c r="Z878">
        <v>1</v>
      </c>
      <c r="AA878">
        <v>2</v>
      </c>
      <c r="AB878">
        <v>0</v>
      </c>
      <c r="AC878">
        <v>0</v>
      </c>
      <c r="AD878">
        <v>11</v>
      </c>
      <c r="AE878">
        <v>10</v>
      </c>
      <c r="AF878">
        <v>6</v>
      </c>
      <c r="AG878">
        <v>6</v>
      </c>
      <c r="AH878">
        <v>0</v>
      </c>
      <c r="AI878">
        <v>0</v>
      </c>
    </row>
    <row r="879" spans="1:35" hidden="1" x14ac:dyDescent="0.25">
      <c r="A879">
        <v>2022</v>
      </c>
      <c r="B879" s="1">
        <v>44728</v>
      </c>
      <c r="C879">
        <v>12</v>
      </c>
      <c r="D879">
        <v>38888</v>
      </c>
      <c r="E879">
        <v>43600</v>
      </c>
      <c r="F879" t="s">
        <v>95</v>
      </c>
      <c r="G879" t="s">
        <v>76</v>
      </c>
      <c r="J879">
        <v>1</v>
      </c>
      <c r="K879">
        <v>15</v>
      </c>
      <c r="L879">
        <v>90000000</v>
      </c>
      <c r="M879">
        <v>8100000</v>
      </c>
      <c r="N879" t="s">
        <v>163</v>
      </c>
      <c r="O879" t="s">
        <v>135</v>
      </c>
      <c r="P879">
        <v>4</v>
      </c>
      <c r="Q879">
        <v>2</v>
      </c>
      <c r="R879">
        <v>4</v>
      </c>
      <c r="S879">
        <v>1</v>
      </c>
      <c r="T879">
        <v>12</v>
      </c>
      <c r="U879">
        <v>4</v>
      </c>
      <c r="V879">
        <v>12</v>
      </c>
      <c r="W879">
        <v>16</v>
      </c>
      <c r="X879">
        <v>15</v>
      </c>
      <c r="Y879">
        <v>11</v>
      </c>
      <c r="Z879">
        <v>1</v>
      </c>
      <c r="AA879">
        <v>8</v>
      </c>
      <c r="AB879">
        <v>2</v>
      </c>
      <c r="AC879">
        <v>2</v>
      </c>
      <c r="AD879">
        <v>28</v>
      </c>
      <c r="AE879">
        <v>10</v>
      </c>
      <c r="AF879">
        <v>12</v>
      </c>
      <c r="AG879">
        <v>5</v>
      </c>
      <c r="AH879">
        <v>2</v>
      </c>
      <c r="AI879">
        <v>1</v>
      </c>
    </row>
    <row r="880" spans="1:35" hidden="1" x14ac:dyDescent="0.25">
      <c r="A880">
        <v>2022</v>
      </c>
      <c r="B880" s="1">
        <v>44745</v>
      </c>
      <c r="C880">
        <v>15</v>
      </c>
      <c r="D880">
        <v>39192</v>
      </c>
      <c r="E880">
        <v>43600</v>
      </c>
      <c r="F880" t="s">
        <v>95</v>
      </c>
      <c r="G880" t="s">
        <v>69</v>
      </c>
      <c r="H880" t="s">
        <v>97</v>
      </c>
      <c r="I880" t="s">
        <v>336</v>
      </c>
      <c r="J880">
        <v>1</v>
      </c>
      <c r="K880">
        <v>3</v>
      </c>
      <c r="L880">
        <v>87500000</v>
      </c>
      <c r="M880">
        <v>21650000</v>
      </c>
      <c r="N880" t="s">
        <v>98</v>
      </c>
      <c r="O880" t="s">
        <v>351</v>
      </c>
      <c r="P880">
        <v>0</v>
      </c>
      <c r="Q880">
        <v>2</v>
      </c>
      <c r="R880">
        <v>0</v>
      </c>
      <c r="S880">
        <v>1</v>
      </c>
      <c r="T880">
        <v>9</v>
      </c>
      <c r="U880">
        <v>2</v>
      </c>
      <c r="V880">
        <v>12</v>
      </c>
      <c r="W880">
        <v>15</v>
      </c>
      <c r="X880">
        <v>15</v>
      </c>
      <c r="Y880">
        <v>10</v>
      </c>
      <c r="Z880">
        <v>2</v>
      </c>
      <c r="AA880">
        <v>7</v>
      </c>
      <c r="AB880">
        <v>0</v>
      </c>
      <c r="AC880">
        <v>0</v>
      </c>
      <c r="AD880">
        <v>35</v>
      </c>
      <c r="AE880">
        <v>13</v>
      </c>
      <c r="AF880">
        <v>21</v>
      </c>
      <c r="AG880">
        <v>3</v>
      </c>
      <c r="AH880">
        <v>-2</v>
      </c>
      <c r="AI880">
        <v>0</v>
      </c>
    </row>
    <row r="881" spans="1:35" hidden="1" x14ac:dyDescent="0.25">
      <c r="A881">
        <v>2022</v>
      </c>
      <c r="B881" s="1">
        <v>44794</v>
      </c>
      <c r="C881">
        <v>23</v>
      </c>
      <c r="D881">
        <v>40485</v>
      </c>
      <c r="E881">
        <v>43600</v>
      </c>
      <c r="F881" t="s">
        <v>95</v>
      </c>
      <c r="G881" t="s">
        <v>77</v>
      </c>
      <c r="H881" t="s">
        <v>97</v>
      </c>
      <c r="I881" t="s">
        <v>315</v>
      </c>
      <c r="J881">
        <v>1</v>
      </c>
      <c r="K881">
        <v>2</v>
      </c>
      <c r="L881">
        <v>95500000</v>
      </c>
      <c r="M881">
        <v>61500000</v>
      </c>
      <c r="N881" t="s">
        <v>66</v>
      </c>
      <c r="O881" t="s">
        <v>149</v>
      </c>
      <c r="P881">
        <v>1</v>
      </c>
      <c r="Q881">
        <v>1</v>
      </c>
      <c r="R881">
        <v>0</v>
      </c>
      <c r="S881">
        <v>1</v>
      </c>
      <c r="T881">
        <v>10</v>
      </c>
      <c r="U881">
        <v>4</v>
      </c>
      <c r="V881">
        <v>11</v>
      </c>
      <c r="W881">
        <v>16</v>
      </c>
      <c r="X881">
        <v>15</v>
      </c>
      <c r="Y881">
        <v>11</v>
      </c>
      <c r="Z881">
        <v>4</v>
      </c>
      <c r="AA881">
        <v>2</v>
      </c>
      <c r="AB881">
        <v>1</v>
      </c>
      <c r="AC881">
        <v>0</v>
      </c>
      <c r="AD881">
        <v>20</v>
      </c>
      <c r="AE881">
        <v>11</v>
      </c>
      <c r="AF881">
        <v>11</v>
      </c>
      <c r="AG881">
        <v>4</v>
      </c>
      <c r="AH881">
        <v>0</v>
      </c>
      <c r="AI881">
        <v>0</v>
      </c>
    </row>
    <row r="882" spans="1:35" hidden="1" x14ac:dyDescent="0.25">
      <c r="A882">
        <v>2022</v>
      </c>
      <c r="B882" s="1">
        <v>44875</v>
      </c>
      <c r="C882">
        <v>37</v>
      </c>
      <c r="D882">
        <v>28721</v>
      </c>
      <c r="E882">
        <v>43600</v>
      </c>
      <c r="F882" t="s">
        <v>95</v>
      </c>
      <c r="G882" t="s">
        <v>310</v>
      </c>
      <c r="H882" t="s">
        <v>97</v>
      </c>
      <c r="I882" t="s">
        <v>312</v>
      </c>
      <c r="J882">
        <v>1</v>
      </c>
      <c r="K882">
        <v>7</v>
      </c>
      <c r="L882">
        <v>96300000</v>
      </c>
      <c r="M882">
        <v>8750000</v>
      </c>
      <c r="N882" t="s">
        <v>168</v>
      </c>
      <c r="O882" t="s">
        <v>138</v>
      </c>
      <c r="P882">
        <v>2</v>
      </c>
      <c r="Q882">
        <v>1</v>
      </c>
      <c r="R882">
        <v>1</v>
      </c>
      <c r="S882">
        <v>1</v>
      </c>
      <c r="T882">
        <v>10</v>
      </c>
      <c r="U882">
        <v>3</v>
      </c>
      <c r="V882">
        <v>11</v>
      </c>
      <c r="W882">
        <v>11</v>
      </c>
      <c r="X882">
        <v>11</v>
      </c>
      <c r="Y882">
        <v>11</v>
      </c>
      <c r="Z882">
        <v>1</v>
      </c>
      <c r="AA882">
        <v>7</v>
      </c>
      <c r="AB882">
        <v>1</v>
      </c>
      <c r="AC882">
        <v>2</v>
      </c>
      <c r="AD882">
        <v>26</v>
      </c>
      <c r="AE882">
        <v>6</v>
      </c>
      <c r="AF882">
        <v>11</v>
      </c>
      <c r="AG882">
        <v>4</v>
      </c>
      <c r="AH882">
        <v>1</v>
      </c>
      <c r="AI882">
        <v>1</v>
      </c>
    </row>
    <row r="883" spans="1:35" hidden="1" x14ac:dyDescent="0.25">
      <c r="A883">
        <v>2022</v>
      </c>
      <c r="B883" s="1">
        <v>44682</v>
      </c>
      <c r="C883">
        <v>4</v>
      </c>
      <c r="D883">
        <v>4517</v>
      </c>
      <c r="E883">
        <v>42968</v>
      </c>
      <c r="F883" t="s">
        <v>70</v>
      </c>
      <c r="G883" t="s">
        <v>76</v>
      </c>
      <c r="H883" t="s">
        <v>374</v>
      </c>
      <c r="I883" t="s">
        <v>238</v>
      </c>
      <c r="J883">
        <v>4</v>
      </c>
      <c r="K883">
        <v>17</v>
      </c>
      <c r="L883">
        <v>9200000</v>
      </c>
      <c r="M883">
        <v>9100000</v>
      </c>
      <c r="N883" t="s">
        <v>111</v>
      </c>
      <c r="O883" t="s">
        <v>151</v>
      </c>
      <c r="P883">
        <v>1</v>
      </c>
      <c r="Q883">
        <v>1</v>
      </c>
      <c r="R883">
        <v>0</v>
      </c>
      <c r="S883">
        <v>1</v>
      </c>
      <c r="T883">
        <v>4</v>
      </c>
      <c r="U883">
        <v>6</v>
      </c>
      <c r="V883">
        <v>12</v>
      </c>
      <c r="W883">
        <v>14</v>
      </c>
      <c r="X883">
        <v>14</v>
      </c>
      <c r="Y883">
        <v>11</v>
      </c>
      <c r="Z883">
        <v>6</v>
      </c>
      <c r="AA883">
        <v>4</v>
      </c>
      <c r="AB883">
        <v>1</v>
      </c>
      <c r="AC883">
        <v>0</v>
      </c>
      <c r="AD883">
        <v>17</v>
      </c>
      <c r="AE883">
        <v>14</v>
      </c>
      <c r="AF883">
        <v>7</v>
      </c>
      <c r="AG883">
        <v>6</v>
      </c>
      <c r="AH883">
        <v>0</v>
      </c>
      <c r="AI883">
        <v>0</v>
      </c>
    </row>
    <row r="884" spans="1:35" hidden="1" x14ac:dyDescent="0.25">
      <c r="A884">
        <v>2022</v>
      </c>
      <c r="B884" s="1">
        <v>44724</v>
      </c>
      <c r="C884">
        <v>11</v>
      </c>
      <c r="D884">
        <v>4476</v>
      </c>
      <c r="E884">
        <v>42968</v>
      </c>
      <c r="F884" t="s">
        <v>70</v>
      </c>
      <c r="G884" t="s">
        <v>56</v>
      </c>
      <c r="H884" t="s">
        <v>90</v>
      </c>
      <c r="I884" t="s">
        <v>341</v>
      </c>
      <c r="J884">
        <v>17</v>
      </c>
      <c r="K884">
        <v>11</v>
      </c>
      <c r="L884">
        <v>9800000</v>
      </c>
      <c r="M884">
        <v>49800000</v>
      </c>
      <c r="N884" t="s">
        <v>296</v>
      </c>
      <c r="O884">
        <v>25</v>
      </c>
      <c r="P884">
        <v>1</v>
      </c>
      <c r="Q884">
        <v>1</v>
      </c>
      <c r="R884">
        <v>1</v>
      </c>
      <c r="S884">
        <v>1</v>
      </c>
      <c r="T884">
        <v>5</v>
      </c>
      <c r="U884">
        <v>4</v>
      </c>
      <c r="V884">
        <v>14</v>
      </c>
      <c r="W884">
        <v>15</v>
      </c>
      <c r="X884">
        <v>15</v>
      </c>
      <c r="Y884">
        <v>13</v>
      </c>
      <c r="Z884">
        <v>3</v>
      </c>
      <c r="AA884">
        <v>4</v>
      </c>
      <c r="AB884">
        <v>0</v>
      </c>
      <c r="AC884">
        <v>0</v>
      </c>
      <c r="AD884">
        <v>19</v>
      </c>
      <c r="AE884">
        <v>8</v>
      </c>
      <c r="AF884">
        <v>7</v>
      </c>
      <c r="AG884">
        <v>3</v>
      </c>
      <c r="AH884">
        <v>0</v>
      </c>
      <c r="AI884">
        <v>0</v>
      </c>
    </row>
    <row r="885" spans="1:35" hidden="1" x14ac:dyDescent="0.25">
      <c r="A885">
        <v>2022</v>
      </c>
      <c r="B885" s="1">
        <v>44773</v>
      </c>
      <c r="C885">
        <v>20</v>
      </c>
      <c r="D885">
        <v>9567</v>
      </c>
      <c r="E885">
        <v>42968</v>
      </c>
      <c r="F885" t="s">
        <v>70</v>
      </c>
      <c r="G885" t="s">
        <v>63</v>
      </c>
      <c r="H885" t="s">
        <v>90</v>
      </c>
      <c r="I885" t="s">
        <v>65</v>
      </c>
      <c r="J885">
        <v>17</v>
      </c>
      <c r="K885">
        <v>20</v>
      </c>
      <c r="L885">
        <v>14000000</v>
      </c>
      <c r="M885">
        <v>12500000</v>
      </c>
      <c r="N885">
        <v>27</v>
      </c>
      <c r="O885">
        <v>30</v>
      </c>
      <c r="P885">
        <v>0</v>
      </c>
      <c r="Q885">
        <v>1</v>
      </c>
      <c r="R885">
        <v>0</v>
      </c>
      <c r="S885">
        <v>1</v>
      </c>
      <c r="T885">
        <v>10</v>
      </c>
      <c r="U885">
        <v>3</v>
      </c>
      <c r="V885">
        <v>11</v>
      </c>
      <c r="W885">
        <v>10</v>
      </c>
      <c r="X885">
        <v>9</v>
      </c>
      <c r="Y885">
        <v>11</v>
      </c>
      <c r="Z885">
        <v>1</v>
      </c>
      <c r="AA885">
        <v>5</v>
      </c>
      <c r="AB885">
        <v>0</v>
      </c>
      <c r="AC885">
        <v>0</v>
      </c>
      <c r="AD885">
        <v>19</v>
      </c>
      <c r="AE885">
        <v>7</v>
      </c>
      <c r="AF885">
        <v>8</v>
      </c>
      <c r="AG885">
        <v>3</v>
      </c>
      <c r="AH885">
        <v>-1</v>
      </c>
      <c r="AI885">
        <v>0</v>
      </c>
    </row>
    <row r="886" spans="1:35" hidden="1" x14ac:dyDescent="0.25">
      <c r="A886">
        <v>2022</v>
      </c>
      <c r="B886" s="1">
        <v>44710</v>
      </c>
      <c r="C886">
        <v>8</v>
      </c>
      <c r="D886">
        <v>57919</v>
      </c>
      <c r="E886">
        <v>82238</v>
      </c>
      <c r="F886" t="s">
        <v>55</v>
      </c>
      <c r="G886" t="s">
        <v>77</v>
      </c>
      <c r="H886" t="s">
        <v>57</v>
      </c>
      <c r="I886" t="s">
        <v>371</v>
      </c>
      <c r="J886">
        <v>7</v>
      </c>
      <c r="K886">
        <v>14</v>
      </c>
      <c r="L886">
        <v>27050000</v>
      </c>
      <c r="M886">
        <v>93000000</v>
      </c>
      <c r="N886" t="s">
        <v>208</v>
      </c>
      <c r="O886" t="s">
        <v>128</v>
      </c>
      <c r="P886">
        <v>1</v>
      </c>
      <c r="Q886">
        <v>2</v>
      </c>
      <c r="R886">
        <v>1</v>
      </c>
      <c r="S886">
        <v>1</v>
      </c>
      <c r="T886">
        <v>12</v>
      </c>
      <c r="U886">
        <v>2</v>
      </c>
      <c r="V886">
        <v>9</v>
      </c>
      <c r="W886">
        <v>16</v>
      </c>
      <c r="X886">
        <v>15</v>
      </c>
      <c r="Y886">
        <v>8</v>
      </c>
      <c r="Z886">
        <v>1</v>
      </c>
      <c r="AA886">
        <v>5</v>
      </c>
      <c r="AB886">
        <v>2</v>
      </c>
      <c r="AC886">
        <v>4</v>
      </c>
      <c r="AD886">
        <v>17</v>
      </c>
      <c r="AE886">
        <v>7</v>
      </c>
      <c r="AF886">
        <v>7</v>
      </c>
      <c r="AG886">
        <v>3</v>
      </c>
      <c r="AH886">
        <v>-1</v>
      </c>
      <c r="AI886">
        <v>0</v>
      </c>
    </row>
    <row r="887" spans="1:35" hidden="1" x14ac:dyDescent="0.25">
      <c r="A887">
        <v>2022</v>
      </c>
      <c r="B887" s="1">
        <v>44801</v>
      </c>
      <c r="C887">
        <v>24</v>
      </c>
      <c r="D887">
        <v>45084</v>
      </c>
      <c r="E887">
        <v>82238</v>
      </c>
      <c r="F887" t="s">
        <v>55</v>
      </c>
      <c r="G887" t="s">
        <v>95</v>
      </c>
      <c r="H887" t="s">
        <v>57</v>
      </c>
      <c r="I887" t="s">
        <v>97</v>
      </c>
      <c r="J887">
        <v>2</v>
      </c>
      <c r="K887">
        <v>1</v>
      </c>
      <c r="L887">
        <v>31600000</v>
      </c>
      <c r="M887">
        <v>95500000</v>
      </c>
      <c r="N887" t="s">
        <v>86</v>
      </c>
      <c r="O887" t="s">
        <v>66</v>
      </c>
      <c r="P887">
        <v>1</v>
      </c>
      <c r="Q887">
        <v>1</v>
      </c>
      <c r="R887">
        <v>1</v>
      </c>
      <c r="S887">
        <v>1</v>
      </c>
      <c r="T887">
        <v>3</v>
      </c>
      <c r="U887">
        <v>3</v>
      </c>
      <c r="V887">
        <v>16</v>
      </c>
      <c r="W887">
        <v>16</v>
      </c>
      <c r="X887">
        <v>16</v>
      </c>
      <c r="Y887">
        <v>15</v>
      </c>
      <c r="Z887">
        <v>1</v>
      </c>
      <c r="AA887">
        <v>2</v>
      </c>
      <c r="AB887">
        <v>0</v>
      </c>
      <c r="AC887">
        <v>2</v>
      </c>
      <c r="AD887">
        <v>17</v>
      </c>
      <c r="AE887">
        <v>8</v>
      </c>
      <c r="AF887">
        <v>10</v>
      </c>
      <c r="AG887">
        <v>3</v>
      </c>
      <c r="AH887">
        <v>0</v>
      </c>
      <c r="AI887">
        <v>0</v>
      </c>
    </row>
    <row r="888" spans="1:35" hidden="1" x14ac:dyDescent="0.25">
      <c r="A888">
        <v>2022</v>
      </c>
      <c r="B888" s="1">
        <v>44857</v>
      </c>
      <c r="C888">
        <v>33</v>
      </c>
      <c r="D888">
        <v>36033</v>
      </c>
      <c r="E888">
        <v>82238</v>
      </c>
      <c r="F888" t="s">
        <v>55</v>
      </c>
      <c r="G888" t="s">
        <v>51</v>
      </c>
      <c r="H888" t="s">
        <v>57</v>
      </c>
      <c r="I888" t="s">
        <v>311</v>
      </c>
      <c r="J888">
        <v>5</v>
      </c>
      <c r="K888">
        <v>11</v>
      </c>
      <c r="L888">
        <v>33300000</v>
      </c>
      <c r="M888">
        <v>31100000</v>
      </c>
      <c r="N888" t="s">
        <v>123</v>
      </c>
      <c r="O888" t="s">
        <v>111</v>
      </c>
      <c r="P888">
        <v>2</v>
      </c>
      <c r="Q888">
        <v>2</v>
      </c>
      <c r="R888">
        <v>0</v>
      </c>
      <c r="S888">
        <v>1</v>
      </c>
      <c r="T888">
        <v>9</v>
      </c>
      <c r="U888">
        <v>2</v>
      </c>
      <c r="V888">
        <v>15</v>
      </c>
      <c r="W888">
        <v>11</v>
      </c>
      <c r="X888">
        <v>10</v>
      </c>
      <c r="Y888">
        <v>15</v>
      </c>
      <c r="Z888">
        <v>3</v>
      </c>
      <c r="AA888">
        <v>5</v>
      </c>
      <c r="AB888">
        <v>3</v>
      </c>
      <c r="AC888">
        <v>2</v>
      </c>
      <c r="AD888">
        <v>18</v>
      </c>
      <c r="AE888">
        <v>12</v>
      </c>
      <c r="AF888">
        <v>8</v>
      </c>
      <c r="AG888">
        <v>5</v>
      </c>
      <c r="AH888">
        <v>0</v>
      </c>
      <c r="AI888">
        <v>0</v>
      </c>
    </row>
    <row r="889" spans="1:35" hidden="1" x14ac:dyDescent="0.25">
      <c r="A889">
        <v>2022</v>
      </c>
      <c r="B889" s="1">
        <v>44870</v>
      </c>
      <c r="C889">
        <v>36</v>
      </c>
      <c r="D889">
        <v>41558</v>
      </c>
      <c r="E889">
        <v>82238</v>
      </c>
      <c r="F889" t="s">
        <v>55</v>
      </c>
      <c r="G889" t="s">
        <v>62</v>
      </c>
      <c r="H889" t="s">
        <v>57</v>
      </c>
      <c r="I889" t="s">
        <v>40</v>
      </c>
      <c r="J889">
        <v>4</v>
      </c>
      <c r="K889">
        <v>8</v>
      </c>
      <c r="L889">
        <v>30800000</v>
      </c>
      <c r="M889">
        <v>32500000</v>
      </c>
      <c r="N889" t="s">
        <v>296</v>
      </c>
      <c r="O889" t="s">
        <v>107</v>
      </c>
      <c r="P889">
        <v>3</v>
      </c>
      <c r="Q889">
        <v>1</v>
      </c>
      <c r="R889">
        <v>0</v>
      </c>
      <c r="S889">
        <v>1</v>
      </c>
      <c r="T889">
        <v>8</v>
      </c>
      <c r="U889">
        <v>3</v>
      </c>
      <c r="V889">
        <v>16</v>
      </c>
      <c r="W889">
        <v>16</v>
      </c>
      <c r="X889">
        <v>16</v>
      </c>
      <c r="Y889">
        <v>16</v>
      </c>
      <c r="Z889">
        <v>3</v>
      </c>
      <c r="AA889">
        <v>5</v>
      </c>
      <c r="AB889">
        <v>1</v>
      </c>
      <c r="AC889">
        <v>2</v>
      </c>
      <c r="AD889">
        <v>18</v>
      </c>
      <c r="AE889">
        <v>8</v>
      </c>
      <c r="AF889">
        <v>4</v>
      </c>
      <c r="AG889">
        <v>2</v>
      </c>
      <c r="AH889">
        <v>2</v>
      </c>
      <c r="AI889">
        <v>1</v>
      </c>
    </row>
    <row r="890" spans="1:35" hidden="1" x14ac:dyDescent="0.25">
      <c r="A890">
        <v>2022</v>
      </c>
      <c r="B890" s="1">
        <v>44684</v>
      </c>
      <c r="C890">
        <v>4</v>
      </c>
      <c r="D890">
        <v>36746</v>
      </c>
      <c r="E890">
        <v>72039</v>
      </c>
      <c r="F890" t="s">
        <v>62</v>
      </c>
      <c r="G890" t="s">
        <v>326</v>
      </c>
      <c r="H890" t="s">
        <v>40</v>
      </c>
      <c r="I890" t="s">
        <v>344</v>
      </c>
      <c r="J890">
        <v>9</v>
      </c>
      <c r="K890">
        <v>1</v>
      </c>
      <c r="L890">
        <v>30600000</v>
      </c>
      <c r="M890">
        <v>26400000</v>
      </c>
      <c r="N890" t="s">
        <v>120</v>
      </c>
      <c r="O890" t="s">
        <v>233</v>
      </c>
      <c r="P890">
        <v>2</v>
      </c>
      <c r="Q890">
        <v>1</v>
      </c>
      <c r="R890">
        <v>1</v>
      </c>
      <c r="S890">
        <v>1</v>
      </c>
      <c r="T890">
        <v>2</v>
      </c>
      <c r="U890">
        <v>4</v>
      </c>
      <c r="V890">
        <v>15</v>
      </c>
      <c r="W890">
        <v>8</v>
      </c>
      <c r="X890">
        <v>7</v>
      </c>
      <c r="Y890">
        <v>15</v>
      </c>
      <c r="Z890">
        <v>2</v>
      </c>
      <c r="AA890">
        <v>2</v>
      </c>
      <c r="AB890">
        <v>2</v>
      </c>
      <c r="AC890">
        <v>0</v>
      </c>
      <c r="AD890">
        <v>10</v>
      </c>
      <c r="AE890">
        <v>8</v>
      </c>
      <c r="AF890">
        <v>5</v>
      </c>
      <c r="AG890">
        <v>3</v>
      </c>
      <c r="AH890">
        <v>1</v>
      </c>
      <c r="AI890">
        <v>1</v>
      </c>
    </row>
    <row r="891" spans="1:35" hidden="1" x14ac:dyDescent="0.25">
      <c r="A891">
        <v>2022</v>
      </c>
      <c r="B891" s="1">
        <v>44696</v>
      </c>
      <c r="C891">
        <v>6</v>
      </c>
      <c r="D891">
        <v>27511</v>
      </c>
      <c r="E891">
        <v>72039</v>
      </c>
      <c r="F891" t="s">
        <v>62</v>
      </c>
      <c r="G891" t="s">
        <v>70</v>
      </c>
      <c r="H891" t="s">
        <v>40</v>
      </c>
      <c r="I891" t="s">
        <v>374</v>
      </c>
      <c r="J891">
        <v>6</v>
      </c>
      <c r="K891">
        <v>11</v>
      </c>
      <c r="L891">
        <v>33500000</v>
      </c>
      <c r="M891">
        <v>7700000</v>
      </c>
      <c r="N891" t="s">
        <v>41</v>
      </c>
      <c r="O891" t="s">
        <v>200</v>
      </c>
      <c r="P891">
        <v>2</v>
      </c>
      <c r="Q891">
        <v>1</v>
      </c>
      <c r="R891">
        <v>0</v>
      </c>
      <c r="S891">
        <v>1</v>
      </c>
      <c r="T891">
        <v>15</v>
      </c>
      <c r="U891">
        <v>3</v>
      </c>
      <c r="V891">
        <v>5</v>
      </c>
      <c r="W891">
        <v>15</v>
      </c>
      <c r="X891">
        <v>14</v>
      </c>
      <c r="Y891">
        <v>5</v>
      </c>
      <c r="Z891">
        <v>2</v>
      </c>
      <c r="AA891">
        <v>7</v>
      </c>
      <c r="AB891">
        <v>1</v>
      </c>
      <c r="AC891">
        <v>0</v>
      </c>
      <c r="AD891">
        <v>21</v>
      </c>
      <c r="AE891">
        <v>6</v>
      </c>
      <c r="AF891">
        <v>9</v>
      </c>
      <c r="AG891">
        <v>2</v>
      </c>
      <c r="AH891">
        <v>1</v>
      </c>
      <c r="AI891">
        <v>1</v>
      </c>
    </row>
    <row r="892" spans="1:35" hidden="1" x14ac:dyDescent="0.25">
      <c r="A892">
        <v>2022</v>
      </c>
      <c r="B892" s="1">
        <v>44710</v>
      </c>
      <c r="C892">
        <v>8</v>
      </c>
      <c r="D892">
        <v>32977</v>
      </c>
      <c r="E892">
        <v>72039</v>
      </c>
      <c r="F892" t="s">
        <v>62</v>
      </c>
      <c r="G892" t="s">
        <v>361</v>
      </c>
      <c r="H892" t="s">
        <v>40</v>
      </c>
      <c r="I892" t="s">
        <v>315</v>
      </c>
      <c r="J892">
        <v>3</v>
      </c>
      <c r="K892">
        <v>15</v>
      </c>
      <c r="L892">
        <v>33000000</v>
      </c>
      <c r="M892">
        <v>8950000</v>
      </c>
      <c r="N892" t="s">
        <v>41</v>
      </c>
      <c r="O892" t="s">
        <v>100</v>
      </c>
      <c r="P892">
        <v>2</v>
      </c>
      <c r="Q892">
        <v>2</v>
      </c>
      <c r="R892">
        <v>2</v>
      </c>
      <c r="S892">
        <v>1</v>
      </c>
      <c r="T892">
        <v>8</v>
      </c>
      <c r="U892">
        <v>3</v>
      </c>
      <c r="V892">
        <v>19</v>
      </c>
      <c r="W892">
        <v>10</v>
      </c>
      <c r="X892">
        <v>8</v>
      </c>
      <c r="Y892">
        <v>18</v>
      </c>
      <c r="Z892">
        <v>2</v>
      </c>
      <c r="AA892">
        <v>3</v>
      </c>
      <c r="AB892">
        <v>2</v>
      </c>
      <c r="AC892">
        <v>3</v>
      </c>
      <c r="AD892">
        <v>15</v>
      </c>
      <c r="AE892">
        <v>7</v>
      </c>
      <c r="AF892">
        <v>7</v>
      </c>
      <c r="AG892">
        <v>2</v>
      </c>
      <c r="AH892">
        <v>0</v>
      </c>
      <c r="AI892">
        <v>0</v>
      </c>
    </row>
    <row r="893" spans="1:35" hidden="1" x14ac:dyDescent="0.25">
      <c r="A893">
        <v>2022</v>
      </c>
      <c r="B893" s="1">
        <v>44759</v>
      </c>
      <c r="C893">
        <v>17</v>
      </c>
      <c r="D893">
        <v>47141</v>
      </c>
      <c r="E893">
        <v>72039</v>
      </c>
      <c r="F893" t="s">
        <v>62</v>
      </c>
      <c r="G893" t="s">
        <v>55</v>
      </c>
      <c r="H893" t="s">
        <v>40</v>
      </c>
      <c r="I893" t="s">
        <v>57</v>
      </c>
      <c r="J893">
        <v>7</v>
      </c>
      <c r="K893">
        <v>5</v>
      </c>
      <c r="L893">
        <v>28500000</v>
      </c>
      <c r="M893">
        <v>22250000</v>
      </c>
      <c r="N893" t="s">
        <v>151</v>
      </c>
      <c r="O893" t="s">
        <v>134</v>
      </c>
      <c r="P893">
        <v>2</v>
      </c>
      <c r="Q893">
        <v>2</v>
      </c>
      <c r="R893">
        <v>2</v>
      </c>
      <c r="S893">
        <v>1</v>
      </c>
      <c r="T893">
        <v>5</v>
      </c>
      <c r="U893">
        <v>3</v>
      </c>
      <c r="V893">
        <v>17</v>
      </c>
      <c r="W893">
        <v>7</v>
      </c>
      <c r="X893">
        <v>6</v>
      </c>
      <c r="Y893">
        <v>16</v>
      </c>
      <c r="Z893">
        <v>1</v>
      </c>
      <c r="AA893">
        <v>0</v>
      </c>
      <c r="AB893">
        <v>5</v>
      </c>
      <c r="AC893">
        <v>1</v>
      </c>
      <c r="AD893">
        <v>6</v>
      </c>
      <c r="AE893">
        <v>15</v>
      </c>
      <c r="AF893">
        <v>3</v>
      </c>
      <c r="AG893">
        <v>6</v>
      </c>
      <c r="AH893">
        <v>0</v>
      </c>
      <c r="AI893">
        <v>0</v>
      </c>
    </row>
    <row r="894" spans="1:35" hidden="1" x14ac:dyDescent="0.25">
      <c r="A894">
        <v>2022</v>
      </c>
      <c r="B894" s="1">
        <v>44801</v>
      </c>
      <c r="C894">
        <v>24</v>
      </c>
      <c r="D894">
        <v>30210</v>
      </c>
      <c r="E894">
        <v>72039</v>
      </c>
      <c r="F894" t="s">
        <v>62</v>
      </c>
      <c r="G894" t="s">
        <v>63</v>
      </c>
      <c r="H894" t="s">
        <v>40</v>
      </c>
      <c r="I894" t="s">
        <v>65</v>
      </c>
      <c r="J894">
        <v>12</v>
      </c>
      <c r="K894">
        <v>13</v>
      </c>
      <c r="L894">
        <v>40000000</v>
      </c>
      <c r="M894">
        <v>11850000</v>
      </c>
      <c r="N894">
        <v>25</v>
      </c>
      <c r="O894">
        <v>30</v>
      </c>
      <c r="P894">
        <v>0</v>
      </c>
      <c r="Q894">
        <v>1</v>
      </c>
      <c r="R894">
        <v>0</v>
      </c>
      <c r="S894">
        <v>1</v>
      </c>
      <c r="T894">
        <v>7</v>
      </c>
      <c r="U894">
        <v>2</v>
      </c>
      <c r="V894">
        <v>10</v>
      </c>
      <c r="W894">
        <v>10</v>
      </c>
      <c r="X894">
        <v>10</v>
      </c>
      <c r="Y894">
        <v>9</v>
      </c>
      <c r="Z894">
        <v>0</v>
      </c>
      <c r="AA894">
        <v>8</v>
      </c>
      <c r="AB894">
        <v>1</v>
      </c>
      <c r="AC894">
        <v>4</v>
      </c>
      <c r="AD894">
        <v>15</v>
      </c>
      <c r="AE894">
        <v>5</v>
      </c>
      <c r="AF894">
        <v>5</v>
      </c>
      <c r="AG894">
        <v>3</v>
      </c>
      <c r="AH894">
        <v>-1</v>
      </c>
      <c r="AI894">
        <v>0</v>
      </c>
    </row>
    <row r="895" spans="1:35" hidden="1" x14ac:dyDescent="0.25">
      <c r="A895">
        <v>2022</v>
      </c>
      <c r="B895" s="1">
        <v>44815</v>
      </c>
      <c r="C895">
        <v>26</v>
      </c>
      <c r="D895">
        <v>46444</v>
      </c>
      <c r="E895">
        <v>72039</v>
      </c>
      <c r="F895" t="s">
        <v>62</v>
      </c>
      <c r="G895" t="s">
        <v>88</v>
      </c>
      <c r="H895" t="s">
        <v>40</v>
      </c>
      <c r="I895" t="s">
        <v>359</v>
      </c>
      <c r="J895">
        <v>14</v>
      </c>
      <c r="K895">
        <v>3</v>
      </c>
      <c r="L895">
        <v>23100000</v>
      </c>
      <c r="M895">
        <v>59000000</v>
      </c>
      <c r="N895" t="s">
        <v>73</v>
      </c>
      <c r="O895">
        <v>27</v>
      </c>
      <c r="P895">
        <v>1</v>
      </c>
      <c r="Q895">
        <v>1</v>
      </c>
      <c r="R895">
        <v>1</v>
      </c>
      <c r="S895">
        <v>1</v>
      </c>
      <c r="T895">
        <v>3</v>
      </c>
      <c r="U895">
        <v>7</v>
      </c>
      <c r="V895">
        <v>11</v>
      </c>
      <c r="W895">
        <v>14</v>
      </c>
      <c r="X895">
        <v>14</v>
      </c>
      <c r="Y895">
        <v>10</v>
      </c>
      <c r="Z895">
        <v>6</v>
      </c>
      <c r="AA895">
        <v>2</v>
      </c>
      <c r="AB895">
        <v>1</v>
      </c>
      <c r="AC895">
        <v>3</v>
      </c>
      <c r="AD895">
        <v>13</v>
      </c>
      <c r="AE895">
        <v>18</v>
      </c>
      <c r="AF895">
        <v>6</v>
      </c>
      <c r="AG895">
        <v>6</v>
      </c>
      <c r="AH895">
        <v>0</v>
      </c>
      <c r="AI895">
        <v>0</v>
      </c>
    </row>
    <row r="896" spans="1:35" hidden="1" x14ac:dyDescent="0.25">
      <c r="A896">
        <v>2022</v>
      </c>
      <c r="B896" s="1">
        <v>44867</v>
      </c>
      <c r="C896">
        <v>35</v>
      </c>
      <c r="D896">
        <v>23835</v>
      </c>
      <c r="E896">
        <v>72039</v>
      </c>
      <c r="F896" t="s">
        <v>62</v>
      </c>
      <c r="G896" t="s">
        <v>89</v>
      </c>
      <c r="H896" t="s">
        <v>40</v>
      </c>
      <c r="I896" t="s">
        <v>71</v>
      </c>
      <c r="J896">
        <v>8</v>
      </c>
      <c r="K896">
        <v>7</v>
      </c>
      <c r="L896">
        <v>32500000</v>
      </c>
      <c r="M896">
        <v>51500000</v>
      </c>
      <c r="N896" t="s">
        <v>128</v>
      </c>
      <c r="O896" t="s">
        <v>105</v>
      </c>
      <c r="P896">
        <v>2</v>
      </c>
      <c r="Q896">
        <v>2</v>
      </c>
      <c r="R896">
        <v>2</v>
      </c>
      <c r="S896">
        <v>1</v>
      </c>
      <c r="T896">
        <v>7</v>
      </c>
      <c r="U896">
        <v>6</v>
      </c>
      <c r="V896">
        <v>10</v>
      </c>
      <c r="W896">
        <v>16</v>
      </c>
      <c r="X896">
        <v>16</v>
      </c>
      <c r="Y896">
        <v>9</v>
      </c>
      <c r="Z896">
        <v>1</v>
      </c>
      <c r="AA896">
        <v>2</v>
      </c>
      <c r="AB896">
        <v>2</v>
      </c>
      <c r="AC896">
        <v>2</v>
      </c>
      <c r="AD896">
        <v>12</v>
      </c>
      <c r="AE896">
        <v>9</v>
      </c>
      <c r="AF896">
        <v>2</v>
      </c>
      <c r="AG896">
        <v>2</v>
      </c>
      <c r="AH896">
        <v>0</v>
      </c>
      <c r="AI896">
        <v>0</v>
      </c>
    </row>
    <row r="897" spans="1:35" hidden="1" x14ac:dyDescent="0.25">
      <c r="A897">
        <v>2022</v>
      </c>
      <c r="B897" s="1">
        <v>44874</v>
      </c>
      <c r="C897">
        <v>37</v>
      </c>
      <c r="D897">
        <v>19692</v>
      </c>
      <c r="E897">
        <v>72039</v>
      </c>
      <c r="F897" t="s">
        <v>62</v>
      </c>
      <c r="G897" t="s">
        <v>37</v>
      </c>
      <c r="H897" t="s">
        <v>40</v>
      </c>
      <c r="I897" t="s">
        <v>240</v>
      </c>
      <c r="J897">
        <v>9</v>
      </c>
      <c r="K897">
        <v>2</v>
      </c>
      <c r="L897">
        <v>36600000</v>
      </c>
      <c r="M897">
        <v>28050000</v>
      </c>
      <c r="N897" t="s">
        <v>122</v>
      </c>
      <c r="O897" t="s">
        <v>120</v>
      </c>
      <c r="P897">
        <v>0</v>
      </c>
      <c r="Q897">
        <v>1</v>
      </c>
      <c r="R897">
        <v>0</v>
      </c>
      <c r="S897">
        <v>1</v>
      </c>
      <c r="T897">
        <v>7</v>
      </c>
      <c r="U897">
        <v>2</v>
      </c>
      <c r="V897">
        <v>11</v>
      </c>
      <c r="W897">
        <v>12</v>
      </c>
      <c r="X897">
        <v>12</v>
      </c>
      <c r="Y897">
        <v>11</v>
      </c>
      <c r="Z897">
        <v>2</v>
      </c>
      <c r="AA897">
        <v>1</v>
      </c>
      <c r="AB897">
        <v>2</v>
      </c>
      <c r="AC897">
        <v>2</v>
      </c>
      <c r="AD897">
        <v>10</v>
      </c>
      <c r="AE897">
        <v>8</v>
      </c>
      <c r="AF897">
        <v>3</v>
      </c>
      <c r="AG897">
        <v>4</v>
      </c>
      <c r="AH897">
        <v>-1</v>
      </c>
      <c r="AI897">
        <v>0</v>
      </c>
    </row>
    <row r="898" spans="1:35" hidden="1" x14ac:dyDescent="0.25">
      <c r="A898">
        <v>2022</v>
      </c>
      <c r="B898" s="1">
        <v>44716</v>
      </c>
      <c r="C898">
        <v>9</v>
      </c>
      <c r="D898">
        <v>2720</v>
      </c>
      <c r="E898">
        <v>25000</v>
      </c>
      <c r="F898" t="s">
        <v>310</v>
      </c>
      <c r="G898" t="s">
        <v>70</v>
      </c>
      <c r="H898" t="s">
        <v>312</v>
      </c>
      <c r="I898" t="s">
        <v>90</v>
      </c>
      <c r="J898">
        <v>10</v>
      </c>
      <c r="K898">
        <v>17</v>
      </c>
      <c r="L898">
        <v>8550000</v>
      </c>
      <c r="M898">
        <v>10400000</v>
      </c>
      <c r="N898">
        <v>31</v>
      </c>
      <c r="O898" t="s">
        <v>137</v>
      </c>
      <c r="P898">
        <v>2</v>
      </c>
      <c r="Q898">
        <v>1</v>
      </c>
      <c r="R898">
        <v>1</v>
      </c>
      <c r="S898">
        <v>1</v>
      </c>
      <c r="T898">
        <v>8</v>
      </c>
      <c r="U898">
        <v>4</v>
      </c>
      <c r="V898">
        <v>11</v>
      </c>
      <c r="W898">
        <v>11</v>
      </c>
      <c r="X898">
        <v>9</v>
      </c>
      <c r="Y898">
        <v>11</v>
      </c>
      <c r="Z898">
        <v>1</v>
      </c>
      <c r="AA898">
        <v>4</v>
      </c>
      <c r="AB898">
        <v>3</v>
      </c>
      <c r="AC898">
        <v>4</v>
      </c>
      <c r="AD898">
        <v>16</v>
      </c>
      <c r="AE898">
        <v>5</v>
      </c>
      <c r="AF898">
        <v>7</v>
      </c>
      <c r="AG898">
        <v>1</v>
      </c>
      <c r="AH898">
        <v>1</v>
      </c>
      <c r="AI898">
        <v>1</v>
      </c>
    </row>
    <row r="899" spans="1:35" hidden="1" x14ac:dyDescent="0.25">
      <c r="A899">
        <v>2022</v>
      </c>
      <c r="B899" s="1">
        <v>44721</v>
      </c>
      <c r="C899">
        <v>10</v>
      </c>
      <c r="D899">
        <v>2132</v>
      </c>
      <c r="E899">
        <v>25000</v>
      </c>
      <c r="F899" t="s">
        <v>310</v>
      </c>
      <c r="G899" t="s">
        <v>361</v>
      </c>
      <c r="H899" t="s">
        <v>312</v>
      </c>
      <c r="I899" t="s">
        <v>315</v>
      </c>
      <c r="J899">
        <v>5</v>
      </c>
      <c r="K899">
        <v>16</v>
      </c>
      <c r="L899">
        <v>9350000</v>
      </c>
      <c r="M899">
        <v>10450000</v>
      </c>
      <c r="N899" t="s">
        <v>299</v>
      </c>
      <c r="O899">
        <v>30</v>
      </c>
      <c r="P899">
        <v>0</v>
      </c>
      <c r="Q899">
        <v>2</v>
      </c>
      <c r="R899">
        <v>0</v>
      </c>
      <c r="S899">
        <v>1</v>
      </c>
      <c r="T899">
        <v>4</v>
      </c>
      <c r="U899">
        <v>4</v>
      </c>
      <c r="V899">
        <v>18</v>
      </c>
      <c r="W899">
        <v>20</v>
      </c>
      <c r="X899">
        <v>18</v>
      </c>
      <c r="Y899">
        <v>17</v>
      </c>
      <c r="Z899">
        <v>1</v>
      </c>
      <c r="AA899">
        <v>3</v>
      </c>
      <c r="AB899">
        <v>3</v>
      </c>
      <c r="AC899">
        <v>0</v>
      </c>
      <c r="AD899">
        <v>16</v>
      </c>
      <c r="AE899">
        <v>7</v>
      </c>
      <c r="AF899">
        <v>9</v>
      </c>
      <c r="AG899">
        <v>3</v>
      </c>
      <c r="AH899">
        <v>-2</v>
      </c>
      <c r="AI899">
        <v>0</v>
      </c>
    </row>
    <row r="900" spans="1:35" hidden="1" x14ac:dyDescent="0.25">
      <c r="A900">
        <v>2022</v>
      </c>
      <c r="B900" s="1">
        <v>44773</v>
      </c>
      <c r="C900">
        <v>20</v>
      </c>
      <c r="D900">
        <v>2215</v>
      </c>
      <c r="E900">
        <v>25000</v>
      </c>
      <c r="F900" t="s">
        <v>310</v>
      </c>
      <c r="G900" t="s">
        <v>365</v>
      </c>
      <c r="H900" t="s">
        <v>312</v>
      </c>
      <c r="I900" t="s">
        <v>367</v>
      </c>
      <c r="J900">
        <v>15</v>
      </c>
      <c r="K900">
        <v>16</v>
      </c>
      <c r="L900">
        <v>7350000</v>
      </c>
      <c r="M900">
        <v>13250000</v>
      </c>
      <c r="N900" t="s">
        <v>200</v>
      </c>
      <c r="O900" t="s">
        <v>73</v>
      </c>
      <c r="P900">
        <v>3</v>
      </c>
      <c r="Q900">
        <v>1</v>
      </c>
      <c r="R900">
        <v>1</v>
      </c>
      <c r="S900">
        <v>1</v>
      </c>
      <c r="T900">
        <v>7</v>
      </c>
      <c r="U900">
        <v>7</v>
      </c>
      <c r="V900">
        <v>15</v>
      </c>
      <c r="W900">
        <v>17</v>
      </c>
      <c r="X900">
        <v>15</v>
      </c>
      <c r="Y900">
        <v>15</v>
      </c>
      <c r="Z900">
        <v>2</v>
      </c>
      <c r="AA900">
        <v>3</v>
      </c>
      <c r="AB900">
        <v>0</v>
      </c>
      <c r="AC900">
        <v>2</v>
      </c>
      <c r="AD900">
        <v>18</v>
      </c>
      <c r="AE900">
        <v>10</v>
      </c>
      <c r="AF900">
        <v>9</v>
      </c>
      <c r="AG900">
        <v>4</v>
      </c>
      <c r="AH900">
        <v>2</v>
      </c>
      <c r="AI900">
        <v>1</v>
      </c>
    </row>
    <row r="901" spans="1:35" hidden="1" x14ac:dyDescent="0.25">
      <c r="A901">
        <v>2022</v>
      </c>
      <c r="B901" s="1">
        <v>44801</v>
      </c>
      <c r="C901">
        <v>24</v>
      </c>
      <c r="D901">
        <v>7016</v>
      </c>
      <c r="E901">
        <v>25000</v>
      </c>
      <c r="F901" t="s">
        <v>310</v>
      </c>
      <c r="G901" t="s">
        <v>89</v>
      </c>
      <c r="H901" t="s">
        <v>312</v>
      </c>
      <c r="I901" t="s">
        <v>71</v>
      </c>
      <c r="J901">
        <v>9</v>
      </c>
      <c r="K901">
        <v>7</v>
      </c>
      <c r="L901">
        <v>7450000</v>
      </c>
      <c r="M901">
        <v>61700000</v>
      </c>
      <c r="N901" t="s">
        <v>309</v>
      </c>
      <c r="O901" t="s">
        <v>200</v>
      </c>
      <c r="P901">
        <v>1</v>
      </c>
      <c r="Q901">
        <v>1</v>
      </c>
      <c r="R901">
        <v>1</v>
      </c>
      <c r="S901">
        <v>1</v>
      </c>
      <c r="T901">
        <v>6</v>
      </c>
      <c r="U901">
        <v>1</v>
      </c>
      <c r="V901">
        <v>23</v>
      </c>
      <c r="W901">
        <v>14</v>
      </c>
      <c r="X901">
        <v>12</v>
      </c>
      <c r="Y901">
        <v>20</v>
      </c>
      <c r="Z901">
        <v>3</v>
      </c>
      <c r="AA901">
        <v>4</v>
      </c>
      <c r="AB901">
        <v>0</v>
      </c>
      <c r="AC901">
        <v>1</v>
      </c>
      <c r="AD901">
        <v>9</v>
      </c>
      <c r="AE901">
        <v>16</v>
      </c>
      <c r="AF901">
        <v>3</v>
      </c>
      <c r="AG901">
        <v>10</v>
      </c>
      <c r="AH901">
        <v>0</v>
      </c>
      <c r="AI901">
        <v>0</v>
      </c>
    </row>
    <row r="902" spans="1:35" hidden="1" x14ac:dyDescent="0.25">
      <c r="A902">
        <v>2022</v>
      </c>
      <c r="B902" s="1">
        <v>44841</v>
      </c>
      <c r="C902">
        <v>30</v>
      </c>
      <c r="D902">
        <v>3916</v>
      </c>
      <c r="E902">
        <v>25000</v>
      </c>
      <c r="F902" t="s">
        <v>310</v>
      </c>
      <c r="G902" t="s">
        <v>62</v>
      </c>
      <c r="H902" t="s">
        <v>312</v>
      </c>
      <c r="I902" t="s">
        <v>40</v>
      </c>
      <c r="J902">
        <v>8</v>
      </c>
      <c r="K902">
        <v>9</v>
      </c>
      <c r="L902">
        <v>7300000</v>
      </c>
      <c r="M902">
        <v>31350000</v>
      </c>
      <c r="N902" t="s">
        <v>179</v>
      </c>
      <c r="O902" t="s">
        <v>92</v>
      </c>
      <c r="P902">
        <v>1</v>
      </c>
      <c r="Q902">
        <v>2</v>
      </c>
      <c r="R902">
        <v>1</v>
      </c>
      <c r="S902">
        <v>1</v>
      </c>
      <c r="T902">
        <v>3</v>
      </c>
      <c r="U902">
        <v>3</v>
      </c>
      <c r="V902">
        <v>13</v>
      </c>
      <c r="W902">
        <v>13</v>
      </c>
      <c r="X902">
        <v>11</v>
      </c>
      <c r="Y902">
        <v>13</v>
      </c>
      <c r="Z902">
        <v>3</v>
      </c>
      <c r="AA902">
        <v>3</v>
      </c>
      <c r="AB902">
        <v>0</v>
      </c>
      <c r="AC902">
        <v>1</v>
      </c>
      <c r="AD902">
        <v>13</v>
      </c>
      <c r="AE902">
        <v>18</v>
      </c>
      <c r="AF902">
        <v>7</v>
      </c>
      <c r="AG902">
        <v>8</v>
      </c>
      <c r="AH902">
        <v>-1</v>
      </c>
      <c r="AI902">
        <v>0</v>
      </c>
    </row>
    <row r="903" spans="1:35" hidden="1" x14ac:dyDescent="0.25">
      <c r="A903">
        <v>2022</v>
      </c>
      <c r="B903" s="1">
        <v>44850</v>
      </c>
      <c r="C903">
        <v>32</v>
      </c>
      <c r="D903">
        <v>2863</v>
      </c>
      <c r="E903">
        <v>25000</v>
      </c>
      <c r="F903" t="s">
        <v>310</v>
      </c>
      <c r="G903" t="s">
        <v>63</v>
      </c>
      <c r="H903" t="s">
        <v>312</v>
      </c>
      <c r="I903" t="s">
        <v>65</v>
      </c>
      <c r="J903">
        <v>8</v>
      </c>
      <c r="K903">
        <v>11</v>
      </c>
      <c r="L903">
        <v>4950000</v>
      </c>
      <c r="M903">
        <v>14350000</v>
      </c>
      <c r="N903" t="s">
        <v>174</v>
      </c>
      <c r="O903" t="s">
        <v>174</v>
      </c>
      <c r="P903">
        <v>1</v>
      </c>
      <c r="Q903">
        <v>2</v>
      </c>
      <c r="R903">
        <v>0</v>
      </c>
      <c r="S903">
        <v>1</v>
      </c>
      <c r="T903">
        <v>4</v>
      </c>
      <c r="U903">
        <v>8</v>
      </c>
      <c r="V903">
        <v>10</v>
      </c>
      <c r="W903">
        <v>24</v>
      </c>
      <c r="X903">
        <v>23</v>
      </c>
      <c r="Y903">
        <v>10</v>
      </c>
      <c r="Z903">
        <v>2</v>
      </c>
      <c r="AA903">
        <v>6</v>
      </c>
      <c r="AB903">
        <v>1</v>
      </c>
      <c r="AC903">
        <v>1</v>
      </c>
      <c r="AD903">
        <v>19</v>
      </c>
      <c r="AE903">
        <v>9</v>
      </c>
      <c r="AF903">
        <v>5</v>
      </c>
      <c r="AG903">
        <v>3</v>
      </c>
      <c r="AH903">
        <v>-1</v>
      </c>
      <c r="AI903">
        <v>0</v>
      </c>
    </row>
    <row r="904" spans="1:35" hidden="1" x14ac:dyDescent="0.25">
      <c r="A904">
        <v>2022</v>
      </c>
      <c r="B904" s="1">
        <v>44878</v>
      </c>
      <c r="C904">
        <v>38</v>
      </c>
      <c r="D904">
        <v>5005</v>
      </c>
      <c r="E904">
        <v>25000</v>
      </c>
      <c r="F904" t="s">
        <v>310</v>
      </c>
      <c r="G904" t="s">
        <v>76</v>
      </c>
      <c r="H904" t="s">
        <v>312</v>
      </c>
      <c r="I904" t="s">
        <v>375</v>
      </c>
      <c r="J904">
        <v>9</v>
      </c>
      <c r="K904">
        <v>17</v>
      </c>
      <c r="L904">
        <v>8750000</v>
      </c>
      <c r="M904">
        <v>8700000</v>
      </c>
      <c r="N904" t="s">
        <v>138</v>
      </c>
      <c r="O904" t="s">
        <v>128</v>
      </c>
      <c r="P904">
        <v>1</v>
      </c>
      <c r="Q904">
        <v>1</v>
      </c>
      <c r="R904">
        <v>1</v>
      </c>
      <c r="S904">
        <v>1</v>
      </c>
      <c r="T904">
        <v>17</v>
      </c>
      <c r="U904">
        <v>5</v>
      </c>
      <c r="V904">
        <v>14</v>
      </c>
      <c r="W904">
        <v>12</v>
      </c>
      <c r="X904">
        <v>12</v>
      </c>
      <c r="Y904">
        <v>13</v>
      </c>
      <c r="Z904">
        <v>2</v>
      </c>
      <c r="AA904">
        <v>8</v>
      </c>
      <c r="AB904">
        <v>0</v>
      </c>
      <c r="AC904">
        <v>3</v>
      </c>
      <c r="AD904">
        <v>36</v>
      </c>
      <c r="AE904">
        <v>4</v>
      </c>
      <c r="AF904">
        <v>13</v>
      </c>
      <c r="AG904">
        <v>1</v>
      </c>
      <c r="AH904">
        <v>0</v>
      </c>
      <c r="AI904">
        <v>0</v>
      </c>
    </row>
    <row r="905" spans="1:35" hidden="1" x14ac:dyDescent="0.25">
      <c r="A905">
        <v>2022</v>
      </c>
      <c r="B905" s="1">
        <v>44703</v>
      </c>
      <c r="C905">
        <v>7</v>
      </c>
      <c r="D905">
        <v>44672</v>
      </c>
      <c r="E905">
        <v>49205</v>
      </c>
      <c r="F905" t="s">
        <v>88</v>
      </c>
      <c r="G905" t="s">
        <v>62</v>
      </c>
      <c r="H905" t="s">
        <v>359</v>
      </c>
      <c r="I905" t="s">
        <v>40</v>
      </c>
      <c r="J905">
        <v>1</v>
      </c>
      <c r="K905">
        <v>2</v>
      </c>
      <c r="L905">
        <v>36650000</v>
      </c>
      <c r="M905">
        <v>34300000</v>
      </c>
      <c r="N905" t="s">
        <v>296</v>
      </c>
      <c r="O905" t="s">
        <v>163</v>
      </c>
      <c r="P905">
        <v>1</v>
      </c>
      <c r="Q905">
        <v>1</v>
      </c>
      <c r="R905">
        <v>0</v>
      </c>
      <c r="S905">
        <v>1</v>
      </c>
      <c r="T905">
        <v>8</v>
      </c>
      <c r="U905">
        <v>8</v>
      </c>
      <c r="V905">
        <v>11</v>
      </c>
      <c r="W905">
        <v>12</v>
      </c>
      <c r="X905">
        <v>11</v>
      </c>
      <c r="Y905">
        <v>11</v>
      </c>
      <c r="Z905">
        <v>6</v>
      </c>
      <c r="AA905">
        <v>5</v>
      </c>
      <c r="AB905">
        <v>2</v>
      </c>
      <c r="AC905">
        <v>2</v>
      </c>
      <c r="AD905">
        <v>13</v>
      </c>
      <c r="AE905">
        <v>14</v>
      </c>
      <c r="AF905">
        <v>8</v>
      </c>
      <c r="AG905">
        <v>4</v>
      </c>
      <c r="AH905">
        <v>0</v>
      </c>
      <c r="AI905">
        <v>0</v>
      </c>
    </row>
    <row r="906" spans="1:35" hidden="1" x14ac:dyDescent="0.25">
      <c r="A906">
        <v>2022</v>
      </c>
      <c r="B906" s="1">
        <v>44808</v>
      </c>
      <c r="C906">
        <v>25</v>
      </c>
      <c r="D906">
        <v>41423</v>
      </c>
      <c r="E906">
        <v>49205</v>
      </c>
      <c r="F906" t="s">
        <v>88</v>
      </c>
      <c r="G906" t="s">
        <v>37</v>
      </c>
      <c r="H906" t="s">
        <v>359</v>
      </c>
      <c r="I906" t="s">
        <v>240</v>
      </c>
      <c r="J906">
        <v>4</v>
      </c>
      <c r="K906">
        <v>5</v>
      </c>
      <c r="L906">
        <v>49300000</v>
      </c>
      <c r="M906">
        <v>33500000</v>
      </c>
      <c r="N906" t="s">
        <v>166</v>
      </c>
      <c r="O906" t="s">
        <v>163</v>
      </c>
      <c r="P906">
        <v>2</v>
      </c>
      <c r="Q906">
        <v>2</v>
      </c>
      <c r="R906">
        <v>2</v>
      </c>
      <c r="S906">
        <v>1</v>
      </c>
      <c r="T906">
        <v>2</v>
      </c>
      <c r="U906">
        <v>8</v>
      </c>
      <c r="V906">
        <v>10</v>
      </c>
      <c r="W906">
        <v>14</v>
      </c>
      <c r="X906">
        <v>14</v>
      </c>
      <c r="Y906">
        <v>10</v>
      </c>
      <c r="Z906">
        <v>2</v>
      </c>
      <c r="AA906">
        <v>2</v>
      </c>
      <c r="AB906">
        <v>2</v>
      </c>
      <c r="AC906">
        <v>1</v>
      </c>
      <c r="AD906">
        <v>12</v>
      </c>
      <c r="AE906">
        <v>14</v>
      </c>
      <c r="AF906">
        <v>3</v>
      </c>
      <c r="AG906">
        <v>7</v>
      </c>
      <c r="AH906">
        <v>0</v>
      </c>
      <c r="AI906">
        <v>0</v>
      </c>
    </row>
    <row r="907" spans="1:35" hidden="1" x14ac:dyDescent="0.25">
      <c r="A907">
        <v>2022</v>
      </c>
      <c r="B907" s="1">
        <v>44833</v>
      </c>
      <c r="C907">
        <v>28</v>
      </c>
      <c r="D907">
        <v>32398</v>
      </c>
      <c r="E907">
        <v>49205</v>
      </c>
      <c r="F907" t="s">
        <v>88</v>
      </c>
      <c r="G907" t="s">
        <v>76</v>
      </c>
      <c r="H907" t="s">
        <v>359</v>
      </c>
      <c r="I907" t="s">
        <v>369</v>
      </c>
      <c r="J907">
        <v>5</v>
      </c>
      <c r="K907">
        <v>19</v>
      </c>
      <c r="L907">
        <v>49300000</v>
      </c>
      <c r="M907">
        <v>7150000</v>
      </c>
      <c r="N907" t="s">
        <v>123</v>
      </c>
      <c r="O907" t="s">
        <v>98</v>
      </c>
      <c r="P907">
        <v>2</v>
      </c>
      <c r="Q907">
        <v>1</v>
      </c>
      <c r="R907">
        <v>1</v>
      </c>
      <c r="S907">
        <v>1</v>
      </c>
      <c r="T907">
        <v>5</v>
      </c>
      <c r="U907">
        <v>4</v>
      </c>
      <c r="V907">
        <v>5</v>
      </c>
      <c r="W907">
        <v>14</v>
      </c>
      <c r="X907">
        <v>14</v>
      </c>
      <c r="Y907">
        <v>4</v>
      </c>
      <c r="Z907">
        <v>4</v>
      </c>
      <c r="AA907">
        <v>6</v>
      </c>
      <c r="AB907">
        <v>1</v>
      </c>
      <c r="AC907">
        <v>0</v>
      </c>
      <c r="AD907">
        <v>19</v>
      </c>
      <c r="AE907">
        <v>11</v>
      </c>
      <c r="AF907">
        <v>8</v>
      </c>
      <c r="AG907">
        <v>4</v>
      </c>
      <c r="AH907">
        <v>1</v>
      </c>
      <c r="AI907">
        <v>1</v>
      </c>
    </row>
    <row r="908" spans="1:35" hidden="1" x14ac:dyDescent="0.25">
      <c r="A908">
        <v>2022</v>
      </c>
      <c r="B908" s="1">
        <v>44861</v>
      </c>
      <c r="C908">
        <v>34</v>
      </c>
      <c r="D908">
        <v>37920</v>
      </c>
      <c r="E908">
        <v>49205</v>
      </c>
      <c r="F908" t="s">
        <v>88</v>
      </c>
      <c r="G908" t="s">
        <v>55</v>
      </c>
      <c r="H908" t="s">
        <v>359</v>
      </c>
      <c r="I908" t="s">
        <v>57</v>
      </c>
      <c r="J908">
        <v>4</v>
      </c>
      <c r="K908">
        <v>5</v>
      </c>
      <c r="L908">
        <v>38300000</v>
      </c>
      <c r="M908">
        <v>33300000</v>
      </c>
      <c r="N908" t="s">
        <v>200</v>
      </c>
      <c r="O908" t="s">
        <v>123</v>
      </c>
      <c r="P908">
        <v>0</v>
      </c>
      <c r="Q908">
        <v>2</v>
      </c>
      <c r="R908">
        <v>0</v>
      </c>
      <c r="S908">
        <v>1</v>
      </c>
      <c r="T908">
        <v>6</v>
      </c>
      <c r="U908">
        <v>3</v>
      </c>
      <c r="V908">
        <v>16</v>
      </c>
      <c r="W908">
        <v>9</v>
      </c>
      <c r="X908">
        <v>9</v>
      </c>
      <c r="Y908">
        <v>16</v>
      </c>
      <c r="Z908">
        <v>4</v>
      </c>
      <c r="AA908">
        <v>5</v>
      </c>
      <c r="AB908">
        <v>1</v>
      </c>
      <c r="AC908">
        <v>1</v>
      </c>
      <c r="AD908">
        <v>14</v>
      </c>
      <c r="AE908">
        <v>15</v>
      </c>
      <c r="AF908">
        <v>5</v>
      </c>
      <c r="AG908">
        <v>7</v>
      </c>
      <c r="AH908">
        <v>-2</v>
      </c>
      <c r="AI908">
        <v>0</v>
      </c>
    </row>
    <row r="909" spans="1:35" hidden="1" x14ac:dyDescent="0.25">
      <c r="A909">
        <v>2022</v>
      </c>
      <c r="B909" s="1">
        <v>44878</v>
      </c>
      <c r="C909">
        <v>38</v>
      </c>
      <c r="D909">
        <v>43696</v>
      </c>
      <c r="E909">
        <v>49205</v>
      </c>
      <c r="F909" t="s">
        <v>88</v>
      </c>
      <c r="G909" t="s">
        <v>89</v>
      </c>
      <c r="H909" t="s">
        <v>359</v>
      </c>
      <c r="I909" t="s">
        <v>71</v>
      </c>
      <c r="J909">
        <v>4</v>
      </c>
      <c r="K909">
        <v>7</v>
      </c>
      <c r="L909">
        <v>50800000</v>
      </c>
      <c r="M909">
        <v>40700000</v>
      </c>
      <c r="N909" t="s">
        <v>128</v>
      </c>
      <c r="O909" t="s">
        <v>59</v>
      </c>
      <c r="P909">
        <v>0</v>
      </c>
      <c r="Q909">
        <v>1</v>
      </c>
      <c r="R909">
        <v>0</v>
      </c>
      <c r="S909">
        <v>1</v>
      </c>
      <c r="T909">
        <v>5</v>
      </c>
      <c r="U909">
        <v>4</v>
      </c>
      <c r="V909">
        <v>11</v>
      </c>
      <c r="W909">
        <v>19</v>
      </c>
      <c r="X909">
        <v>17</v>
      </c>
      <c r="Y909">
        <v>10</v>
      </c>
      <c r="Z909">
        <v>6</v>
      </c>
      <c r="AA909">
        <v>4</v>
      </c>
      <c r="AB909">
        <v>1</v>
      </c>
      <c r="AC909">
        <v>0</v>
      </c>
      <c r="AD909">
        <v>17</v>
      </c>
      <c r="AE909">
        <v>17</v>
      </c>
      <c r="AF909">
        <v>9</v>
      </c>
      <c r="AG909">
        <v>7</v>
      </c>
      <c r="AH909">
        <v>-1</v>
      </c>
      <c r="AI909">
        <v>0</v>
      </c>
    </row>
    <row r="910" spans="1:35" hidden="1" x14ac:dyDescent="0.25">
      <c r="A910">
        <v>2022</v>
      </c>
      <c r="B910" s="1">
        <v>44722</v>
      </c>
      <c r="C910">
        <v>10</v>
      </c>
      <c r="D910">
        <v>21521</v>
      </c>
      <c r="E910">
        <v>40502</v>
      </c>
      <c r="F910" t="s">
        <v>321</v>
      </c>
      <c r="G910" t="s">
        <v>62</v>
      </c>
      <c r="H910" t="s">
        <v>358</v>
      </c>
      <c r="I910" t="s">
        <v>40</v>
      </c>
      <c r="J910">
        <v>4</v>
      </c>
      <c r="K910">
        <v>6</v>
      </c>
      <c r="L910">
        <v>8150000</v>
      </c>
      <c r="M910">
        <v>34400000</v>
      </c>
      <c r="N910" t="s">
        <v>151</v>
      </c>
      <c r="O910" t="s">
        <v>66</v>
      </c>
      <c r="P910">
        <v>1</v>
      </c>
      <c r="Q910">
        <v>1</v>
      </c>
      <c r="R910">
        <v>0</v>
      </c>
      <c r="S910">
        <v>1</v>
      </c>
      <c r="T910">
        <v>1</v>
      </c>
      <c r="U910">
        <v>10</v>
      </c>
      <c r="V910">
        <v>12</v>
      </c>
      <c r="W910">
        <v>13</v>
      </c>
      <c r="X910">
        <v>12</v>
      </c>
      <c r="Y910">
        <v>10</v>
      </c>
      <c r="Z910">
        <v>3</v>
      </c>
      <c r="AA910">
        <v>1</v>
      </c>
      <c r="AB910">
        <v>1</v>
      </c>
      <c r="AC910">
        <v>1</v>
      </c>
      <c r="AD910">
        <v>11</v>
      </c>
      <c r="AE910">
        <v>16</v>
      </c>
      <c r="AF910">
        <v>7</v>
      </c>
      <c r="AG910">
        <v>5</v>
      </c>
      <c r="AH910">
        <v>0</v>
      </c>
      <c r="AI910">
        <v>0</v>
      </c>
    </row>
    <row r="911" spans="1:35" hidden="1" x14ac:dyDescent="0.25">
      <c r="A911">
        <v>2022</v>
      </c>
      <c r="B911" s="1">
        <v>44724</v>
      </c>
      <c r="C911">
        <v>11</v>
      </c>
      <c r="D911">
        <v>27356</v>
      </c>
      <c r="E911">
        <v>40502</v>
      </c>
      <c r="F911" t="s">
        <v>321</v>
      </c>
      <c r="G911" t="s">
        <v>95</v>
      </c>
      <c r="H911" t="s">
        <v>358</v>
      </c>
      <c r="I911" t="s">
        <v>97</v>
      </c>
      <c r="J911">
        <v>5</v>
      </c>
      <c r="K911">
        <v>1</v>
      </c>
      <c r="L911">
        <v>5050000</v>
      </c>
      <c r="M911">
        <v>83500000</v>
      </c>
      <c r="N911">
        <v>27</v>
      </c>
      <c r="O911" t="s">
        <v>120</v>
      </c>
      <c r="P911">
        <v>0</v>
      </c>
      <c r="Q911">
        <v>2</v>
      </c>
      <c r="R911">
        <v>0</v>
      </c>
      <c r="S911">
        <v>1</v>
      </c>
      <c r="T911">
        <v>5</v>
      </c>
      <c r="U911">
        <v>6</v>
      </c>
      <c r="V911">
        <v>11</v>
      </c>
      <c r="W911">
        <v>13</v>
      </c>
      <c r="X911">
        <v>13</v>
      </c>
      <c r="Y911">
        <v>11</v>
      </c>
      <c r="Z911">
        <v>4</v>
      </c>
      <c r="AA911">
        <v>4</v>
      </c>
      <c r="AB911">
        <v>1</v>
      </c>
      <c r="AC911">
        <v>2</v>
      </c>
      <c r="AD911">
        <v>11</v>
      </c>
      <c r="AE911">
        <v>16</v>
      </c>
      <c r="AF911">
        <v>3</v>
      </c>
      <c r="AG911">
        <v>6</v>
      </c>
      <c r="AH911">
        <v>-2</v>
      </c>
      <c r="AI911">
        <v>0</v>
      </c>
    </row>
    <row r="912" spans="1:35" hidden="1" x14ac:dyDescent="0.25">
      <c r="A912">
        <v>2022</v>
      </c>
      <c r="B912" s="1">
        <v>44843</v>
      </c>
      <c r="C912">
        <v>31</v>
      </c>
      <c r="D912">
        <v>18066</v>
      </c>
      <c r="E912">
        <v>40502</v>
      </c>
      <c r="F912" t="s">
        <v>321</v>
      </c>
      <c r="G912" t="s">
        <v>56</v>
      </c>
      <c r="H912" t="s">
        <v>340</v>
      </c>
      <c r="I912" t="s">
        <v>341</v>
      </c>
      <c r="J912">
        <v>16</v>
      </c>
      <c r="K912">
        <v>12</v>
      </c>
      <c r="L912">
        <v>14400000</v>
      </c>
      <c r="M912">
        <v>36200000</v>
      </c>
      <c r="N912" t="s">
        <v>104</v>
      </c>
      <c r="O912" t="s">
        <v>318</v>
      </c>
      <c r="P912">
        <v>2</v>
      </c>
      <c r="Q912">
        <v>1</v>
      </c>
      <c r="R912">
        <v>1</v>
      </c>
      <c r="S912">
        <v>1</v>
      </c>
      <c r="T912">
        <v>5</v>
      </c>
      <c r="U912">
        <v>8</v>
      </c>
      <c r="V912">
        <v>7</v>
      </c>
      <c r="W912">
        <v>12</v>
      </c>
      <c r="X912">
        <v>12</v>
      </c>
      <c r="Y912">
        <v>7</v>
      </c>
      <c r="Z912">
        <v>3</v>
      </c>
      <c r="AA912">
        <v>0</v>
      </c>
      <c r="AB912">
        <v>2</v>
      </c>
      <c r="AC912">
        <v>2</v>
      </c>
      <c r="AD912">
        <v>6</v>
      </c>
      <c r="AE912">
        <v>17</v>
      </c>
      <c r="AF912">
        <v>0</v>
      </c>
      <c r="AG912">
        <v>9</v>
      </c>
      <c r="AH912">
        <v>1</v>
      </c>
      <c r="AI912">
        <v>1</v>
      </c>
    </row>
    <row r="913" spans="1:35" hidden="1" x14ac:dyDescent="0.25">
      <c r="A913">
        <v>2022</v>
      </c>
      <c r="B913" s="1">
        <v>44874</v>
      </c>
      <c r="C913">
        <v>37</v>
      </c>
      <c r="D913">
        <v>30049</v>
      </c>
      <c r="E913">
        <v>40502</v>
      </c>
      <c r="F913" t="s">
        <v>321</v>
      </c>
      <c r="G913" t="s">
        <v>88</v>
      </c>
      <c r="H913" t="s">
        <v>340</v>
      </c>
      <c r="I913" t="s">
        <v>359</v>
      </c>
      <c r="J913">
        <v>15</v>
      </c>
      <c r="K913">
        <v>4</v>
      </c>
      <c r="L913">
        <v>12250000</v>
      </c>
      <c r="M913">
        <v>52700000</v>
      </c>
      <c r="N913" t="s">
        <v>151</v>
      </c>
      <c r="O913" t="s">
        <v>151</v>
      </c>
      <c r="P913">
        <v>2</v>
      </c>
      <c r="Q913">
        <v>2</v>
      </c>
      <c r="R913">
        <v>2</v>
      </c>
      <c r="S913">
        <v>1</v>
      </c>
      <c r="T913">
        <v>5</v>
      </c>
      <c r="U913">
        <v>7</v>
      </c>
      <c r="V913">
        <v>15</v>
      </c>
      <c r="W913">
        <v>8</v>
      </c>
      <c r="X913">
        <v>7</v>
      </c>
      <c r="Y913">
        <v>15</v>
      </c>
      <c r="Z913">
        <v>1</v>
      </c>
      <c r="AA913">
        <v>3</v>
      </c>
      <c r="AB913">
        <v>1</v>
      </c>
      <c r="AC913">
        <v>1</v>
      </c>
      <c r="AD913">
        <v>13</v>
      </c>
      <c r="AE913">
        <v>9</v>
      </c>
      <c r="AF913">
        <v>6</v>
      </c>
      <c r="AG913">
        <v>3</v>
      </c>
      <c r="AH913">
        <v>0</v>
      </c>
      <c r="AI913">
        <v>0</v>
      </c>
    </row>
    <row r="914" spans="1:35" hidden="1" x14ac:dyDescent="0.25">
      <c r="A914">
        <v>2022</v>
      </c>
      <c r="B914" s="1">
        <v>44717</v>
      </c>
      <c r="C914">
        <v>9</v>
      </c>
      <c r="D914">
        <v>19323</v>
      </c>
      <c r="E914">
        <v>42372</v>
      </c>
      <c r="F914" t="s">
        <v>69</v>
      </c>
      <c r="G914" t="s">
        <v>326</v>
      </c>
      <c r="H914" t="s">
        <v>336</v>
      </c>
      <c r="I914" t="s">
        <v>344</v>
      </c>
      <c r="J914">
        <v>6</v>
      </c>
      <c r="K914">
        <v>9</v>
      </c>
      <c r="L914">
        <v>32700000</v>
      </c>
      <c r="M914">
        <v>28200000</v>
      </c>
      <c r="N914" t="s">
        <v>171</v>
      </c>
      <c r="O914" t="s">
        <v>217</v>
      </c>
      <c r="P914">
        <v>2</v>
      </c>
      <c r="Q914">
        <v>2</v>
      </c>
      <c r="R914">
        <v>1</v>
      </c>
      <c r="S914">
        <v>1</v>
      </c>
      <c r="T914">
        <v>7</v>
      </c>
      <c r="U914">
        <v>6</v>
      </c>
      <c r="V914">
        <v>21</v>
      </c>
      <c r="W914">
        <v>11</v>
      </c>
      <c r="X914">
        <v>11</v>
      </c>
      <c r="Y914">
        <v>21</v>
      </c>
      <c r="Z914">
        <v>1</v>
      </c>
      <c r="AA914">
        <v>3</v>
      </c>
      <c r="AB914">
        <v>2</v>
      </c>
      <c r="AC914">
        <v>0</v>
      </c>
      <c r="AD914">
        <v>14</v>
      </c>
      <c r="AE914">
        <v>14</v>
      </c>
      <c r="AF914">
        <v>7</v>
      </c>
      <c r="AG914">
        <v>9</v>
      </c>
      <c r="AH914">
        <v>0</v>
      </c>
      <c r="AI914">
        <v>0</v>
      </c>
    </row>
    <row r="915" spans="1:35" hidden="1" x14ac:dyDescent="0.25">
      <c r="A915">
        <v>2022</v>
      </c>
      <c r="B915" s="1">
        <v>44728</v>
      </c>
      <c r="C915">
        <v>12</v>
      </c>
      <c r="D915">
        <v>25965</v>
      </c>
      <c r="E915">
        <v>42372</v>
      </c>
      <c r="F915" t="s">
        <v>69</v>
      </c>
      <c r="G915" t="s">
        <v>88</v>
      </c>
      <c r="H915" t="s">
        <v>336</v>
      </c>
      <c r="I915" t="s">
        <v>359</v>
      </c>
      <c r="J915">
        <v>5</v>
      </c>
      <c r="K915">
        <v>2</v>
      </c>
      <c r="L915">
        <v>26900000</v>
      </c>
      <c r="M915">
        <v>38300000</v>
      </c>
      <c r="N915" t="s">
        <v>176</v>
      </c>
      <c r="O915" t="s">
        <v>209</v>
      </c>
      <c r="P915">
        <v>1</v>
      </c>
      <c r="Q915">
        <v>1</v>
      </c>
      <c r="R915">
        <v>0</v>
      </c>
      <c r="S915">
        <v>1</v>
      </c>
      <c r="T915">
        <v>11</v>
      </c>
      <c r="U915">
        <v>4</v>
      </c>
      <c r="V915">
        <v>12</v>
      </c>
      <c r="W915">
        <v>9</v>
      </c>
      <c r="X915">
        <v>9</v>
      </c>
      <c r="Y915">
        <v>12</v>
      </c>
      <c r="Z915">
        <v>5</v>
      </c>
      <c r="AA915">
        <v>1</v>
      </c>
      <c r="AB915">
        <v>3</v>
      </c>
      <c r="AC915">
        <v>0</v>
      </c>
      <c r="AD915">
        <v>21</v>
      </c>
      <c r="AE915">
        <v>11</v>
      </c>
      <c r="AF915">
        <v>13</v>
      </c>
      <c r="AG915">
        <v>2</v>
      </c>
      <c r="AH915">
        <v>0</v>
      </c>
      <c r="AI915">
        <v>0</v>
      </c>
    </row>
    <row r="916" spans="1:35" hidden="1" x14ac:dyDescent="0.25">
      <c r="A916">
        <v>2022</v>
      </c>
      <c r="B916" s="1">
        <v>44823</v>
      </c>
      <c r="C916">
        <v>27</v>
      </c>
      <c r="D916">
        <v>16524</v>
      </c>
      <c r="E916">
        <v>42372</v>
      </c>
      <c r="F916" t="s">
        <v>69</v>
      </c>
      <c r="G916" t="s">
        <v>70</v>
      </c>
      <c r="H916" t="s">
        <v>336</v>
      </c>
      <c r="I916" t="s">
        <v>90</v>
      </c>
      <c r="J916">
        <v>6</v>
      </c>
      <c r="K916">
        <v>17</v>
      </c>
      <c r="L916">
        <v>30850000</v>
      </c>
      <c r="M916">
        <v>6200000</v>
      </c>
      <c r="N916" t="s">
        <v>339</v>
      </c>
      <c r="O916" t="s">
        <v>86</v>
      </c>
      <c r="P916">
        <v>2</v>
      </c>
      <c r="Q916">
        <v>2</v>
      </c>
      <c r="R916">
        <v>2</v>
      </c>
      <c r="S916">
        <v>1</v>
      </c>
      <c r="T916">
        <v>8</v>
      </c>
      <c r="U916">
        <v>4</v>
      </c>
      <c r="V916">
        <v>9</v>
      </c>
      <c r="W916">
        <v>10</v>
      </c>
      <c r="X916">
        <v>8</v>
      </c>
      <c r="Y916">
        <v>9</v>
      </c>
      <c r="Z916">
        <v>3</v>
      </c>
      <c r="AA916">
        <v>1</v>
      </c>
      <c r="AB916">
        <v>2</v>
      </c>
      <c r="AC916">
        <v>2</v>
      </c>
      <c r="AD916">
        <v>17</v>
      </c>
      <c r="AE916">
        <v>11</v>
      </c>
      <c r="AF916">
        <v>8</v>
      </c>
      <c r="AG916">
        <v>4</v>
      </c>
      <c r="AH916">
        <v>0</v>
      </c>
      <c r="AI916">
        <v>0</v>
      </c>
    </row>
    <row r="917" spans="1:35" hidden="1" x14ac:dyDescent="0.25">
      <c r="A917">
        <v>2022</v>
      </c>
      <c r="B917" s="1">
        <v>44840</v>
      </c>
      <c r="C917">
        <v>30</v>
      </c>
      <c r="D917">
        <v>15646</v>
      </c>
      <c r="E917">
        <v>42372</v>
      </c>
      <c r="F917" t="s">
        <v>69</v>
      </c>
      <c r="G917" t="s">
        <v>63</v>
      </c>
      <c r="H917" t="s">
        <v>336</v>
      </c>
      <c r="I917" t="s">
        <v>65</v>
      </c>
      <c r="J917">
        <v>6</v>
      </c>
      <c r="K917">
        <v>10</v>
      </c>
      <c r="L917">
        <v>25650000</v>
      </c>
      <c r="M917">
        <v>16450000</v>
      </c>
      <c r="N917" t="s">
        <v>163</v>
      </c>
      <c r="O917" t="s">
        <v>208</v>
      </c>
      <c r="P917">
        <v>1</v>
      </c>
      <c r="Q917">
        <v>1</v>
      </c>
      <c r="R917">
        <v>0</v>
      </c>
      <c r="S917">
        <v>1</v>
      </c>
      <c r="T917">
        <v>13</v>
      </c>
      <c r="U917">
        <v>4</v>
      </c>
      <c r="V917">
        <v>11</v>
      </c>
      <c r="W917">
        <v>10</v>
      </c>
      <c r="X917">
        <v>10</v>
      </c>
      <c r="Y917">
        <v>11</v>
      </c>
      <c r="Z917">
        <v>1</v>
      </c>
      <c r="AA917">
        <v>3</v>
      </c>
      <c r="AB917">
        <v>1</v>
      </c>
      <c r="AC917">
        <v>0</v>
      </c>
      <c r="AD917">
        <v>21</v>
      </c>
      <c r="AE917">
        <v>9</v>
      </c>
      <c r="AF917">
        <v>11</v>
      </c>
      <c r="AG917">
        <v>6</v>
      </c>
      <c r="AH917">
        <v>0</v>
      </c>
      <c r="AI917">
        <v>0</v>
      </c>
    </row>
    <row r="918" spans="1:35" hidden="1" x14ac:dyDescent="0.25">
      <c r="A918">
        <v>2022</v>
      </c>
      <c r="B918" s="1">
        <v>44867</v>
      </c>
      <c r="C918">
        <v>35</v>
      </c>
      <c r="D918">
        <v>13664</v>
      </c>
      <c r="E918">
        <v>42372</v>
      </c>
      <c r="F918" t="s">
        <v>69</v>
      </c>
      <c r="G918" t="s">
        <v>313</v>
      </c>
      <c r="H918" t="s">
        <v>336</v>
      </c>
      <c r="I918" t="s">
        <v>78</v>
      </c>
      <c r="J918">
        <v>6</v>
      </c>
      <c r="K918">
        <v>13</v>
      </c>
      <c r="L918">
        <v>34950000</v>
      </c>
      <c r="M918">
        <v>10050000</v>
      </c>
      <c r="N918" t="s">
        <v>239</v>
      </c>
      <c r="O918" t="s">
        <v>209</v>
      </c>
      <c r="P918">
        <v>3</v>
      </c>
      <c r="Q918">
        <v>2</v>
      </c>
      <c r="R918">
        <v>3</v>
      </c>
      <c r="S918">
        <v>1</v>
      </c>
      <c r="T918">
        <v>5</v>
      </c>
      <c r="U918">
        <v>6</v>
      </c>
      <c r="V918">
        <v>6</v>
      </c>
      <c r="W918">
        <v>11</v>
      </c>
      <c r="X918">
        <v>10</v>
      </c>
      <c r="Y918">
        <v>5</v>
      </c>
      <c r="Z918">
        <v>1</v>
      </c>
      <c r="AA918">
        <v>3</v>
      </c>
      <c r="AB918">
        <v>0</v>
      </c>
      <c r="AC918">
        <v>0</v>
      </c>
      <c r="AD918">
        <v>16</v>
      </c>
      <c r="AE918">
        <v>12</v>
      </c>
      <c r="AF918">
        <v>10</v>
      </c>
      <c r="AG918">
        <v>7</v>
      </c>
      <c r="AH918">
        <v>1</v>
      </c>
      <c r="AI918">
        <v>1</v>
      </c>
    </row>
    <row r="919" spans="1:35" hidden="1" x14ac:dyDescent="0.25">
      <c r="A919">
        <v>2022</v>
      </c>
      <c r="B919" s="1">
        <v>44689</v>
      </c>
      <c r="C919">
        <v>5</v>
      </c>
      <c r="D919">
        <v>5431</v>
      </c>
      <c r="E919">
        <v>13000</v>
      </c>
      <c r="F919" t="s">
        <v>76</v>
      </c>
      <c r="G919" t="s">
        <v>313</v>
      </c>
      <c r="H919" t="s">
        <v>238</v>
      </c>
      <c r="I919" t="s">
        <v>78</v>
      </c>
      <c r="J919">
        <v>17</v>
      </c>
      <c r="K919">
        <v>18</v>
      </c>
      <c r="L919">
        <v>8450000</v>
      </c>
      <c r="M919">
        <v>6550000</v>
      </c>
      <c r="N919">
        <v>27</v>
      </c>
      <c r="O919" t="s">
        <v>98</v>
      </c>
      <c r="P919">
        <v>0</v>
      </c>
      <c r="Q919">
        <v>1</v>
      </c>
      <c r="R919">
        <v>0</v>
      </c>
      <c r="S919">
        <v>1</v>
      </c>
      <c r="T919">
        <v>12</v>
      </c>
      <c r="U919">
        <v>0</v>
      </c>
      <c r="V919">
        <v>12</v>
      </c>
      <c r="W919">
        <v>11</v>
      </c>
      <c r="X919">
        <v>9</v>
      </c>
      <c r="Y919">
        <v>12</v>
      </c>
      <c r="Z919">
        <v>2</v>
      </c>
      <c r="AA919">
        <v>7</v>
      </c>
      <c r="AB919">
        <v>2</v>
      </c>
      <c r="AC919">
        <v>2</v>
      </c>
      <c r="AD919">
        <v>33</v>
      </c>
      <c r="AE919">
        <v>6</v>
      </c>
      <c r="AF919">
        <v>16</v>
      </c>
      <c r="AG919">
        <v>3</v>
      </c>
      <c r="AH919">
        <v>-1</v>
      </c>
      <c r="AI919">
        <v>0</v>
      </c>
    </row>
    <row r="920" spans="1:35" hidden="1" x14ac:dyDescent="0.25">
      <c r="A920">
        <v>2022</v>
      </c>
      <c r="B920" s="1">
        <v>44717</v>
      </c>
      <c r="C920">
        <v>9</v>
      </c>
      <c r="D920">
        <v>12089</v>
      </c>
      <c r="E920">
        <v>13000</v>
      </c>
      <c r="F920" t="s">
        <v>76</v>
      </c>
      <c r="G920" t="s">
        <v>88</v>
      </c>
      <c r="J920">
        <v>18</v>
      </c>
      <c r="K920">
        <v>3</v>
      </c>
      <c r="L920">
        <v>7900000</v>
      </c>
      <c r="M920">
        <v>34150000</v>
      </c>
      <c r="N920" t="s">
        <v>114</v>
      </c>
      <c r="O920" t="s">
        <v>107</v>
      </c>
      <c r="P920">
        <v>0</v>
      </c>
      <c r="Q920">
        <v>1</v>
      </c>
      <c r="R920">
        <v>0</v>
      </c>
      <c r="S920">
        <v>1</v>
      </c>
      <c r="T920">
        <v>9</v>
      </c>
      <c r="U920">
        <v>0</v>
      </c>
      <c r="V920">
        <v>9</v>
      </c>
      <c r="W920">
        <v>11</v>
      </c>
      <c r="X920">
        <v>11</v>
      </c>
      <c r="Y920">
        <v>9</v>
      </c>
      <c r="Z920">
        <v>0</v>
      </c>
      <c r="AA920">
        <v>3</v>
      </c>
      <c r="AB920">
        <v>3</v>
      </c>
      <c r="AC920">
        <v>0</v>
      </c>
      <c r="AD920">
        <v>14</v>
      </c>
      <c r="AE920">
        <v>10</v>
      </c>
      <c r="AF920">
        <v>4</v>
      </c>
      <c r="AG920">
        <v>6</v>
      </c>
      <c r="AH920">
        <v>-1</v>
      </c>
      <c r="AI920">
        <v>0</v>
      </c>
    </row>
    <row r="921" spans="1:35" hidden="1" x14ac:dyDescent="0.25">
      <c r="A921">
        <v>2022</v>
      </c>
      <c r="B921" s="1">
        <v>44721</v>
      </c>
      <c r="C921">
        <v>10</v>
      </c>
      <c r="D921">
        <v>5251</v>
      </c>
      <c r="E921">
        <v>13000</v>
      </c>
      <c r="F921" t="s">
        <v>76</v>
      </c>
      <c r="G921" t="s">
        <v>365</v>
      </c>
      <c r="J921">
        <v>19</v>
      </c>
      <c r="K921">
        <v>14</v>
      </c>
      <c r="L921">
        <v>7650000</v>
      </c>
      <c r="M921">
        <v>7430000</v>
      </c>
      <c r="N921" t="s">
        <v>209</v>
      </c>
      <c r="O921" t="s">
        <v>100</v>
      </c>
      <c r="P921">
        <v>2</v>
      </c>
      <c r="Q921">
        <v>1</v>
      </c>
      <c r="R921">
        <v>1</v>
      </c>
      <c r="S921">
        <v>1</v>
      </c>
      <c r="T921">
        <v>8</v>
      </c>
      <c r="U921">
        <v>6</v>
      </c>
      <c r="V921">
        <v>12</v>
      </c>
      <c r="W921">
        <v>12</v>
      </c>
      <c r="X921">
        <v>11</v>
      </c>
      <c r="Y921">
        <v>11</v>
      </c>
      <c r="Z921">
        <v>2</v>
      </c>
      <c r="AA921">
        <v>3</v>
      </c>
      <c r="AB921">
        <v>1</v>
      </c>
      <c r="AC921">
        <v>0</v>
      </c>
      <c r="AD921">
        <v>13</v>
      </c>
      <c r="AE921">
        <v>10</v>
      </c>
      <c r="AF921">
        <v>6</v>
      </c>
      <c r="AG921">
        <v>6</v>
      </c>
      <c r="AH921">
        <v>1</v>
      </c>
      <c r="AI921">
        <v>1</v>
      </c>
    </row>
    <row r="922" spans="1:35" hidden="1" x14ac:dyDescent="0.25">
      <c r="A922">
        <v>2022</v>
      </c>
      <c r="B922" s="1">
        <v>44731</v>
      </c>
      <c r="C922">
        <v>13</v>
      </c>
      <c r="D922">
        <v>4524</v>
      </c>
      <c r="E922">
        <v>13000</v>
      </c>
      <c r="F922" t="s">
        <v>76</v>
      </c>
      <c r="G922" t="s">
        <v>44</v>
      </c>
      <c r="J922">
        <v>17</v>
      </c>
      <c r="K922">
        <v>19</v>
      </c>
      <c r="L922">
        <v>8100000</v>
      </c>
      <c r="M922">
        <v>6550000</v>
      </c>
      <c r="N922" t="s">
        <v>135</v>
      </c>
      <c r="O922" t="s">
        <v>111</v>
      </c>
      <c r="P922">
        <v>3</v>
      </c>
      <c r="Q922">
        <v>1</v>
      </c>
      <c r="R922">
        <v>0</v>
      </c>
      <c r="S922">
        <v>1</v>
      </c>
      <c r="T922">
        <v>7</v>
      </c>
      <c r="U922">
        <v>2</v>
      </c>
      <c r="V922">
        <v>15</v>
      </c>
      <c r="W922">
        <v>11</v>
      </c>
      <c r="X922">
        <v>11</v>
      </c>
      <c r="Y922">
        <v>15</v>
      </c>
      <c r="Z922">
        <v>2</v>
      </c>
      <c r="AA922">
        <v>3</v>
      </c>
      <c r="AB922">
        <v>1</v>
      </c>
      <c r="AC922">
        <v>1</v>
      </c>
      <c r="AD922">
        <v>26</v>
      </c>
      <c r="AE922">
        <v>5</v>
      </c>
      <c r="AF922">
        <v>13</v>
      </c>
      <c r="AG922">
        <v>1</v>
      </c>
      <c r="AH922">
        <v>2</v>
      </c>
      <c r="AI922">
        <v>1</v>
      </c>
    </row>
    <row r="923" spans="1:35" hidden="1" x14ac:dyDescent="0.25">
      <c r="A923">
        <v>2022</v>
      </c>
      <c r="B923" s="1">
        <v>44745</v>
      </c>
      <c r="C923">
        <v>15</v>
      </c>
      <c r="D923">
        <v>12089</v>
      </c>
      <c r="E923">
        <v>13000</v>
      </c>
      <c r="F923" t="s">
        <v>76</v>
      </c>
      <c r="G923" t="s">
        <v>62</v>
      </c>
      <c r="J923">
        <v>13</v>
      </c>
      <c r="K923">
        <v>8</v>
      </c>
      <c r="L923">
        <v>7550000</v>
      </c>
      <c r="M923">
        <v>35600000</v>
      </c>
      <c r="N923" t="s">
        <v>168</v>
      </c>
      <c r="O923" t="s">
        <v>116</v>
      </c>
      <c r="P923">
        <v>1</v>
      </c>
      <c r="Q923">
        <v>2</v>
      </c>
      <c r="R923">
        <v>1</v>
      </c>
      <c r="S923">
        <v>1</v>
      </c>
      <c r="T923">
        <v>3</v>
      </c>
      <c r="U923">
        <v>0</v>
      </c>
      <c r="V923">
        <v>9</v>
      </c>
      <c r="W923">
        <v>20</v>
      </c>
      <c r="X923">
        <v>20</v>
      </c>
      <c r="Y923">
        <v>7</v>
      </c>
      <c r="Z923">
        <v>0</v>
      </c>
      <c r="AA923">
        <v>2</v>
      </c>
      <c r="AB923">
        <v>2</v>
      </c>
      <c r="AC923">
        <v>1</v>
      </c>
      <c r="AD923">
        <v>11</v>
      </c>
      <c r="AE923">
        <v>8</v>
      </c>
      <c r="AF923">
        <v>6</v>
      </c>
      <c r="AG923">
        <v>3</v>
      </c>
      <c r="AH923">
        <v>-1</v>
      </c>
      <c r="AI923">
        <v>0</v>
      </c>
    </row>
    <row r="924" spans="1:35" hidden="1" x14ac:dyDescent="0.25">
      <c r="A924">
        <v>2022</v>
      </c>
      <c r="B924" s="1">
        <v>44766</v>
      </c>
      <c r="C924">
        <v>19</v>
      </c>
      <c r="D924">
        <v>5098</v>
      </c>
      <c r="E924">
        <v>13000</v>
      </c>
      <c r="F924" t="s">
        <v>76</v>
      </c>
      <c r="G924" t="s">
        <v>310</v>
      </c>
      <c r="J924">
        <v>18</v>
      </c>
      <c r="K924">
        <v>17</v>
      </c>
      <c r="L924">
        <v>8150000</v>
      </c>
      <c r="M924">
        <v>6050000</v>
      </c>
      <c r="N924" t="s">
        <v>114</v>
      </c>
      <c r="O924" t="s">
        <v>134</v>
      </c>
      <c r="P924">
        <v>0</v>
      </c>
      <c r="Q924">
        <v>1</v>
      </c>
      <c r="R924">
        <v>0</v>
      </c>
      <c r="S924">
        <v>1</v>
      </c>
      <c r="T924">
        <v>6</v>
      </c>
      <c r="U924">
        <v>3</v>
      </c>
      <c r="V924">
        <v>4</v>
      </c>
      <c r="W924">
        <v>12</v>
      </c>
      <c r="X924">
        <v>11</v>
      </c>
      <c r="Y924">
        <v>2</v>
      </c>
      <c r="Z924">
        <v>2</v>
      </c>
      <c r="AA924">
        <v>6</v>
      </c>
      <c r="AB924">
        <v>2</v>
      </c>
      <c r="AC924">
        <v>2</v>
      </c>
      <c r="AD924">
        <v>23</v>
      </c>
      <c r="AE924">
        <v>10</v>
      </c>
      <c r="AF924">
        <v>10</v>
      </c>
      <c r="AG924">
        <v>5</v>
      </c>
      <c r="AH924">
        <v>-1</v>
      </c>
      <c r="AI924">
        <v>0</v>
      </c>
    </row>
    <row r="925" spans="1:35" hidden="1" x14ac:dyDescent="0.25">
      <c r="A925">
        <v>2022</v>
      </c>
      <c r="B925" s="1">
        <v>44808</v>
      </c>
      <c r="C925">
        <v>25</v>
      </c>
      <c r="D925">
        <v>7083</v>
      </c>
      <c r="E925">
        <v>13000</v>
      </c>
      <c r="F925" t="s">
        <v>76</v>
      </c>
      <c r="G925" t="s">
        <v>89</v>
      </c>
      <c r="H925" t="s">
        <v>369</v>
      </c>
      <c r="I925" t="s">
        <v>71</v>
      </c>
      <c r="J925">
        <v>19</v>
      </c>
      <c r="K925">
        <v>7</v>
      </c>
      <c r="L925">
        <v>8750000</v>
      </c>
      <c r="M925">
        <v>52200000</v>
      </c>
      <c r="N925" t="s">
        <v>135</v>
      </c>
      <c r="O925" t="s">
        <v>205</v>
      </c>
      <c r="P925">
        <v>0</v>
      </c>
      <c r="Q925">
        <v>2</v>
      </c>
      <c r="R925">
        <v>0</v>
      </c>
      <c r="S925">
        <v>1</v>
      </c>
      <c r="T925">
        <v>5</v>
      </c>
      <c r="U925">
        <v>3</v>
      </c>
      <c r="V925">
        <v>12</v>
      </c>
      <c r="W925">
        <v>6</v>
      </c>
      <c r="X925">
        <v>6</v>
      </c>
      <c r="Y925">
        <v>11</v>
      </c>
      <c r="Z925">
        <v>5</v>
      </c>
      <c r="AA925">
        <v>2</v>
      </c>
      <c r="AB925">
        <v>1</v>
      </c>
      <c r="AC925">
        <v>3</v>
      </c>
      <c r="AD925">
        <v>12</v>
      </c>
      <c r="AE925">
        <v>12</v>
      </c>
      <c r="AF925">
        <v>7</v>
      </c>
      <c r="AG925">
        <v>3</v>
      </c>
      <c r="AH925">
        <v>-2</v>
      </c>
      <c r="AI925">
        <v>0</v>
      </c>
    </row>
    <row r="926" spans="1:35" hidden="1" x14ac:dyDescent="0.25">
      <c r="A926">
        <v>2022</v>
      </c>
      <c r="B926" s="1">
        <v>44867</v>
      </c>
      <c r="C926">
        <v>35</v>
      </c>
      <c r="D926">
        <v>9090</v>
      </c>
      <c r="E926">
        <v>13000</v>
      </c>
      <c r="F926" t="s">
        <v>76</v>
      </c>
      <c r="G926" t="s">
        <v>326</v>
      </c>
      <c r="H926" t="s">
        <v>375</v>
      </c>
      <c r="I926" t="s">
        <v>363</v>
      </c>
      <c r="J926">
        <v>18</v>
      </c>
      <c r="K926">
        <v>12</v>
      </c>
      <c r="L926">
        <v>8400000</v>
      </c>
      <c r="M926">
        <v>43100000</v>
      </c>
      <c r="N926" t="s">
        <v>135</v>
      </c>
      <c r="O926" t="s">
        <v>239</v>
      </c>
      <c r="P926">
        <v>2</v>
      </c>
      <c r="Q926">
        <v>3</v>
      </c>
      <c r="R926">
        <v>2</v>
      </c>
      <c r="S926">
        <v>1</v>
      </c>
      <c r="T926">
        <v>4</v>
      </c>
      <c r="U926">
        <v>7</v>
      </c>
      <c r="V926">
        <v>15</v>
      </c>
      <c r="W926">
        <v>10</v>
      </c>
      <c r="X926">
        <v>10</v>
      </c>
      <c r="Y926">
        <v>15</v>
      </c>
      <c r="Z926">
        <v>3</v>
      </c>
      <c r="AA926">
        <v>4</v>
      </c>
      <c r="AB926">
        <v>4</v>
      </c>
      <c r="AC926">
        <v>0</v>
      </c>
      <c r="AD926">
        <v>22</v>
      </c>
      <c r="AE926">
        <v>9</v>
      </c>
      <c r="AF926">
        <v>10</v>
      </c>
      <c r="AG926">
        <v>0</v>
      </c>
      <c r="AH926">
        <v>-1</v>
      </c>
      <c r="AI926">
        <v>0</v>
      </c>
    </row>
    <row r="927" spans="1:35" hidden="1" x14ac:dyDescent="0.25">
      <c r="A927">
        <v>2022</v>
      </c>
      <c r="B927" s="1">
        <v>44688</v>
      </c>
      <c r="C927">
        <v>5</v>
      </c>
      <c r="D927">
        <v>14629</v>
      </c>
      <c r="E927">
        <v>23018</v>
      </c>
      <c r="F927" t="s">
        <v>89</v>
      </c>
      <c r="G927" t="s">
        <v>310</v>
      </c>
      <c r="H927" t="s">
        <v>370</v>
      </c>
      <c r="I927" t="s">
        <v>312</v>
      </c>
      <c r="J927">
        <v>3</v>
      </c>
      <c r="K927">
        <v>10</v>
      </c>
      <c r="L927">
        <v>54300000</v>
      </c>
      <c r="M927">
        <v>7150000</v>
      </c>
      <c r="N927" t="s">
        <v>100</v>
      </c>
      <c r="O927" t="s">
        <v>142</v>
      </c>
      <c r="P927">
        <v>1</v>
      </c>
      <c r="Q927">
        <v>2</v>
      </c>
      <c r="R927">
        <v>0</v>
      </c>
      <c r="S927">
        <v>1</v>
      </c>
      <c r="T927">
        <v>11</v>
      </c>
      <c r="U927">
        <v>3</v>
      </c>
      <c r="V927">
        <v>7</v>
      </c>
      <c r="W927">
        <v>22</v>
      </c>
      <c r="X927">
        <v>22</v>
      </c>
      <c r="Y927">
        <v>6</v>
      </c>
      <c r="Z927">
        <v>7</v>
      </c>
      <c r="AA927">
        <v>7</v>
      </c>
      <c r="AB927">
        <v>3</v>
      </c>
      <c r="AC927">
        <v>3</v>
      </c>
      <c r="AD927">
        <v>23</v>
      </c>
      <c r="AE927">
        <v>12</v>
      </c>
      <c r="AF927">
        <v>9</v>
      </c>
      <c r="AG927">
        <v>1</v>
      </c>
      <c r="AH927">
        <v>-1</v>
      </c>
      <c r="AI927">
        <v>0</v>
      </c>
    </row>
    <row r="928" spans="1:35" hidden="1" x14ac:dyDescent="0.25">
      <c r="A928">
        <v>2022</v>
      </c>
      <c r="B928" s="1">
        <v>44711</v>
      </c>
      <c r="C928">
        <v>8</v>
      </c>
      <c r="D928">
        <v>31551</v>
      </c>
      <c r="E928">
        <v>57018</v>
      </c>
      <c r="F928" t="s">
        <v>89</v>
      </c>
      <c r="G928" t="s">
        <v>365</v>
      </c>
      <c r="H928" t="s">
        <v>370</v>
      </c>
      <c r="I928" t="s">
        <v>367</v>
      </c>
      <c r="J928">
        <v>4</v>
      </c>
      <c r="K928">
        <v>10</v>
      </c>
      <c r="L928">
        <v>37700000</v>
      </c>
      <c r="M928">
        <v>8250000</v>
      </c>
      <c r="N928" t="s">
        <v>309</v>
      </c>
      <c r="O928" t="s">
        <v>107</v>
      </c>
      <c r="P928">
        <v>2</v>
      </c>
      <c r="Q928">
        <v>1</v>
      </c>
      <c r="R928">
        <v>0</v>
      </c>
      <c r="S928">
        <v>1</v>
      </c>
      <c r="T928">
        <v>13</v>
      </c>
      <c r="U928">
        <v>0</v>
      </c>
      <c r="V928">
        <v>14</v>
      </c>
      <c r="W928">
        <v>10</v>
      </c>
      <c r="X928">
        <v>10</v>
      </c>
      <c r="Y928">
        <v>12</v>
      </c>
      <c r="Z928">
        <v>0</v>
      </c>
      <c r="AA928">
        <v>5</v>
      </c>
      <c r="AB928">
        <v>2</v>
      </c>
      <c r="AC928">
        <v>0</v>
      </c>
      <c r="AD928">
        <v>27</v>
      </c>
      <c r="AE928">
        <v>5</v>
      </c>
      <c r="AF928">
        <v>13</v>
      </c>
      <c r="AG928">
        <v>2</v>
      </c>
      <c r="AH928">
        <v>1</v>
      </c>
      <c r="AI928">
        <v>1</v>
      </c>
    </row>
    <row r="929" spans="1:35" hidden="1" x14ac:dyDescent="0.25">
      <c r="A929">
        <v>2022</v>
      </c>
      <c r="B929" s="1">
        <v>44815</v>
      </c>
      <c r="C929">
        <v>26</v>
      </c>
      <c r="D929">
        <v>34941</v>
      </c>
      <c r="E929">
        <v>57018</v>
      </c>
      <c r="F929" t="s">
        <v>89</v>
      </c>
      <c r="G929" t="s">
        <v>56</v>
      </c>
      <c r="H929" t="s">
        <v>71</v>
      </c>
      <c r="I929" t="s">
        <v>341</v>
      </c>
      <c r="J929">
        <v>7</v>
      </c>
      <c r="K929">
        <v>11</v>
      </c>
      <c r="L929">
        <v>70000000</v>
      </c>
      <c r="M929">
        <v>49700000</v>
      </c>
      <c r="N929" t="s">
        <v>98</v>
      </c>
      <c r="O929" t="s">
        <v>202</v>
      </c>
      <c r="P929">
        <v>1</v>
      </c>
      <c r="Q929">
        <v>1</v>
      </c>
      <c r="R929">
        <v>1</v>
      </c>
      <c r="S929">
        <v>1</v>
      </c>
      <c r="T929">
        <v>7</v>
      </c>
      <c r="U929">
        <v>5</v>
      </c>
      <c r="V929">
        <v>8</v>
      </c>
      <c r="W929">
        <v>10</v>
      </c>
      <c r="X929">
        <v>10</v>
      </c>
      <c r="Y929">
        <v>7</v>
      </c>
      <c r="Z929">
        <v>1</v>
      </c>
      <c r="AA929">
        <v>5</v>
      </c>
      <c r="AB929">
        <v>1</v>
      </c>
      <c r="AC929">
        <v>1</v>
      </c>
      <c r="AD929">
        <v>21</v>
      </c>
      <c r="AE929">
        <v>6</v>
      </c>
      <c r="AF929">
        <v>9</v>
      </c>
      <c r="AG929">
        <v>3</v>
      </c>
      <c r="AH929">
        <v>0</v>
      </c>
      <c r="AI929">
        <v>0</v>
      </c>
    </row>
    <row r="930" spans="1:35" hidden="1" x14ac:dyDescent="0.25">
      <c r="A930">
        <v>2022</v>
      </c>
      <c r="B930" s="1">
        <v>44668</v>
      </c>
      <c r="C930">
        <v>2</v>
      </c>
      <c r="D930">
        <v>31783</v>
      </c>
      <c r="E930">
        <v>56000</v>
      </c>
      <c r="F930" t="s">
        <v>37</v>
      </c>
      <c r="G930" t="s">
        <v>63</v>
      </c>
      <c r="H930" t="s">
        <v>377</v>
      </c>
      <c r="I930" t="s">
        <v>65</v>
      </c>
      <c r="J930">
        <v>18</v>
      </c>
      <c r="K930">
        <v>16</v>
      </c>
      <c r="L930">
        <v>27650000</v>
      </c>
      <c r="M930">
        <v>12150000</v>
      </c>
      <c r="N930" t="s">
        <v>74</v>
      </c>
      <c r="O930" t="s">
        <v>98</v>
      </c>
      <c r="P930">
        <v>2</v>
      </c>
      <c r="Q930">
        <v>1</v>
      </c>
      <c r="R930">
        <v>1</v>
      </c>
      <c r="S930">
        <v>1</v>
      </c>
      <c r="T930">
        <v>8</v>
      </c>
      <c r="U930">
        <v>5</v>
      </c>
      <c r="V930">
        <v>15</v>
      </c>
      <c r="W930">
        <v>13</v>
      </c>
      <c r="X930">
        <v>12</v>
      </c>
      <c r="Y930">
        <v>15</v>
      </c>
      <c r="Z930">
        <v>2</v>
      </c>
      <c r="AA930">
        <v>3</v>
      </c>
      <c r="AB930">
        <v>0</v>
      </c>
      <c r="AC930">
        <v>3</v>
      </c>
      <c r="AD930">
        <v>18</v>
      </c>
      <c r="AE930">
        <v>7</v>
      </c>
      <c r="AF930">
        <v>8</v>
      </c>
      <c r="AG930">
        <v>2</v>
      </c>
      <c r="AH930">
        <v>1</v>
      </c>
      <c r="AI930">
        <v>1</v>
      </c>
    </row>
    <row r="931" spans="1:35" hidden="1" x14ac:dyDescent="0.25">
      <c r="A931">
        <v>2022</v>
      </c>
      <c r="B931" s="1">
        <v>44696</v>
      </c>
      <c r="C931">
        <v>6</v>
      </c>
      <c r="D931">
        <v>18482</v>
      </c>
      <c r="E931">
        <v>56000</v>
      </c>
      <c r="F931" t="s">
        <v>37</v>
      </c>
      <c r="G931" t="s">
        <v>88</v>
      </c>
      <c r="H931" t="s">
        <v>240</v>
      </c>
      <c r="I931" t="s">
        <v>359</v>
      </c>
      <c r="J931">
        <v>9</v>
      </c>
      <c r="K931">
        <v>1</v>
      </c>
      <c r="L931">
        <v>40900000</v>
      </c>
      <c r="M931">
        <v>36300000</v>
      </c>
      <c r="N931" t="s">
        <v>123</v>
      </c>
      <c r="O931" t="s">
        <v>66</v>
      </c>
      <c r="P931">
        <v>2</v>
      </c>
      <c r="Q931">
        <v>2</v>
      </c>
      <c r="R931">
        <v>2</v>
      </c>
      <c r="S931">
        <v>1</v>
      </c>
      <c r="T931">
        <v>5</v>
      </c>
      <c r="U931">
        <v>6</v>
      </c>
      <c r="V931">
        <v>8</v>
      </c>
      <c r="W931">
        <v>7</v>
      </c>
      <c r="X931">
        <v>7</v>
      </c>
      <c r="Y931">
        <v>8</v>
      </c>
      <c r="Z931">
        <v>7</v>
      </c>
      <c r="AA931">
        <v>3</v>
      </c>
      <c r="AB931">
        <v>1</v>
      </c>
      <c r="AC931">
        <v>3</v>
      </c>
      <c r="AD931">
        <v>13</v>
      </c>
      <c r="AE931">
        <v>15</v>
      </c>
      <c r="AF931">
        <v>4</v>
      </c>
      <c r="AG931">
        <v>4</v>
      </c>
      <c r="AH931">
        <v>0</v>
      </c>
      <c r="AI931">
        <v>0</v>
      </c>
    </row>
    <row r="932" spans="1:35" hidden="1" x14ac:dyDescent="0.25">
      <c r="A932">
        <v>2022</v>
      </c>
      <c r="B932" s="1">
        <v>44731</v>
      </c>
      <c r="C932">
        <v>13</v>
      </c>
      <c r="D932">
        <v>26219</v>
      </c>
      <c r="E932">
        <v>56000</v>
      </c>
      <c r="F932" t="s">
        <v>37</v>
      </c>
      <c r="G932" t="s">
        <v>51</v>
      </c>
      <c r="H932" t="s">
        <v>240</v>
      </c>
      <c r="I932" t="s">
        <v>311</v>
      </c>
      <c r="J932">
        <v>3</v>
      </c>
      <c r="K932">
        <v>14</v>
      </c>
      <c r="L932">
        <v>41100000</v>
      </c>
      <c r="M932">
        <v>25400000</v>
      </c>
      <c r="N932" t="s">
        <v>86</v>
      </c>
      <c r="O932" t="s">
        <v>117</v>
      </c>
      <c r="P932">
        <v>2</v>
      </c>
      <c r="Q932">
        <v>3</v>
      </c>
      <c r="R932">
        <v>2</v>
      </c>
      <c r="S932">
        <v>1</v>
      </c>
      <c r="T932">
        <v>7</v>
      </c>
      <c r="U932">
        <v>2</v>
      </c>
      <c r="V932">
        <v>13</v>
      </c>
      <c r="W932">
        <v>13</v>
      </c>
      <c r="X932">
        <v>12</v>
      </c>
      <c r="Y932">
        <v>12</v>
      </c>
      <c r="Z932">
        <v>3</v>
      </c>
      <c r="AA932">
        <v>5</v>
      </c>
      <c r="AB932">
        <v>5</v>
      </c>
      <c r="AC932">
        <v>3</v>
      </c>
      <c r="AD932">
        <v>18</v>
      </c>
      <c r="AE932">
        <v>10</v>
      </c>
      <c r="AF932">
        <v>8</v>
      </c>
      <c r="AG932">
        <v>3</v>
      </c>
      <c r="AH932">
        <v>-1</v>
      </c>
      <c r="AI932">
        <v>0</v>
      </c>
    </row>
    <row r="933" spans="1:35" hidden="1" x14ac:dyDescent="0.25">
      <c r="A933">
        <v>2022</v>
      </c>
      <c r="B933" s="1">
        <v>44861</v>
      </c>
      <c r="C933">
        <v>34</v>
      </c>
      <c r="D933">
        <v>10544</v>
      </c>
      <c r="E933">
        <v>56000</v>
      </c>
      <c r="F933" t="s">
        <v>37</v>
      </c>
      <c r="G933" t="s">
        <v>361</v>
      </c>
      <c r="H933" t="s">
        <v>240</v>
      </c>
      <c r="I933" t="s">
        <v>241</v>
      </c>
      <c r="J933">
        <v>2</v>
      </c>
      <c r="K933">
        <v>16</v>
      </c>
      <c r="L933">
        <v>31300000</v>
      </c>
      <c r="M933">
        <v>9200000</v>
      </c>
      <c r="N933" t="s">
        <v>235</v>
      </c>
      <c r="O933" t="s">
        <v>200</v>
      </c>
      <c r="P933">
        <v>2</v>
      </c>
      <c r="Q933">
        <v>1</v>
      </c>
      <c r="R933">
        <v>0</v>
      </c>
      <c r="S933">
        <v>1</v>
      </c>
      <c r="T933">
        <v>5</v>
      </c>
      <c r="U933">
        <v>5</v>
      </c>
      <c r="V933">
        <v>8</v>
      </c>
      <c r="W933">
        <v>15</v>
      </c>
      <c r="X933">
        <v>13</v>
      </c>
      <c r="Y933">
        <v>8</v>
      </c>
      <c r="Z933">
        <v>2</v>
      </c>
      <c r="AA933">
        <v>4</v>
      </c>
      <c r="AB933">
        <v>2</v>
      </c>
      <c r="AC933">
        <v>0</v>
      </c>
      <c r="AD933">
        <v>21</v>
      </c>
      <c r="AE933">
        <v>13</v>
      </c>
      <c r="AF933">
        <v>8</v>
      </c>
      <c r="AG933">
        <v>6</v>
      </c>
      <c r="AH933">
        <v>1</v>
      </c>
      <c r="AI933">
        <v>1</v>
      </c>
    </row>
    <row r="934" spans="1:35" hidden="1" x14ac:dyDescent="0.25">
      <c r="A934">
        <v>2022</v>
      </c>
      <c r="B934" s="1">
        <v>44808</v>
      </c>
      <c r="C934">
        <v>25</v>
      </c>
      <c r="D934">
        <v>9685</v>
      </c>
      <c r="E934">
        <v>13212</v>
      </c>
      <c r="F934" t="s">
        <v>56</v>
      </c>
      <c r="G934" t="s">
        <v>95</v>
      </c>
      <c r="H934" t="s">
        <v>341</v>
      </c>
      <c r="I934" t="s">
        <v>97</v>
      </c>
      <c r="J934">
        <v>11</v>
      </c>
      <c r="K934">
        <v>1</v>
      </c>
      <c r="L934">
        <v>48200000</v>
      </c>
      <c r="M934">
        <v>69300000</v>
      </c>
      <c r="N934" t="s">
        <v>332</v>
      </c>
      <c r="O934">
        <v>26</v>
      </c>
      <c r="P934">
        <v>2</v>
      </c>
      <c r="Q934">
        <v>2</v>
      </c>
      <c r="R934">
        <v>2</v>
      </c>
      <c r="S934">
        <v>1</v>
      </c>
      <c r="T934">
        <v>2</v>
      </c>
      <c r="U934">
        <v>11</v>
      </c>
      <c r="V934">
        <v>14</v>
      </c>
      <c r="W934">
        <v>12</v>
      </c>
      <c r="X934">
        <v>12</v>
      </c>
      <c r="Y934">
        <v>13</v>
      </c>
      <c r="Z934">
        <v>2</v>
      </c>
      <c r="AA934">
        <v>0</v>
      </c>
      <c r="AB934">
        <v>2</v>
      </c>
      <c r="AC934">
        <v>3</v>
      </c>
      <c r="AD934">
        <v>11</v>
      </c>
      <c r="AE934">
        <v>11</v>
      </c>
      <c r="AF934">
        <v>7</v>
      </c>
      <c r="AG934">
        <v>6</v>
      </c>
      <c r="AH934">
        <v>0</v>
      </c>
      <c r="AI934">
        <v>0</v>
      </c>
    </row>
    <row r="935" spans="1:35" hidden="1" x14ac:dyDescent="0.25">
      <c r="A935">
        <v>2022</v>
      </c>
      <c r="B935" s="1">
        <v>44840</v>
      </c>
      <c r="C935">
        <v>30</v>
      </c>
      <c r="D935">
        <v>2703</v>
      </c>
      <c r="E935">
        <v>13212</v>
      </c>
      <c r="F935" t="s">
        <v>56</v>
      </c>
      <c r="G935" t="s">
        <v>70</v>
      </c>
      <c r="H935" t="s">
        <v>341</v>
      </c>
      <c r="I935" t="s">
        <v>90</v>
      </c>
      <c r="J935">
        <v>14</v>
      </c>
      <c r="K935">
        <v>17</v>
      </c>
      <c r="L935">
        <v>39200000</v>
      </c>
      <c r="M935">
        <v>8550000</v>
      </c>
      <c r="N935" t="s">
        <v>145</v>
      </c>
      <c r="O935" t="s">
        <v>209</v>
      </c>
      <c r="P935">
        <v>2</v>
      </c>
      <c r="Q935">
        <v>1</v>
      </c>
      <c r="R935">
        <v>1</v>
      </c>
      <c r="S935">
        <v>1</v>
      </c>
      <c r="T935">
        <v>2</v>
      </c>
      <c r="U935">
        <v>7</v>
      </c>
      <c r="V935">
        <v>14</v>
      </c>
      <c r="W935">
        <v>10</v>
      </c>
      <c r="X935">
        <v>9</v>
      </c>
      <c r="Y935">
        <v>14</v>
      </c>
      <c r="Z935">
        <v>3</v>
      </c>
      <c r="AA935">
        <v>3</v>
      </c>
      <c r="AB935">
        <v>1</v>
      </c>
      <c r="AC935">
        <v>0</v>
      </c>
      <c r="AD935">
        <v>14</v>
      </c>
      <c r="AE935">
        <v>13</v>
      </c>
      <c r="AF935">
        <v>7</v>
      </c>
      <c r="AG935">
        <v>6</v>
      </c>
      <c r="AH935">
        <v>1</v>
      </c>
      <c r="AI935">
        <v>1</v>
      </c>
    </row>
    <row r="936" spans="1:35" hidden="1" x14ac:dyDescent="0.25">
      <c r="A936">
        <v>2022</v>
      </c>
      <c r="B936" s="1">
        <v>44878</v>
      </c>
      <c r="C936">
        <v>38</v>
      </c>
      <c r="D936">
        <v>4706</v>
      </c>
      <c r="E936">
        <v>13212</v>
      </c>
      <c r="F936" t="s">
        <v>56</v>
      </c>
      <c r="G936" t="s">
        <v>55</v>
      </c>
      <c r="H936" t="s">
        <v>388</v>
      </c>
      <c r="I936" t="s">
        <v>57</v>
      </c>
      <c r="J936">
        <v>14</v>
      </c>
      <c r="K936">
        <v>3</v>
      </c>
      <c r="L936">
        <v>38600000</v>
      </c>
      <c r="M936">
        <v>32700000</v>
      </c>
      <c r="N936" t="s">
        <v>230</v>
      </c>
      <c r="O936" t="s">
        <v>114</v>
      </c>
      <c r="P936">
        <v>0</v>
      </c>
      <c r="Q936">
        <v>1</v>
      </c>
      <c r="R936">
        <v>0</v>
      </c>
      <c r="S936">
        <v>1</v>
      </c>
      <c r="T936">
        <v>4</v>
      </c>
      <c r="U936">
        <v>9</v>
      </c>
      <c r="V936">
        <v>16</v>
      </c>
      <c r="W936">
        <v>15</v>
      </c>
      <c r="X936">
        <v>14</v>
      </c>
      <c r="Y936">
        <v>15</v>
      </c>
      <c r="Z936">
        <v>3</v>
      </c>
      <c r="AA936">
        <v>4</v>
      </c>
      <c r="AB936">
        <v>5</v>
      </c>
      <c r="AC936">
        <v>0</v>
      </c>
      <c r="AD936">
        <v>13</v>
      </c>
      <c r="AE936">
        <v>8</v>
      </c>
      <c r="AF936">
        <v>6</v>
      </c>
      <c r="AG936">
        <v>4</v>
      </c>
      <c r="AH936">
        <v>-1</v>
      </c>
      <c r="AI936">
        <v>0</v>
      </c>
    </row>
    <row r="937" spans="1:35" hidden="1" x14ac:dyDescent="0.25">
      <c r="A937">
        <v>2022</v>
      </c>
      <c r="B937" s="1">
        <v>44851</v>
      </c>
      <c r="C937">
        <v>32</v>
      </c>
      <c r="D937">
        <v>0</v>
      </c>
      <c r="E937">
        <v>17800</v>
      </c>
      <c r="F937" t="s">
        <v>365</v>
      </c>
      <c r="G937" t="s">
        <v>55</v>
      </c>
      <c r="H937" t="s">
        <v>362</v>
      </c>
      <c r="I937" t="s">
        <v>57</v>
      </c>
      <c r="J937">
        <v>19</v>
      </c>
      <c r="K937">
        <v>5</v>
      </c>
      <c r="L937">
        <v>10550000</v>
      </c>
      <c r="M937">
        <v>26600000</v>
      </c>
      <c r="N937" t="s">
        <v>111</v>
      </c>
      <c r="O937" t="s">
        <v>296</v>
      </c>
      <c r="P937">
        <v>0</v>
      </c>
      <c r="Q937">
        <v>3</v>
      </c>
      <c r="R937">
        <v>0</v>
      </c>
      <c r="S937">
        <v>2</v>
      </c>
      <c r="T937">
        <v>9</v>
      </c>
      <c r="U937">
        <v>5</v>
      </c>
      <c r="V937">
        <v>12</v>
      </c>
      <c r="W937">
        <v>15</v>
      </c>
      <c r="X937">
        <v>14</v>
      </c>
      <c r="Y937">
        <v>11</v>
      </c>
      <c r="Z937">
        <v>4</v>
      </c>
      <c r="AA937">
        <v>3</v>
      </c>
      <c r="AB937">
        <v>2</v>
      </c>
      <c r="AC937">
        <v>1</v>
      </c>
      <c r="AD937">
        <v>15</v>
      </c>
      <c r="AE937">
        <v>17</v>
      </c>
      <c r="AF937">
        <v>11</v>
      </c>
      <c r="AG937">
        <v>8</v>
      </c>
      <c r="AH937">
        <v>-3</v>
      </c>
      <c r="AI937">
        <v>0</v>
      </c>
    </row>
    <row r="938" spans="1:35" hidden="1" x14ac:dyDescent="0.25">
      <c r="A938">
        <v>2022</v>
      </c>
      <c r="B938" s="1">
        <v>44838</v>
      </c>
      <c r="C938">
        <v>29</v>
      </c>
      <c r="D938">
        <v>16545</v>
      </c>
      <c r="E938">
        <v>46931</v>
      </c>
      <c r="F938" t="s">
        <v>51</v>
      </c>
      <c r="G938" t="s">
        <v>95</v>
      </c>
      <c r="H938" t="s">
        <v>311</v>
      </c>
      <c r="I938" t="s">
        <v>97</v>
      </c>
      <c r="J938">
        <v>9</v>
      </c>
      <c r="K938">
        <v>1</v>
      </c>
      <c r="L938">
        <v>24600000</v>
      </c>
      <c r="M938">
        <v>83500000</v>
      </c>
      <c r="N938" t="s">
        <v>107</v>
      </c>
      <c r="O938">
        <v>29</v>
      </c>
      <c r="P938">
        <v>1</v>
      </c>
      <c r="Q938">
        <v>3</v>
      </c>
      <c r="R938">
        <v>1</v>
      </c>
      <c r="S938">
        <v>2</v>
      </c>
      <c r="T938">
        <v>2</v>
      </c>
      <c r="U938">
        <v>6</v>
      </c>
      <c r="V938">
        <v>16</v>
      </c>
      <c r="W938">
        <v>14</v>
      </c>
      <c r="X938">
        <v>12</v>
      </c>
      <c r="Y938">
        <v>15</v>
      </c>
      <c r="Z938">
        <v>2</v>
      </c>
      <c r="AA938">
        <v>1</v>
      </c>
      <c r="AB938">
        <v>1</v>
      </c>
      <c r="AC938">
        <v>6</v>
      </c>
      <c r="AD938">
        <v>10</v>
      </c>
      <c r="AE938">
        <v>12</v>
      </c>
      <c r="AF938">
        <v>7</v>
      </c>
      <c r="AG938">
        <v>5</v>
      </c>
      <c r="AH938">
        <v>-2</v>
      </c>
      <c r="AI938">
        <v>0</v>
      </c>
    </row>
    <row r="939" spans="1:35" hidden="1" x14ac:dyDescent="0.25">
      <c r="A939">
        <v>2022</v>
      </c>
      <c r="B939" s="1">
        <v>44695</v>
      </c>
      <c r="C939">
        <v>6</v>
      </c>
      <c r="D939">
        <v>52139</v>
      </c>
      <c r="E939">
        <v>60326</v>
      </c>
      <c r="F939" t="s">
        <v>361</v>
      </c>
      <c r="G939" t="s">
        <v>77</v>
      </c>
      <c r="H939" t="s">
        <v>315</v>
      </c>
      <c r="I939" t="s">
        <v>371</v>
      </c>
      <c r="J939">
        <v>12</v>
      </c>
      <c r="K939">
        <v>15</v>
      </c>
      <c r="L939">
        <v>8700000</v>
      </c>
      <c r="M939">
        <v>89000000</v>
      </c>
      <c r="N939">
        <v>27</v>
      </c>
      <c r="O939" t="s">
        <v>86</v>
      </c>
      <c r="P939">
        <v>2</v>
      </c>
      <c r="Q939">
        <v>2</v>
      </c>
      <c r="R939">
        <v>1</v>
      </c>
      <c r="S939">
        <v>2</v>
      </c>
      <c r="T939">
        <v>7</v>
      </c>
      <c r="U939">
        <v>3</v>
      </c>
      <c r="V939">
        <v>18</v>
      </c>
      <c r="W939">
        <v>22</v>
      </c>
      <c r="X939">
        <v>20</v>
      </c>
      <c r="Y939">
        <v>18</v>
      </c>
      <c r="Z939">
        <v>2</v>
      </c>
      <c r="AA939">
        <v>2</v>
      </c>
      <c r="AB939">
        <v>4</v>
      </c>
      <c r="AC939">
        <v>0</v>
      </c>
      <c r="AD939">
        <v>15</v>
      </c>
      <c r="AE939">
        <v>11</v>
      </c>
      <c r="AF939">
        <v>4</v>
      </c>
      <c r="AG939">
        <v>3</v>
      </c>
      <c r="AH939">
        <v>0</v>
      </c>
      <c r="AI939">
        <v>0</v>
      </c>
    </row>
    <row r="940" spans="1:35" hidden="1" x14ac:dyDescent="0.25">
      <c r="A940">
        <v>2022</v>
      </c>
      <c r="B940" s="1">
        <v>44772</v>
      </c>
      <c r="C940">
        <v>20</v>
      </c>
      <c r="D940">
        <v>40912</v>
      </c>
      <c r="E940">
        <v>60326</v>
      </c>
      <c r="F940" t="s">
        <v>361</v>
      </c>
      <c r="G940" t="s">
        <v>95</v>
      </c>
      <c r="H940" t="s">
        <v>368</v>
      </c>
      <c r="I940" t="s">
        <v>97</v>
      </c>
      <c r="J940">
        <v>12</v>
      </c>
      <c r="K940">
        <v>1</v>
      </c>
      <c r="L940">
        <v>9850000</v>
      </c>
      <c r="M940">
        <v>87000000</v>
      </c>
      <c r="N940" t="s">
        <v>296</v>
      </c>
      <c r="O940" t="s">
        <v>73</v>
      </c>
      <c r="P940">
        <v>1</v>
      </c>
      <c r="Q940">
        <v>2</v>
      </c>
      <c r="R940">
        <v>0</v>
      </c>
      <c r="S940">
        <v>2</v>
      </c>
      <c r="T940">
        <v>6</v>
      </c>
      <c r="U940">
        <v>5</v>
      </c>
      <c r="V940">
        <v>14</v>
      </c>
      <c r="W940">
        <v>11</v>
      </c>
      <c r="X940">
        <v>10</v>
      </c>
      <c r="Y940">
        <v>13</v>
      </c>
      <c r="Z940">
        <v>5</v>
      </c>
      <c r="AA940">
        <v>6</v>
      </c>
      <c r="AB940">
        <v>0</v>
      </c>
      <c r="AC940">
        <v>5</v>
      </c>
      <c r="AD940">
        <v>12</v>
      </c>
      <c r="AE940">
        <v>16</v>
      </c>
      <c r="AF940">
        <v>2</v>
      </c>
      <c r="AG940">
        <v>5</v>
      </c>
      <c r="AH940">
        <v>-1</v>
      </c>
      <c r="AI940">
        <v>0</v>
      </c>
    </row>
    <row r="941" spans="1:35" hidden="1" x14ac:dyDescent="0.25">
      <c r="A941">
        <v>2022</v>
      </c>
      <c r="B941" s="1">
        <v>44808</v>
      </c>
      <c r="C941">
        <v>25</v>
      </c>
      <c r="D941">
        <v>54505</v>
      </c>
      <c r="E941">
        <v>60326</v>
      </c>
      <c r="F941" t="s">
        <v>63</v>
      </c>
      <c r="G941" t="s">
        <v>51</v>
      </c>
      <c r="H941" t="s">
        <v>65</v>
      </c>
      <c r="I941" t="s">
        <v>311</v>
      </c>
      <c r="J941">
        <v>12</v>
      </c>
      <c r="K941">
        <v>14</v>
      </c>
      <c r="L941">
        <v>12350000</v>
      </c>
      <c r="M941">
        <v>21100000</v>
      </c>
      <c r="N941" t="s">
        <v>208</v>
      </c>
      <c r="O941" t="s">
        <v>200</v>
      </c>
      <c r="P941">
        <v>1</v>
      </c>
      <c r="Q941">
        <v>3</v>
      </c>
      <c r="R941">
        <v>0</v>
      </c>
      <c r="S941">
        <v>2</v>
      </c>
      <c r="T941">
        <v>5</v>
      </c>
      <c r="U941">
        <v>9</v>
      </c>
      <c r="V941">
        <v>15</v>
      </c>
      <c r="W941">
        <v>14</v>
      </c>
      <c r="X941">
        <v>13</v>
      </c>
      <c r="Y941">
        <v>14</v>
      </c>
      <c r="Z941">
        <v>6</v>
      </c>
      <c r="AA941">
        <v>3</v>
      </c>
      <c r="AB941">
        <v>2</v>
      </c>
      <c r="AC941">
        <v>1</v>
      </c>
      <c r="AD941">
        <v>15</v>
      </c>
      <c r="AE941">
        <v>17</v>
      </c>
      <c r="AF941">
        <v>7</v>
      </c>
      <c r="AG941">
        <v>4</v>
      </c>
      <c r="AH941">
        <v>-2</v>
      </c>
      <c r="AI941">
        <v>0</v>
      </c>
    </row>
    <row r="942" spans="1:35" hidden="1" x14ac:dyDescent="0.25">
      <c r="A942">
        <v>2022</v>
      </c>
      <c r="B942" s="1">
        <v>44833</v>
      </c>
      <c r="C942">
        <v>28</v>
      </c>
      <c r="D942">
        <v>46299</v>
      </c>
      <c r="E942">
        <v>60326</v>
      </c>
      <c r="F942" t="s">
        <v>63</v>
      </c>
      <c r="G942" t="s">
        <v>77</v>
      </c>
      <c r="H942" t="s">
        <v>65</v>
      </c>
      <c r="I942" t="s">
        <v>315</v>
      </c>
      <c r="J942">
        <v>14</v>
      </c>
      <c r="K942">
        <v>4</v>
      </c>
      <c r="L942">
        <v>17000000</v>
      </c>
      <c r="M942">
        <v>54150000</v>
      </c>
      <c r="N942" t="s">
        <v>107</v>
      </c>
      <c r="O942" t="s">
        <v>122</v>
      </c>
      <c r="P942">
        <v>3</v>
      </c>
      <c r="Q942">
        <v>2</v>
      </c>
      <c r="R942">
        <v>1</v>
      </c>
      <c r="S942">
        <v>2</v>
      </c>
      <c r="T942">
        <v>7</v>
      </c>
      <c r="U942">
        <v>3</v>
      </c>
      <c r="V942">
        <v>15</v>
      </c>
      <c r="W942">
        <v>15</v>
      </c>
      <c r="X942">
        <v>15</v>
      </c>
      <c r="Y942">
        <v>15</v>
      </c>
      <c r="Z942">
        <v>1</v>
      </c>
      <c r="AA942">
        <v>5</v>
      </c>
      <c r="AB942">
        <v>3</v>
      </c>
      <c r="AC942">
        <v>0</v>
      </c>
      <c r="AD942">
        <v>20</v>
      </c>
      <c r="AE942">
        <v>7</v>
      </c>
      <c r="AF942">
        <v>6</v>
      </c>
      <c r="AG942">
        <v>3</v>
      </c>
      <c r="AH942">
        <v>1</v>
      </c>
      <c r="AI942">
        <v>1</v>
      </c>
    </row>
    <row r="943" spans="1:35" hidden="1" x14ac:dyDescent="0.25">
      <c r="A943">
        <v>2022</v>
      </c>
      <c r="B943" s="1">
        <v>44703</v>
      </c>
      <c r="C943">
        <v>7</v>
      </c>
      <c r="D943">
        <v>5513</v>
      </c>
      <c r="E943">
        <v>23726</v>
      </c>
      <c r="F943" t="s">
        <v>44</v>
      </c>
      <c r="G943" t="s">
        <v>95</v>
      </c>
      <c r="H943" t="s">
        <v>369</v>
      </c>
      <c r="I943" t="s">
        <v>97</v>
      </c>
      <c r="J943">
        <v>18</v>
      </c>
      <c r="K943">
        <v>9</v>
      </c>
      <c r="L943">
        <v>7580000</v>
      </c>
      <c r="M943">
        <v>72700000</v>
      </c>
      <c r="N943" t="s">
        <v>128</v>
      </c>
      <c r="O943" t="s">
        <v>41</v>
      </c>
      <c r="P943">
        <v>0</v>
      </c>
      <c r="Q943">
        <v>3</v>
      </c>
      <c r="R943">
        <v>0</v>
      </c>
      <c r="S943">
        <v>2</v>
      </c>
      <c r="T943">
        <v>7</v>
      </c>
      <c r="U943">
        <v>7</v>
      </c>
      <c r="V943">
        <v>20</v>
      </c>
      <c r="W943">
        <v>6</v>
      </c>
      <c r="X943">
        <v>6</v>
      </c>
      <c r="Y943">
        <v>20</v>
      </c>
      <c r="Z943">
        <v>5</v>
      </c>
      <c r="AA943">
        <v>3</v>
      </c>
      <c r="AB943">
        <v>1</v>
      </c>
      <c r="AC943">
        <v>2</v>
      </c>
      <c r="AD943">
        <v>13</v>
      </c>
      <c r="AE943">
        <v>19</v>
      </c>
      <c r="AF943">
        <v>7</v>
      </c>
      <c r="AG943">
        <v>5</v>
      </c>
      <c r="AH943">
        <v>-3</v>
      </c>
      <c r="AI943">
        <v>0</v>
      </c>
    </row>
    <row r="944" spans="1:35" hidden="1" x14ac:dyDescent="0.25">
      <c r="A944">
        <v>2022</v>
      </c>
      <c r="B944" s="1">
        <v>44661</v>
      </c>
      <c r="C944">
        <v>1</v>
      </c>
      <c r="D944">
        <v>27100</v>
      </c>
      <c r="E944">
        <v>43600</v>
      </c>
      <c r="F944" t="s">
        <v>95</v>
      </c>
      <c r="G944" t="s">
        <v>361</v>
      </c>
      <c r="H944" t="s">
        <v>97</v>
      </c>
      <c r="I944" t="s">
        <v>315</v>
      </c>
      <c r="J944">
        <v>14</v>
      </c>
      <c r="K944">
        <v>5</v>
      </c>
      <c r="L944">
        <v>87200000</v>
      </c>
      <c r="M944">
        <v>11050000</v>
      </c>
      <c r="N944" t="s">
        <v>107</v>
      </c>
      <c r="O944" t="s">
        <v>109</v>
      </c>
      <c r="P944">
        <v>2</v>
      </c>
      <c r="Q944">
        <v>3</v>
      </c>
      <c r="R944">
        <v>1</v>
      </c>
      <c r="S944">
        <v>2</v>
      </c>
      <c r="T944">
        <v>11</v>
      </c>
      <c r="U944">
        <v>8</v>
      </c>
      <c r="V944">
        <v>17</v>
      </c>
      <c r="W944">
        <v>14</v>
      </c>
      <c r="X944">
        <v>14</v>
      </c>
      <c r="Y944">
        <v>17</v>
      </c>
      <c r="Z944">
        <v>6</v>
      </c>
      <c r="AA944">
        <v>2</v>
      </c>
      <c r="AB944">
        <v>3</v>
      </c>
      <c r="AC944">
        <v>0</v>
      </c>
      <c r="AD944">
        <v>17</v>
      </c>
      <c r="AE944">
        <v>19</v>
      </c>
      <c r="AF944">
        <v>8</v>
      </c>
      <c r="AG944">
        <v>8</v>
      </c>
      <c r="AH944">
        <v>-1</v>
      </c>
      <c r="AI944">
        <v>0</v>
      </c>
    </row>
    <row r="945" spans="1:35" hidden="1" x14ac:dyDescent="0.25">
      <c r="A945">
        <v>2022</v>
      </c>
      <c r="B945" s="1">
        <v>44857</v>
      </c>
      <c r="C945">
        <v>33</v>
      </c>
      <c r="D945">
        <v>8871</v>
      </c>
      <c r="E945">
        <v>42968</v>
      </c>
      <c r="F945" t="s">
        <v>70</v>
      </c>
      <c r="G945" t="s">
        <v>313</v>
      </c>
      <c r="H945" t="s">
        <v>90</v>
      </c>
      <c r="I945" t="s">
        <v>78</v>
      </c>
      <c r="J945">
        <v>17</v>
      </c>
      <c r="K945">
        <v>13</v>
      </c>
      <c r="L945">
        <v>8950000</v>
      </c>
      <c r="M945">
        <v>12700000</v>
      </c>
      <c r="N945" t="s">
        <v>105</v>
      </c>
      <c r="O945">
        <v>27</v>
      </c>
      <c r="P945">
        <v>1</v>
      </c>
      <c r="Q945">
        <v>2</v>
      </c>
      <c r="R945">
        <v>0</v>
      </c>
      <c r="S945">
        <v>2</v>
      </c>
      <c r="T945">
        <v>6</v>
      </c>
      <c r="U945">
        <v>4</v>
      </c>
      <c r="V945">
        <v>11</v>
      </c>
      <c r="W945">
        <v>16</v>
      </c>
      <c r="X945">
        <v>16</v>
      </c>
      <c r="Y945">
        <v>9</v>
      </c>
      <c r="Z945">
        <v>1</v>
      </c>
      <c r="AA945">
        <v>3</v>
      </c>
      <c r="AB945">
        <v>2</v>
      </c>
      <c r="AC945">
        <v>5</v>
      </c>
      <c r="AD945">
        <v>24</v>
      </c>
      <c r="AE945">
        <v>5</v>
      </c>
      <c r="AF945">
        <v>12</v>
      </c>
      <c r="AG945">
        <v>1</v>
      </c>
      <c r="AH945">
        <v>-1</v>
      </c>
      <c r="AI945">
        <v>0</v>
      </c>
    </row>
    <row r="946" spans="1:35" hidden="1" x14ac:dyDescent="0.25">
      <c r="A946">
        <v>2022</v>
      </c>
      <c r="B946" s="1">
        <v>44721</v>
      </c>
      <c r="C946">
        <v>10</v>
      </c>
      <c r="D946">
        <v>16143</v>
      </c>
      <c r="E946">
        <v>82238</v>
      </c>
      <c r="F946" t="s">
        <v>55</v>
      </c>
      <c r="G946" t="s">
        <v>89</v>
      </c>
      <c r="H946" t="s">
        <v>57</v>
      </c>
      <c r="I946" t="s">
        <v>370</v>
      </c>
      <c r="J946">
        <v>13</v>
      </c>
      <c r="K946">
        <v>3</v>
      </c>
      <c r="L946">
        <v>26550000</v>
      </c>
      <c r="M946">
        <v>45400000</v>
      </c>
      <c r="N946" t="s">
        <v>142</v>
      </c>
      <c r="O946" t="s">
        <v>235</v>
      </c>
      <c r="P946">
        <v>5</v>
      </c>
      <c r="Q946">
        <v>3</v>
      </c>
      <c r="R946">
        <v>3</v>
      </c>
      <c r="S946">
        <v>2</v>
      </c>
      <c r="T946">
        <v>1</v>
      </c>
      <c r="U946">
        <v>9</v>
      </c>
      <c r="V946">
        <v>13</v>
      </c>
      <c r="W946">
        <v>15</v>
      </c>
      <c r="X946">
        <v>14</v>
      </c>
      <c r="Y946">
        <v>11</v>
      </c>
      <c r="Z946">
        <v>3</v>
      </c>
      <c r="AA946">
        <v>4</v>
      </c>
      <c r="AB946">
        <v>1</v>
      </c>
      <c r="AC946">
        <v>3</v>
      </c>
      <c r="AD946">
        <v>13</v>
      </c>
      <c r="AE946">
        <v>11</v>
      </c>
      <c r="AF946">
        <v>1</v>
      </c>
      <c r="AG946">
        <v>4</v>
      </c>
      <c r="AH946">
        <v>2</v>
      </c>
      <c r="AI946">
        <v>1</v>
      </c>
    </row>
    <row r="947" spans="1:35" hidden="1" x14ac:dyDescent="0.25">
      <c r="A947">
        <v>2022</v>
      </c>
      <c r="B947" s="1">
        <v>44724</v>
      </c>
      <c r="C947">
        <v>11</v>
      </c>
      <c r="D947">
        <v>27859</v>
      </c>
      <c r="E947">
        <v>82238</v>
      </c>
      <c r="F947" t="s">
        <v>55</v>
      </c>
      <c r="G947" t="s">
        <v>76</v>
      </c>
      <c r="J947">
        <v>8</v>
      </c>
      <c r="K947">
        <v>18</v>
      </c>
      <c r="L947">
        <v>26850000</v>
      </c>
      <c r="M947">
        <v>8100000</v>
      </c>
      <c r="N947" t="s">
        <v>205</v>
      </c>
      <c r="O947" t="s">
        <v>135</v>
      </c>
      <c r="P947">
        <v>0</v>
      </c>
      <c r="Q947">
        <v>2</v>
      </c>
      <c r="R947">
        <v>0</v>
      </c>
      <c r="S947">
        <v>2</v>
      </c>
      <c r="T947">
        <v>10</v>
      </c>
      <c r="U947">
        <v>6</v>
      </c>
      <c r="V947">
        <v>10</v>
      </c>
      <c r="W947">
        <v>13</v>
      </c>
      <c r="X947">
        <v>13</v>
      </c>
      <c r="Y947">
        <v>10</v>
      </c>
      <c r="Z947">
        <v>6</v>
      </c>
      <c r="AA947">
        <v>4</v>
      </c>
      <c r="AB947">
        <v>2</v>
      </c>
      <c r="AC947">
        <v>3</v>
      </c>
      <c r="AD947">
        <v>15</v>
      </c>
      <c r="AE947">
        <v>17</v>
      </c>
      <c r="AF947">
        <v>5</v>
      </c>
      <c r="AG947">
        <v>3</v>
      </c>
      <c r="AH947">
        <v>-2</v>
      </c>
      <c r="AI947">
        <v>0</v>
      </c>
    </row>
    <row r="948" spans="1:35" hidden="1" x14ac:dyDescent="0.25">
      <c r="A948">
        <v>2022</v>
      </c>
      <c r="B948" s="1">
        <v>44843</v>
      </c>
      <c r="C948">
        <v>31</v>
      </c>
      <c r="D948">
        <v>23324</v>
      </c>
      <c r="E948">
        <v>82238</v>
      </c>
      <c r="F948" t="s">
        <v>55</v>
      </c>
      <c r="G948" t="s">
        <v>310</v>
      </c>
      <c r="H948" t="s">
        <v>57</v>
      </c>
      <c r="I948" t="s">
        <v>312</v>
      </c>
      <c r="J948">
        <v>3</v>
      </c>
      <c r="K948">
        <v>9</v>
      </c>
      <c r="L948">
        <v>33800000</v>
      </c>
      <c r="M948">
        <v>5750000</v>
      </c>
      <c r="N948" t="s">
        <v>66</v>
      </c>
      <c r="O948" t="s">
        <v>193</v>
      </c>
      <c r="P948">
        <v>0</v>
      </c>
      <c r="Q948">
        <v>2</v>
      </c>
      <c r="R948">
        <v>0</v>
      </c>
      <c r="S948">
        <v>2</v>
      </c>
      <c r="T948">
        <v>8</v>
      </c>
      <c r="U948">
        <v>7</v>
      </c>
      <c r="V948">
        <v>8</v>
      </c>
      <c r="W948">
        <v>18</v>
      </c>
      <c r="X948">
        <v>18</v>
      </c>
      <c r="Y948">
        <v>8</v>
      </c>
      <c r="Z948">
        <v>6</v>
      </c>
      <c r="AA948">
        <v>10</v>
      </c>
      <c r="AB948">
        <v>4</v>
      </c>
      <c r="AC948">
        <v>4</v>
      </c>
      <c r="AD948">
        <v>22</v>
      </c>
      <c r="AE948">
        <v>18</v>
      </c>
      <c r="AF948">
        <v>4</v>
      </c>
      <c r="AG948">
        <v>7</v>
      </c>
      <c r="AH948">
        <v>-2</v>
      </c>
      <c r="AI948">
        <v>0</v>
      </c>
    </row>
    <row r="949" spans="1:35" hidden="1" x14ac:dyDescent="0.25">
      <c r="A949">
        <v>2022</v>
      </c>
      <c r="B949" s="1">
        <v>44766</v>
      </c>
      <c r="C949">
        <v>19</v>
      </c>
      <c r="D949">
        <v>39393</v>
      </c>
      <c r="E949">
        <v>72039</v>
      </c>
      <c r="F949" t="s">
        <v>62</v>
      </c>
      <c r="G949" t="s">
        <v>313</v>
      </c>
      <c r="H949" t="s">
        <v>40</v>
      </c>
      <c r="I949" t="s">
        <v>78</v>
      </c>
      <c r="J949">
        <v>10</v>
      </c>
      <c r="K949">
        <v>14</v>
      </c>
      <c r="L949">
        <v>34700000</v>
      </c>
      <c r="M949">
        <v>7430000</v>
      </c>
      <c r="N949" t="s">
        <v>332</v>
      </c>
      <c r="O949" t="s">
        <v>116</v>
      </c>
      <c r="P949">
        <v>3</v>
      </c>
      <c r="Q949">
        <v>3</v>
      </c>
      <c r="R949">
        <v>2</v>
      </c>
      <c r="S949">
        <v>2</v>
      </c>
      <c r="T949">
        <v>6</v>
      </c>
      <c r="U949">
        <v>3</v>
      </c>
      <c r="V949">
        <v>7</v>
      </c>
      <c r="W949">
        <v>11</v>
      </c>
      <c r="X949">
        <v>10</v>
      </c>
      <c r="Y949">
        <v>7</v>
      </c>
      <c r="Z949">
        <v>6</v>
      </c>
      <c r="AA949">
        <v>1</v>
      </c>
      <c r="AB949">
        <v>0</v>
      </c>
      <c r="AC949">
        <v>3</v>
      </c>
      <c r="AD949">
        <v>20</v>
      </c>
      <c r="AE949">
        <v>13</v>
      </c>
      <c r="AF949">
        <v>10</v>
      </c>
      <c r="AG949">
        <v>2</v>
      </c>
      <c r="AH949">
        <v>0</v>
      </c>
      <c r="AI949">
        <v>0</v>
      </c>
    </row>
    <row r="950" spans="1:35" hidden="1" x14ac:dyDescent="0.25">
      <c r="A950">
        <v>2022</v>
      </c>
      <c r="B950" s="1">
        <v>44857</v>
      </c>
      <c r="C950">
        <v>33</v>
      </c>
      <c r="D950">
        <v>9626</v>
      </c>
      <c r="E950">
        <v>25000</v>
      </c>
      <c r="F950" t="s">
        <v>310</v>
      </c>
      <c r="G950" t="s">
        <v>77</v>
      </c>
      <c r="H950" t="s">
        <v>312</v>
      </c>
      <c r="I950" t="s">
        <v>315</v>
      </c>
      <c r="J950">
        <v>8</v>
      </c>
      <c r="K950">
        <v>3</v>
      </c>
      <c r="L950">
        <v>8300000</v>
      </c>
      <c r="M950">
        <v>56900000</v>
      </c>
      <c r="N950" t="s">
        <v>389</v>
      </c>
      <c r="O950" t="s">
        <v>233</v>
      </c>
      <c r="P950">
        <v>1</v>
      </c>
      <c r="Q950">
        <v>2</v>
      </c>
      <c r="R950">
        <v>1</v>
      </c>
      <c r="S950">
        <v>2</v>
      </c>
      <c r="T950">
        <v>4</v>
      </c>
      <c r="U950">
        <v>11</v>
      </c>
      <c r="V950">
        <v>17</v>
      </c>
      <c r="W950">
        <v>10</v>
      </c>
      <c r="X950">
        <v>10</v>
      </c>
      <c r="Y950">
        <v>17</v>
      </c>
      <c r="Z950">
        <v>4</v>
      </c>
      <c r="AA950">
        <v>2</v>
      </c>
      <c r="AB950">
        <v>1</v>
      </c>
      <c r="AC950">
        <v>3</v>
      </c>
      <c r="AD950">
        <v>9</v>
      </c>
      <c r="AE950">
        <v>15</v>
      </c>
      <c r="AF950">
        <v>6</v>
      </c>
      <c r="AG950">
        <v>5</v>
      </c>
      <c r="AH950">
        <v>-1</v>
      </c>
      <c r="AI950">
        <v>0</v>
      </c>
    </row>
    <row r="951" spans="1:35" hidden="1" x14ac:dyDescent="0.25">
      <c r="A951">
        <v>2022</v>
      </c>
      <c r="B951" s="1">
        <v>44682</v>
      </c>
      <c r="C951">
        <v>4</v>
      </c>
      <c r="D951">
        <v>24622</v>
      </c>
      <c r="E951">
        <v>40502</v>
      </c>
      <c r="F951" t="s">
        <v>321</v>
      </c>
      <c r="G951" t="s">
        <v>55</v>
      </c>
      <c r="H951" t="s">
        <v>358</v>
      </c>
      <c r="I951" t="s">
        <v>223</v>
      </c>
      <c r="J951">
        <v>10</v>
      </c>
      <c r="K951">
        <v>14</v>
      </c>
      <c r="L951">
        <v>8800000</v>
      </c>
      <c r="M951">
        <v>37300000</v>
      </c>
      <c r="N951" t="s">
        <v>73</v>
      </c>
      <c r="O951" t="s">
        <v>134</v>
      </c>
      <c r="P951">
        <v>3</v>
      </c>
      <c r="Q951">
        <v>2</v>
      </c>
      <c r="R951">
        <v>0</v>
      </c>
      <c r="S951">
        <v>2</v>
      </c>
      <c r="T951">
        <v>8</v>
      </c>
      <c r="U951">
        <v>1</v>
      </c>
      <c r="V951">
        <v>13</v>
      </c>
      <c r="W951">
        <v>16</v>
      </c>
      <c r="X951">
        <v>14</v>
      </c>
      <c r="Y951">
        <v>13</v>
      </c>
      <c r="Z951">
        <v>2</v>
      </c>
      <c r="AA951">
        <v>5</v>
      </c>
      <c r="AB951">
        <v>1</v>
      </c>
      <c r="AC951">
        <v>2</v>
      </c>
      <c r="AD951">
        <v>20</v>
      </c>
      <c r="AE951">
        <v>7</v>
      </c>
      <c r="AF951">
        <v>7</v>
      </c>
      <c r="AG951">
        <v>3</v>
      </c>
      <c r="AH951">
        <v>1</v>
      </c>
      <c r="AI951">
        <v>1</v>
      </c>
    </row>
    <row r="952" spans="1:35" hidden="1" x14ac:dyDescent="0.25">
      <c r="A952">
        <v>2022</v>
      </c>
      <c r="B952" s="1">
        <v>44752</v>
      </c>
      <c r="C952">
        <v>16</v>
      </c>
      <c r="D952">
        <v>20235</v>
      </c>
      <c r="E952">
        <v>40502</v>
      </c>
      <c r="F952" t="s">
        <v>321</v>
      </c>
      <c r="G952" t="s">
        <v>44</v>
      </c>
      <c r="H952" t="s">
        <v>358</v>
      </c>
      <c r="I952" t="s">
        <v>238</v>
      </c>
      <c r="J952">
        <v>12</v>
      </c>
      <c r="K952">
        <v>19</v>
      </c>
      <c r="L952">
        <v>6250000</v>
      </c>
      <c r="M952">
        <v>5900000</v>
      </c>
      <c r="N952" t="s">
        <v>168</v>
      </c>
      <c r="O952" t="s">
        <v>134</v>
      </c>
      <c r="P952">
        <v>2</v>
      </c>
      <c r="Q952">
        <v>2</v>
      </c>
      <c r="R952">
        <v>0</v>
      </c>
      <c r="S952">
        <v>2</v>
      </c>
      <c r="T952">
        <v>11</v>
      </c>
      <c r="U952">
        <v>7</v>
      </c>
      <c r="V952">
        <v>19</v>
      </c>
      <c r="W952">
        <v>11</v>
      </c>
      <c r="X952">
        <v>9</v>
      </c>
      <c r="Y952">
        <v>18</v>
      </c>
      <c r="Z952">
        <v>4</v>
      </c>
      <c r="AA952">
        <v>0</v>
      </c>
      <c r="AB952">
        <v>0</v>
      </c>
      <c r="AC952">
        <v>0</v>
      </c>
      <c r="AD952">
        <v>19</v>
      </c>
      <c r="AE952">
        <v>15</v>
      </c>
      <c r="AF952">
        <v>10</v>
      </c>
      <c r="AG952">
        <v>5</v>
      </c>
      <c r="AH952">
        <v>0</v>
      </c>
      <c r="AI952">
        <v>0</v>
      </c>
    </row>
    <row r="953" spans="1:35" hidden="1" x14ac:dyDescent="0.25">
      <c r="A953">
        <v>2022</v>
      </c>
      <c r="B953" s="1">
        <v>44824</v>
      </c>
      <c r="C953">
        <v>27</v>
      </c>
      <c r="D953">
        <v>5185</v>
      </c>
      <c r="E953">
        <v>13000</v>
      </c>
      <c r="F953" t="s">
        <v>76</v>
      </c>
      <c r="G953" t="s">
        <v>37</v>
      </c>
      <c r="H953" t="s">
        <v>369</v>
      </c>
      <c r="I953" t="s">
        <v>240</v>
      </c>
      <c r="J953">
        <v>19</v>
      </c>
      <c r="K953">
        <v>2</v>
      </c>
      <c r="L953">
        <v>7150000</v>
      </c>
      <c r="M953">
        <v>27950000</v>
      </c>
      <c r="N953" t="s">
        <v>114</v>
      </c>
      <c r="O953" t="s">
        <v>137</v>
      </c>
      <c r="P953">
        <v>1</v>
      </c>
      <c r="Q953">
        <v>2</v>
      </c>
      <c r="R953">
        <v>0</v>
      </c>
      <c r="S953">
        <v>2</v>
      </c>
      <c r="T953">
        <v>10</v>
      </c>
      <c r="U953">
        <v>2</v>
      </c>
      <c r="V953">
        <v>19</v>
      </c>
      <c r="W953">
        <v>13</v>
      </c>
      <c r="X953">
        <v>10</v>
      </c>
      <c r="Y953">
        <v>18</v>
      </c>
      <c r="Z953">
        <v>2</v>
      </c>
      <c r="AA953">
        <v>3</v>
      </c>
      <c r="AB953">
        <v>0</v>
      </c>
      <c r="AC953">
        <v>1</v>
      </c>
      <c r="AD953">
        <v>19</v>
      </c>
      <c r="AE953">
        <v>13</v>
      </c>
      <c r="AF953">
        <v>13</v>
      </c>
      <c r="AG953">
        <v>7</v>
      </c>
      <c r="AH953">
        <v>-1</v>
      </c>
      <c r="AI953">
        <v>0</v>
      </c>
    </row>
    <row r="954" spans="1:35" hidden="1" x14ac:dyDescent="0.25">
      <c r="A954">
        <v>2022</v>
      </c>
      <c r="B954" s="1">
        <v>44840</v>
      </c>
      <c r="C954">
        <v>30</v>
      </c>
      <c r="D954">
        <v>6075</v>
      </c>
      <c r="E954">
        <v>13000</v>
      </c>
      <c r="F954" t="s">
        <v>76</v>
      </c>
      <c r="G954" t="s">
        <v>55</v>
      </c>
      <c r="H954" t="s">
        <v>375</v>
      </c>
      <c r="I954" t="s">
        <v>57</v>
      </c>
      <c r="J954">
        <v>19</v>
      </c>
      <c r="K954">
        <v>3</v>
      </c>
      <c r="L954">
        <v>7150000</v>
      </c>
      <c r="M954">
        <v>34050000</v>
      </c>
      <c r="N954" t="s">
        <v>114</v>
      </c>
      <c r="O954" t="s">
        <v>86</v>
      </c>
      <c r="P954">
        <v>3</v>
      </c>
      <c r="Q954">
        <v>2</v>
      </c>
      <c r="R954">
        <v>1</v>
      </c>
      <c r="S954">
        <v>2</v>
      </c>
      <c r="T954">
        <v>12</v>
      </c>
      <c r="U954">
        <v>5</v>
      </c>
      <c r="V954">
        <v>16</v>
      </c>
      <c r="W954">
        <v>13</v>
      </c>
      <c r="X954">
        <v>12</v>
      </c>
      <c r="Y954">
        <v>16</v>
      </c>
      <c r="Z954">
        <v>3</v>
      </c>
      <c r="AA954">
        <v>7</v>
      </c>
      <c r="AB954">
        <v>4</v>
      </c>
      <c r="AC954">
        <v>1</v>
      </c>
      <c r="AD954">
        <v>29</v>
      </c>
      <c r="AE954">
        <v>13</v>
      </c>
      <c r="AF954">
        <v>12</v>
      </c>
      <c r="AG954">
        <v>4</v>
      </c>
      <c r="AH954">
        <v>1</v>
      </c>
      <c r="AI954">
        <v>1</v>
      </c>
    </row>
    <row r="955" spans="1:35" hidden="1" x14ac:dyDescent="0.25">
      <c r="A955">
        <v>2022</v>
      </c>
      <c r="B955" s="1">
        <v>44738</v>
      </c>
      <c r="C955">
        <v>14</v>
      </c>
      <c r="D955">
        <v>30003</v>
      </c>
      <c r="E955">
        <v>57018</v>
      </c>
      <c r="F955" t="s">
        <v>89</v>
      </c>
      <c r="G955" t="s">
        <v>63</v>
      </c>
      <c r="H955" t="s">
        <v>370</v>
      </c>
      <c r="I955" t="s">
        <v>65</v>
      </c>
      <c r="J955">
        <v>4</v>
      </c>
      <c r="K955">
        <v>19</v>
      </c>
      <c r="L955">
        <v>52500000</v>
      </c>
      <c r="M955">
        <v>11350000</v>
      </c>
      <c r="N955" t="s">
        <v>151</v>
      </c>
      <c r="O955" t="s">
        <v>129</v>
      </c>
      <c r="P955">
        <v>3</v>
      </c>
      <c r="Q955">
        <v>2</v>
      </c>
      <c r="R955">
        <v>0</v>
      </c>
      <c r="S955">
        <v>2</v>
      </c>
      <c r="T955">
        <v>1</v>
      </c>
      <c r="U955">
        <v>3</v>
      </c>
      <c r="V955">
        <v>14</v>
      </c>
      <c r="W955">
        <v>15</v>
      </c>
      <c r="X955">
        <v>14</v>
      </c>
      <c r="Y955">
        <v>13</v>
      </c>
      <c r="Z955">
        <v>1</v>
      </c>
      <c r="AA955">
        <v>4</v>
      </c>
      <c r="AB955">
        <v>1</v>
      </c>
      <c r="AC955">
        <v>0</v>
      </c>
      <c r="AD955">
        <v>17</v>
      </c>
      <c r="AE955">
        <v>8</v>
      </c>
      <c r="AF955">
        <v>9</v>
      </c>
      <c r="AG955">
        <v>3</v>
      </c>
      <c r="AH955">
        <v>1</v>
      </c>
      <c r="AI955">
        <v>1</v>
      </c>
    </row>
    <row r="956" spans="1:35" hidden="1" x14ac:dyDescent="0.25">
      <c r="A956">
        <v>2022</v>
      </c>
      <c r="B956" s="1">
        <v>44763</v>
      </c>
      <c r="C956">
        <v>18</v>
      </c>
      <c r="D956">
        <v>32804</v>
      </c>
      <c r="E956">
        <v>56000</v>
      </c>
      <c r="F956" t="s">
        <v>37</v>
      </c>
      <c r="G956" t="s">
        <v>62</v>
      </c>
      <c r="H956" t="s">
        <v>240</v>
      </c>
      <c r="I956" t="s">
        <v>40</v>
      </c>
      <c r="J956">
        <v>4</v>
      </c>
      <c r="K956">
        <v>9</v>
      </c>
      <c r="L956">
        <v>23000000</v>
      </c>
      <c r="M956">
        <v>22400000</v>
      </c>
      <c r="N956" t="s">
        <v>86</v>
      </c>
      <c r="O956" t="s">
        <v>270</v>
      </c>
      <c r="P956">
        <v>3</v>
      </c>
      <c r="Q956">
        <v>3</v>
      </c>
      <c r="R956">
        <v>3</v>
      </c>
      <c r="S956">
        <v>2</v>
      </c>
      <c r="T956">
        <v>4</v>
      </c>
      <c r="U956">
        <v>3</v>
      </c>
      <c r="V956">
        <v>11</v>
      </c>
      <c r="W956">
        <v>10</v>
      </c>
      <c r="X956">
        <v>10</v>
      </c>
      <c r="Y956">
        <v>11</v>
      </c>
      <c r="Z956">
        <v>1</v>
      </c>
      <c r="AA956">
        <v>4</v>
      </c>
      <c r="AB956">
        <v>3</v>
      </c>
      <c r="AC956">
        <v>4</v>
      </c>
      <c r="AD956">
        <v>15</v>
      </c>
      <c r="AE956">
        <v>8</v>
      </c>
      <c r="AF956">
        <v>7</v>
      </c>
      <c r="AG956">
        <v>4</v>
      </c>
      <c r="AH956">
        <v>0</v>
      </c>
      <c r="AI956">
        <v>0</v>
      </c>
    </row>
    <row r="957" spans="1:35" hidden="1" x14ac:dyDescent="0.25">
      <c r="A957">
        <v>2022</v>
      </c>
      <c r="B957" s="1">
        <v>44843</v>
      </c>
      <c r="C957">
        <v>31</v>
      </c>
      <c r="D957">
        <v>31554</v>
      </c>
      <c r="E957">
        <v>56000</v>
      </c>
      <c r="F957" t="s">
        <v>37</v>
      </c>
      <c r="G957" t="s">
        <v>313</v>
      </c>
      <c r="H957" t="s">
        <v>240</v>
      </c>
      <c r="I957" t="s">
        <v>78</v>
      </c>
      <c r="J957">
        <v>2</v>
      </c>
      <c r="K957">
        <v>13</v>
      </c>
      <c r="L957">
        <v>28050000</v>
      </c>
      <c r="M957">
        <v>12400000</v>
      </c>
      <c r="N957" t="s">
        <v>114</v>
      </c>
      <c r="O957" t="s">
        <v>168</v>
      </c>
      <c r="P957">
        <v>4</v>
      </c>
      <c r="Q957">
        <v>2</v>
      </c>
      <c r="R957">
        <v>2</v>
      </c>
      <c r="S957">
        <v>2</v>
      </c>
      <c r="T957">
        <v>6</v>
      </c>
      <c r="U957">
        <v>6</v>
      </c>
      <c r="V957">
        <v>15</v>
      </c>
      <c r="W957">
        <v>23</v>
      </c>
      <c r="X957">
        <v>21</v>
      </c>
      <c r="Y957">
        <v>14</v>
      </c>
      <c r="Z957">
        <v>6</v>
      </c>
      <c r="AA957">
        <v>7</v>
      </c>
      <c r="AB957">
        <v>0</v>
      </c>
      <c r="AC957">
        <v>0</v>
      </c>
      <c r="AD957">
        <v>20</v>
      </c>
      <c r="AE957">
        <v>16</v>
      </c>
      <c r="AF957">
        <v>5</v>
      </c>
      <c r="AG957">
        <v>6</v>
      </c>
      <c r="AH957">
        <v>2</v>
      </c>
      <c r="AI957">
        <v>1</v>
      </c>
    </row>
    <row r="958" spans="1:35" hidden="1" x14ac:dyDescent="0.25">
      <c r="A958">
        <v>2022</v>
      </c>
      <c r="B958" s="1">
        <v>44661</v>
      </c>
      <c r="C958">
        <v>1</v>
      </c>
      <c r="D958">
        <v>34344</v>
      </c>
      <c r="E958">
        <v>46931</v>
      </c>
      <c r="F958" t="s">
        <v>51</v>
      </c>
      <c r="G958" t="s">
        <v>88</v>
      </c>
      <c r="H958" t="s">
        <v>311</v>
      </c>
      <c r="I958" t="s">
        <v>359</v>
      </c>
      <c r="J958">
        <v>17</v>
      </c>
      <c r="K958">
        <v>3</v>
      </c>
      <c r="L958">
        <v>30500000</v>
      </c>
      <c r="M958">
        <v>47050000</v>
      </c>
      <c r="N958" t="s">
        <v>163</v>
      </c>
      <c r="O958" t="s">
        <v>239</v>
      </c>
      <c r="P958">
        <v>1</v>
      </c>
      <c r="Q958">
        <v>3</v>
      </c>
      <c r="R958">
        <v>0</v>
      </c>
      <c r="S958">
        <v>3</v>
      </c>
      <c r="T958">
        <v>2</v>
      </c>
      <c r="U958">
        <v>4</v>
      </c>
      <c r="V958">
        <v>6</v>
      </c>
      <c r="W958">
        <v>18</v>
      </c>
      <c r="X958">
        <v>17</v>
      </c>
      <c r="Y958">
        <v>6</v>
      </c>
      <c r="Z958">
        <v>5</v>
      </c>
      <c r="AA958">
        <v>3</v>
      </c>
      <c r="AB958">
        <v>0</v>
      </c>
      <c r="AC958">
        <v>1</v>
      </c>
      <c r="AD958">
        <v>9</v>
      </c>
      <c r="AE958">
        <v>15</v>
      </c>
      <c r="AF958">
        <v>4</v>
      </c>
      <c r="AG958">
        <v>5</v>
      </c>
      <c r="AH958">
        <v>-2</v>
      </c>
      <c r="AI958">
        <v>0</v>
      </c>
    </row>
    <row r="959" spans="1:35" hidden="1" x14ac:dyDescent="0.25">
      <c r="A959">
        <v>2022</v>
      </c>
      <c r="B959" s="1">
        <v>44760</v>
      </c>
      <c r="C959">
        <v>17</v>
      </c>
      <c r="D959">
        <v>1920</v>
      </c>
      <c r="E959">
        <v>25000</v>
      </c>
      <c r="F959" t="s">
        <v>310</v>
      </c>
      <c r="G959" t="s">
        <v>56</v>
      </c>
      <c r="H959" t="s">
        <v>312</v>
      </c>
      <c r="I959" t="s">
        <v>341</v>
      </c>
      <c r="J959">
        <v>15</v>
      </c>
      <c r="K959">
        <v>11</v>
      </c>
      <c r="L959">
        <v>6900000</v>
      </c>
      <c r="M959">
        <v>43200000</v>
      </c>
      <c r="N959" t="s">
        <v>174</v>
      </c>
      <c r="O959" t="s">
        <v>220</v>
      </c>
      <c r="P959">
        <v>0</v>
      </c>
      <c r="Q959">
        <v>3</v>
      </c>
      <c r="R959">
        <v>0</v>
      </c>
      <c r="S959">
        <v>3</v>
      </c>
      <c r="T959">
        <v>10</v>
      </c>
      <c r="U959">
        <v>4</v>
      </c>
      <c r="V959">
        <v>8</v>
      </c>
      <c r="W959">
        <v>18</v>
      </c>
      <c r="X959">
        <v>17</v>
      </c>
      <c r="Y959">
        <v>7</v>
      </c>
      <c r="Z959">
        <v>2</v>
      </c>
      <c r="AA959">
        <v>4</v>
      </c>
      <c r="AB959">
        <v>2</v>
      </c>
      <c r="AC959">
        <v>1</v>
      </c>
      <c r="AD959">
        <v>25</v>
      </c>
      <c r="AE959">
        <v>16</v>
      </c>
      <c r="AF959">
        <v>14</v>
      </c>
      <c r="AG959">
        <v>7</v>
      </c>
      <c r="AH959">
        <v>-3</v>
      </c>
      <c r="AI959">
        <v>0</v>
      </c>
    </row>
    <row r="960" spans="1:35" hidden="1" x14ac:dyDescent="0.25">
      <c r="A960">
        <v>2022</v>
      </c>
      <c r="B960" s="1">
        <v>44870</v>
      </c>
      <c r="C960">
        <v>36</v>
      </c>
      <c r="D960">
        <v>2722</v>
      </c>
      <c r="E960">
        <v>13212</v>
      </c>
      <c r="F960" t="s">
        <v>56</v>
      </c>
      <c r="G960" t="s">
        <v>310</v>
      </c>
      <c r="H960" t="s">
        <v>341</v>
      </c>
      <c r="I960" t="s">
        <v>312</v>
      </c>
      <c r="J960">
        <v>13</v>
      </c>
      <c r="K960">
        <v>9</v>
      </c>
      <c r="L960">
        <v>40700000</v>
      </c>
      <c r="M960">
        <v>7450000</v>
      </c>
      <c r="N960" t="s">
        <v>145</v>
      </c>
      <c r="O960" t="s">
        <v>179</v>
      </c>
      <c r="P960">
        <v>1</v>
      </c>
      <c r="Q960">
        <v>4</v>
      </c>
      <c r="R960">
        <v>1</v>
      </c>
      <c r="S960">
        <v>3</v>
      </c>
      <c r="T960">
        <v>5</v>
      </c>
      <c r="U960">
        <v>3</v>
      </c>
      <c r="V960">
        <v>17</v>
      </c>
      <c r="W960">
        <v>9</v>
      </c>
      <c r="X960">
        <v>7</v>
      </c>
      <c r="Y960">
        <v>17</v>
      </c>
      <c r="Z960">
        <v>4</v>
      </c>
      <c r="AA960">
        <v>3</v>
      </c>
      <c r="AB960">
        <v>3</v>
      </c>
      <c r="AC960">
        <v>1</v>
      </c>
      <c r="AD960">
        <v>13</v>
      </c>
      <c r="AE960">
        <v>13</v>
      </c>
      <c r="AF960">
        <v>6</v>
      </c>
      <c r="AG960">
        <v>2</v>
      </c>
      <c r="AH960">
        <v>-3</v>
      </c>
      <c r="AI960">
        <v>0</v>
      </c>
    </row>
    <row r="961" spans="1:35" hidden="1" x14ac:dyDescent="0.25">
      <c r="A961">
        <v>2021</v>
      </c>
      <c r="B961" s="1">
        <v>44353</v>
      </c>
      <c r="C961">
        <v>2</v>
      </c>
      <c r="D961">
        <v>0</v>
      </c>
      <c r="E961">
        <v>20120</v>
      </c>
      <c r="F961" t="s">
        <v>326</v>
      </c>
      <c r="G961" t="s">
        <v>361</v>
      </c>
      <c r="H961" t="s">
        <v>57</v>
      </c>
      <c r="I961" t="s">
        <v>340</v>
      </c>
      <c r="J961">
        <v>20</v>
      </c>
      <c r="K961">
        <v>3</v>
      </c>
      <c r="L961">
        <v>32000000</v>
      </c>
      <c r="M961">
        <v>7230000</v>
      </c>
      <c r="N961" t="s">
        <v>149</v>
      </c>
      <c r="O961">
        <v>27</v>
      </c>
      <c r="P961">
        <v>3</v>
      </c>
      <c r="Q961">
        <v>1</v>
      </c>
      <c r="R961">
        <v>1</v>
      </c>
      <c r="S961">
        <v>1</v>
      </c>
      <c r="T961">
        <v>4</v>
      </c>
      <c r="U961">
        <v>1</v>
      </c>
      <c r="V961">
        <v>18</v>
      </c>
      <c r="W961">
        <v>19</v>
      </c>
      <c r="X961">
        <v>17</v>
      </c>
      <c r="Y961">
        <v>16</v>
      </c>
      <c r="Z961">
        <v>2</v>
      </c>
      <c r="AA961">
        <v>2</v>
      </c>
      <c r="AB961">
        <v>1</v>
      </c>
      <c r="AC961">
        <v>3</v>
      </c>
      <c r="AD961">
        <v>15</v>
      </c>
      <c r="AE961">
        <v>6</v>
      </c>
      <c r="AF961">
        <v>6</v>
      </c>
      <c r="AG961">
        <v>1</v>
      </c>
      <c r="AH961">
        <v>2</v>
      </c>
      <c r="AI961">
        <v>1</v>
      </c>
    </row>
    <row r="962" spans="1:35" hidden="1" x14ac:dyDescent="0.25">
      <c r="A962">
        <v>2021</v>
      </c>
      <c r="B962" s="1">
        <v>44360</v>
      </c>
      <c r="C962">
        <v>3</v>
      </c>
      <c r="D962">
        <v>0</v>
      </c>
      <c r="E962">
        <v>20120</v>
      </c>
      <c r="F962" t="s">
        <v>326</v>
      </c>
      <c r="G962" t="s">
        <v>44</v>
      </c>
      <c r="H962" t="s">
        <v>57</v>
      </c>
      <c r="I962" t="s">
        <v>368</v>
      </c>
      <c r="J962">
        <v>12</v>
      </c>
      <c r="K962">
        <v>17</v>
      </c>
      <c r="L962">
        <v>32000000</v>
      </c>
      <c r="M962">
        <v>5150000</v>
      </c>
      <c r="N962" t="s">
        <v>149</v>
      </c>
      <c r="O962" t="s">
        <v>168</v>
      </c>
      <c r="P962">
        <v>0</v>
      </c>
      <c r="Q962">
        <v>0</v>
      </c>
      <c r="R962">
        <v>0</v>
      </c>
      <c r="S962">
        <v>0</v>
      </c>
      <c r="T962">
        <v>8</v>
      </c>
      <c r="U962">
        <v>0</v>
      </c>
      <c r="V962">
        <v>14</v>
      </c>
      <c r="W962">
        <v>20</v>
      </c>
      <c r="X962">
        <v>17</v>
      </c>
      <c r="Y962">
        <v>14</v>
      </c>
      <c r="Z962">
        <v>0</v>
      </c>
      <c r="AA962">
        <v>2</v>
      </c>
      <c r="AB962">
        <v>0</v>
      </c>
      <c r="AC962">
        <v>3</v>
      </c>
      <c r="AD962">
        <v>18</v>
      </c>
      <c r="AE962">
        <v>2</v>
      </c>
      <c r="AF962">
        <v>9</v>
      </c>
      <c r="AG962">
        <v>1</v>
      </c>
      <c r="AH962">
        <v>0</v>
      </c>
      <c r="AI962">
        <v>0</v>
      </c>
    </row>
    <row r="963" spans="1:35" hidden="1" x14ac:dyDescent="0.25">
      <c r="A963">
        <v>2021</v>
      </c>
      <c r="B963" s="1">
        <v>44367</v>
      </c>
      <c r="C963">
        <v>5</v>
      </c>
      <c r="D963">
        <v>0</v>
      </c>
      <c r="E963">
        <v>20120</v>
      </c>
      <c r="F963" t="s">
        <v>326</v>
      </c>
      <c r="G963" t="s">
        <v>62</v>
      </c>
      <c r="H963" t="s">
        <v>57</v>
      </c>
      <c r="I963" t="s">
        <v>390</v>
      </c>
      <c r="J963">
        <v>14</v>
      </c>
      <c r="K963">
        <v>16</v>
      </c>
      <c r="L963">
        <v>30900000</v>
      </c>
      <c r="M963">
        <v>32200000</v>
      </c>
      <c r="N963" t="s">
        <v>151</v>
      </c>
      <c r="O963" t="s">
        <v>116</v>
      </c>
      <c r="P963">
        <v>2</v>
      </c>
      <c r="Q963">
        <v>0</v>
      </c>
      <c r="R963">
        <v>2</v>
      </c>
      <c r="S963">
        <v>0</v>
      </c>
      <c r="T963">
        <v>3</v>
      </c>
      <c r="U963">
        <v>7</v>
      </c>
      <c r="V963">
        <v>22</v>
      </c>
      <c r="W963">
        <v>20</v>
      </c>
      <c r="X963">
        <v>20</v>
      </c>
      <c r="Y963">
        <v>21</v>
      </c>
      <c r="Z963">
        <v>1</v>
      </c>
      <c r="AA963">
        <v>3</v>
      </c>
      <c r="AB963">
        <v>3</v>
      </c>
      <c r="AC963">
        <v>2</v>
      </c>
      <c r="AD963">
        <v>11</v>
      </c>
      <c r="AE963">
        <v>8</v>
      </c>
      <c r="AF963">
        <v>5</v>
      </c>
      <c r="AG963">
        <v>5</v>
      </c>
      <c r="AH963">
        <v>2</v>
      </c>
      <c r="AI963">
        <v>1</v>
      </c>
    </row>
    <row r="964" spans="1:35" hidden="1" x14ac:dyDescent="0.25">
      <c r="A964">
        <v>2021</v>
      </c>
      <c r="B964" s="1">
        <v>44375</v>
      </c>
      <c r="C964">
        <v>7</v>
      </c>
      <c r="D964">
        <v>0</v>
      </c>
      <c r="E964">
        <v>20120</v>
      </c>
      <c r="F964" t="s">
        <v>326</v>
      </c>
      <c r="G964" t="s">
        <v>89</v>
      </c>
      <c r="H964" t="s">
        <v>57</v>
      </c>
      <c r="I964" t="s">
        <v>71</v>
      </c>
      <c r="J964">
        <v>10</v>
      </c>
      <c r="K964">
        <v>8</v>
      </c>
      <c r="L964">
        <v>31650000</v>
      </c>
      <c r="M964">
        <v>33250000</v>
      </c>
      <c r="N964" t="s">
        <v>221</v>
      </c>
      <c r="O964" t="s">
        <v>100</v>
      </c>
      <c r="P964">
        <v>2</v>
      </c>
      <c r="Q964">
        <v>0</v>
      </c>
      <c r="R964">
        <v>0</v>
      </c>
      <c r="S964">
        <v>0</v>
      </c>
      <c r="T964">
        <v>4</v>
      </c>
      <c r="U964">
        <v>6</v>
      </c>
      <c r="V964">
        <v>20</v>
      </c>
      <c r="W964">
        <v>16</v>
      </c>
      <c r="X964">
        <v>15</v>
      </c>
      <c r="Y964">
        <v>20</v>
      </c>
      <c r="Z964">
        <v>3</v>
      </c>
      <c r="AA964">
        <v>4</v>
      </c>
      <c r="AB964">
        <v>1</v>
      </c>
      <c r="AC964">
        <v>4</v>
      </c>
      <c r="AD964">
        <v>11</v>
      </c>
      <c r="AE964">
        <v>11</v>
      </c>
      <c r="AF964">
        <v>3</v>
      </c>
      <c r="AG964">
        <v>6</v>
      </c>
      <c r="AH964">
        <v>2</v>
      </c>
      <c r="AI964">
        <v>1</v>
      </c>
    </row>
    <row r="965" spans="1:35" hidden="1" x14ac:dyDescent="0.25">
      <c r="A965">
        <v>2021</v>
      </c>
      <c r="B965" s="1">
        <v>44378</v>
      </c>
      <c r="C965">
        <v>8</v>
      </c>
      <c r="D965">
        <v>0</v>
      </c>
      <c r="E965">
        <v>20120</v>
      </c>
      <c r="F965" t="s">
        <v>326</v>
      </c>
      <c r="G965" t="s">
        <v>391</v>
      </c>
      <c r="H965" t="s">
        <v>57</v>
      </c>
      <c r="I965" t="s">
        <v>238</v>
      </c>
      <c r="J965">
        <v>7</v>
      </c>
      <c r="K965">
        <v>17</v>
      </c>
      <c r="L965">
        <v>29800000</v>
      </c>
      <c r="M965">
        <v>7500000</v>
      </c>
      <c r="N965" t="s">
        <v>80</v>
      </c>
      <c r="O965" t="s">
        <v>135</v>
      </c>
      <c r="P965">
        <v>0</v>
      </c>
      <c r="Q965">
        <v>0</v>
      </c>
      <c r="R965">
        <v>0</v>
      </c>
      <c r="S965">
        <v>0</v>
      </c>
      <c r="T965">
        <v>7</v>
      </c>
      <c r="U965">
        <v>1</v>
      </c>
      <c r="V965">
        <v>11</v>
      </c>
      <c r="W965">
        <v>19</v>
      </c>
      <c r="X965">
        <v>18</v>
      </c>
      <c r="Y965">
        <v>11</v>
      </c>
      <c r="Z965">
        <v>2</v>
      </c>
      <c r="AA965">
        <v>1</v>
      </c>
      <c r="AB965">
        <v>1</v>
      </c>
      <c r="AC965">
        <v>3</v>
      </c>
      <c r="AD965">
        <v>14</v>
      </c>
      <c r="AE965">
        <v>8</v>
      </c>
      <c r="AF965">
        <v>9</v>
      </c>
      <c r="AG965">
        <v>4</v>
      </c>
      <c r="AH965">
        <v>0</v>
      </c>
      <c r="AI965">
        <v>0</v>
      </c>
    </row>
    <row r="966" spans="1:35" hidden="1" x14ac:dyDescent="0.25">
      <c r="A966">
        <v>2021</v>
      </c>
      <c r="B966" s="1">
        <v>44384</v>
      </c>
      <c r="C966">
        <v>10</v>
      </c>
      <c r="D966">
        <v>0</v>
      </c>
      <c r="E966">
        <v>20120</v>
      </c>
      <c r="F966" t="s">
        <v>326</v>
      </c>
      <c r="G966" t="s">
        <v>69</v>
      </c>
      <c r="H966" t="s">
        <v>57</v>
      </c>
      <c r="I966" t="s">
        <v>90</v>
      </c>
      <c r="J966">
        <v>11</v>
      </c>
      <c r="K966">
        <v>2</v>
      </c>
      <c r="L966">
        <v>22200000</v>
      </c>
      <c r="M966">
        <v>28450000</v>
      </c>
      <c r="N966" t="s">
        <v>233</v>
      </c>
      <c r="O966" t="s">
        <v>252</v>
      </c>
      <c r="P966">
        <v>2</v>
      </c>
      <c r="Q966">
        <v>1</v>
      </c>
      <c r="R966">
        <v>1</v>
      </c>
      <c r="S966">
        <v>1</v>
      </c>
      <c r="T966">
        <v>7</v>
      </c>
      <c r="U966">
        <v>4</v>
      </c>
      <c r="V966">
        <v>17</v>
      </c>
      <c r="W966">
        <v>13</v>
      </c>
      <c r="X966">
        <v>13</v>
      </c>
      <c r="Y966">
        <v>17</v>
      </c>
      <c r="Z966">
        <v>1</v>
      </c>
      <c r="AA966">
        <v>7</v>
      </c>
      <c r="AB966">
        <v>2</v>
      </c>
      <c r="AC966">
        <v>2</v>
      </c>
      <c r="AD966">
        <v>18</v>
      </c>
      <c r="AE966">
        <v>11</v>
      </c>
      <c r="AF966">
        <v>7</v>
      </c>
      <c r="AG966">
        <v>9</v>
      </c>
      <c r="AH966">
        <v>1</v>
      </c>
      <c r="AI966">
        <v>1</v>
      </c>
    </row>
    <row r="967" spans="1:35" hidden="1" x14ac:dyDescent="0.25">
      <c r="A967">
        <v>2021</v>
      </c>
      <c r="B967" s="1">
        <v>44402</v>
      </c>
      <c r="C967">
        <v>13</v>
      </c>
      <c r="D967">
        <v>0</v>
      </c>
      <c r="E967">
        <v>20120</v>
      </c>
      <c r="F967" t="s">
        <v>326</v>
      </c>
      <c r="G967" t="s">
        <v>76</v>
      </c>
      <c r="H967" t="s">
        <v>57</v>
      </c>
      <c r="I967" t="s">
        <v>367</v>
      </c>
      <c r="J967">
        <v>10</v>
      </c>
      <c r="K967">
        <v>11</v>
      </c>
      <c r="L967">
        <v>34600000</v>
      </c>
      <c r="M967">
        <v>7650000</v>
      </c>
      <c r="N967">
        <v>27</v>
      </c>
      <c r="O967" t="s">
        <v>80</v>
      </c>
      <c r="P967">
        <v>0</v>
      </c>
      <c r="Q967">
        <v>1</v>
      </c>
      <c r="R967">
        <v>0</v>
      </c>
      <c r="S967">
        <v>1</v>
      </c>
      <c r="T967">
        <v>15</v>
      </c>
      <c r="U967">
        <v>2</v>
      </c>
      <c r="V967">
        <v>14</v>
      </c>
      <c r="W967">
        <v>7</v>
      </c>
      <c r="X967">
        <v>7</v>
      </c>
      <c r="Y967">
        <v>13</v>
      </c>
      <c r="Z967">
        <v>1</v>
      </c>
      <c r="AA967">
        <v>2</v>
      </c>
      <c r="AB967">
        <v>3</v>
      </c>
      <c r="AC967">
        <v>2</v>
      </c>
      <c r="AD967">
        <v>29</v>
      </c>
      <c r="AE967">
        <v>7</v>
      </c>
      <c r="AF967">
        <v>16</v>
      </c>
      <c r="AG967">
        <v>3</v>
      </c>
      <c r="AH967">
        <v>-1</v>
      </c>
      <c r="AI967">
        <v>0</v>
      </c>
    </row>
    <row r="968" spans="1:35" hidden="1" x14ac:dyDescent="0.25">
      <c r="A968">
        <v>2021</v>
      </c>
      <c r="B968" s="1">
        <v>44416</v>
      </c>
      <c r="C968">
        <v>15</v>
      </c>
      <c r="D968">
        <v>0</v>
      </c>
      <c r="E968">
        <v>20120</v>
      </c>
      <c r="F968" t="s">
        <v>326</v>
      </c>
      <c r="G968" t="s">
        <v>88</v>
      </c>
      <c r="H968" t="s">
        <v>57</v>
      </c>
      <c r="I968" t="s">
        <v>392</v>
      </c>
      <c r="J968">
        <v>8</v>
      </c>
      <c r="K968">
        <v>12</v>
      </c>
      <c r="L968">
        <v>23500000</v>
      </c>
      <c r="M968">
        <v>19150000</v>
      </c>
      <c r="N968" t="s">
        <v>239</v>
      </c>
      <c r="O968" t="s">
        <v>74</v>
      </c>
      <c r="P968">
        <v>0</v>
      </c>
      <c r="Q968">
        <v>0</v>
      </c>
      <c r="R968">
        <v>0</v>
      </c>
      <c r="S968">
        <v>0</v>
      </c>
      <c r="T968">
        <v>5</v>
      </c>
      <c r="U968">
        <v>3</v>
      </c>
      <c r="V968">
        <v>17</v>
      </c>
      <c r="W968">
        <v>9</v>
      </c>
      <c r="X968">
        <v>9</v>
      </c>
      <c r="Y968">
        <v>17</v>
      </c>
      <c r="Z968">
        <v>5</v>
      </c>
      <c r="AA968">
        <v>5</v>
      </c>
      <c r="AB968">
        <v>3</v>
      </c>
      <c r="AC968">
        <v>1</v>
      </c>
      <c r="AD968">
        <v>11</v>
      </c>
      <c r="AE968">
        <v>9</v>
      </c>
      <c r="AF968">
        <v>4</v>
      </c>
      <c r="AG968">
        <v>2</v>
      </c>
      <c r="AH968">
        <v>0</v>
      </c>
      <c r="AI968">
        <v>0</v>
      </c>
    </row>
    <row r="969" spans="1:35" hidden="1" x14ac:dyDescent="0.25">
      <c r="A969">
        <v>2021</v>
      </c>
      <c r="B969" s="1">
        <v>44430</v>
      </c>
      <c r="C969">
        <v>17</v>
      </c>
      <c r="D969">
        <v>0</v>
      </c>
      <c r="E969">
        <v>20120</v>
      </c>
      <c r="F969" t="s">
        <v>326</v>
      </c>
      <c r="G969" t="s">
        <v>37</v>
      </c>
      <c r="H969" t="s">
        <v>57</v>
      </c>
      <c r="I969" t="s">
        <v>342</v>
      </c>
      <c r="J969">
        <v>10</v>
      </c>
      <c r="K969">
        <v>9</v>
      </c>
      <c r="L969">
        <v>18300000</v>
      </c>
      <c r="M969">
        <v>33550000</v>
      </c>
      <c r="N969" t="s">
        <v>80</v>
      </c>
      <c r="O969" t="s">
        <v>123</v>
      </c>
      <c r="P969">
        <v>2</v>
      </c>
      <c r="Q969">
        <v>2</v>
      </c>
      <c r="R969">
        <v>2</v>
      </c>
      <c r="S969">
        <v>1</v>
      </c>
      <c r="T969">
        <v>4</v>
      </c>
      <c r="U969">
        <v>4</v>
      </c>
      <c r="V969">
        <v>19</v>
      </c>
      <c r="W969">
        <v>14</v>
      </c>
      <c r="X969">
        <v>13</v>
      </c>
      <c r="Y969">
        <v>19</v>
      </c>
      <c r="Z969">
        <v>2</v>
      </c>
      <c r="AA969">
        <v>2</v>
      </c>
      <c r="AB969">
        <v>2</v>
      </c>
      <c r="AC969">
        <v>1</v>
      </c>
      <c r="AD969">
        <v>10</v>
      </c>
      <c r="AE969">
        <v>13</v>
      </c>
      <c r="AF969">
        <v>4</v>
      </c>
      <c r="AG969">
        <v>6</v>
      </c>
      <c r="AH969">
        <v>0</v>
      </c>
      <c r="AI969">
        <v>0</v>
      </c>
    </row>
    <row r="970" spans="1:35" hidden="1" x14ac:dyDescent="0.25">
      <c r="A970">
        <v>2021</v>
      </c>
      <c r="B970" s="1">
        <v>44437</v>
      </c>
      <c r="C970">
        <v>18</v>
      </c>
      <c r="D970">
        <v>0</v>
      </c>
      <c r="E970">
        <v>20120</v>
      </c>
      <c r="F970" t="s">
        <v>326</v>
      </c>
      <c r="G970" t="s">
        <v>77</v>
      </c>
      <c r="H970" t="s">
        <v>57</v>
      </c>
      <c r="I970" t="s">
        <v>319</v>
      </c>
      <c r="J970">
        <v>11</v>
      </c>
      <c r="K970">
        <v>5</v>
      </c>
      <c r="L970">
        <v>18000000</v>
      </c>
      <c r="M970">
        <v>74850000</v>
      </c>
      <c r="N970" t="s">
        <v>217</v>
      </c>
      <c r="O970" t="s">
        <v>109</v>
      </c>
      <c r="P970">
        <v>0</v>
      </c>
      <c r="Q970">
        <v>4</v>
      </c>
      <c r="R970">
        <v>0</v>
      </c>
      <c r="S970">
        <v>0</v>
      </c>
      <c r="T970">
        <v>4</v>
      </c>
      <c r="U970">
        <v>5</v>
      </c>
      <c r="V970">
        <v>14</v>
      </c>
      <c r="W970">
        <v>14</v>
      </c>
      <c r="X970">
        <v>13</v>
      </c>
      <c r="Y970">
        <v>14</v>
      </c>
      <c r="Z970">
        <v>7</v>
      </c>
      <c r="AA970">
        <v>2</v>
      </c>
      <c r="AB970">
        <v>3</v>
      </c>
      <c r="AC970">
        <v>2</v>
      </c>
      <c r="AD970">
        <v>11</v>
      </c>
      <c r="AE970">
        <v>18</v>
      </c>
      <c r="AF970">
        <v>6</v>
      </c>
      <c r="AG970">
        <v>6</v>
      </c>
      <c r="AH970">
        <v>-4</v>
      </c>
      <c r="AI970">
        <v>0</v>
      </c>
    </row>
    <row r="971" spans="1:35" hidden="1" x14ac:dyDescent="0.25">
      <c r="A971">
        <v>2021</v>
      </c>
      <c r="B971" s="1">
        <v>44451</v>
      </c>
      <c r="C971">
        <v>20</v>
      </c>
      <c r="D971">
        <v>0</v>
      </c>
      <c r="E971">
        <v>20120</v>
      </c>
      <c r="F971" t="s">
        <v>326</v>
      </c>
      <c r="G971" t="s">
        <v>38</v>
      </c>
      <c r="H971" t="s">
        <v>379</v>
      </c>
      <c r="I971" t="s">
        <v>393</v>
      </c>
      <c r="J971">
        <v>15</v>
      </c>
      <c r="K971">
        <v>16</v>
      </c>
      <c r="L971">
        <v>18800000</v>
      </c>
      <c r="M971">
        <v>8000000</v>
      </c>
      <c r="N971">
        <v>27</v>
      </c>
      <c r="O971" t="s">
        <v>235</v>
      </c>
      <c r="P971">
        <v>0</v>
      </c>
      <c r="Q971">
        <v>0</v>
      </c>
      <c r="R971">
        <v>0</v>
      </c>
      <c r="S971">
        <v>0</v>
      </c>
      <c r="T971">
        <v>5</v>
      </c>
      <c r="U971">
        <v>1</v>
      </c>
      <c r="V971">
        <v>16</v>
      </c>
      <c r="W971">
        <v>20</v>
      </c>
      <c r="X971">
        <v>20</v>
      </c>
      <c r="Y971">
        <v>15</v>
      </c>
      <c r="Z971">
        <v>3</v>
      </c>
      <c r="AA971">
        <v>1</v>
      </c>
      <c r="AB971">
        <v>0</v>
      </c>
      <c r="AC971">
        <v>0</v>
      </c>
      <c r="AD971">
        <v>10</v>
      </c>
      <c r="AE971">
        <v>13</v>
      </c>
      <c r="AF971">
        <v>6</v>
      </c>
      <c r="AG971">
        <v>7</v>
      </c>
      <c r="AH971">
        <v>0</v>
      </c>
      <c r="AI971">
        <v>0</v>
      </c>
    </row>
    <row r="972" spans="1:35" hidden="1" x14ac:dyDescent="0.25">
      <c r="A972">
        <v>2021</v>
      </c>
      <c r="B972" s="1">
        <v>44497</v>
      </c>
      <c r="C972">
        <v>23</v>
      </c>
      <c r="D972">
        <v>6685</v>
      </c>
      <c r="E972">
        <v>20120</v>
      </c>
      <c r="F972" t="s">
        <v>326</v>
      </c>
      <c r="G972" t="s">
        <v>55</v>
      </c>
      <c r="H972" t="s">
        <v>379</v>
      </c>
      <c r="I972" t="s">
        <v>223</v>
      </c>
      <c r="J972">
        <v>16</v>
      </c>
      <c r="K972">
        <v>8</v>
      </c>
      <c r="L972">
        <v>18450000</v>
      </c>
      <c r="M972">
        <v>16050000</v>
      </c>
      <c r="N972" t="s">
        <v>104</v>
      </c>
      <c r="O972" t="s">
        <v>189</v>
      </c>
      <c r="P972">
        <v>2</v>
      </c>
      <c r="Q972">
        <v>0</v>
      </c>
      <c r="R972">
        <v>1</v>
      </c>
      <c r="S972">
        <v>0</v>
      </c>
      <c r="T972">
        <v>2</v>
      </c>
      <c r="U972">
        <v>4</v>
      </c>
      <c r="V972">
        <v>18</v>
      </c>
      <c r="W972">
        <v>10</v>
      </c>
      <c r="X972">
        <v>10</v>
      </c>
      <c r="Y972">
        <v>18</v>
      </c>
      <c r="Z972">
        <v>4</v>
      </c>
      <c r="AA972">
        <v>3</v>
      </c>
      <c r="AB972">
        <v>0</v>
      </c>
      <c r="AC972">
        <v>0</v>
      </c>
      <c r="AD972">
        <v>11</v>
      </c>
      <c r="AE972">
        <v>17</v>
      </c>
      <c r="AF972">
        <v>3</v>
      </c>
      <c r="AG972">
        <v>10</v>
      </c>
      <c r="AH972">
        <v>2</v>
      </c>
      <c r="AI972">
        <v>1</v>
      </c>
    </row>
    <row r="973" spans="1:35" hidden="1" x14ac:dyDescent="0.25">
      <c r="A973">
        <v>2021</v>
      </c>
      <c r="B973" s="1">
        <v>44479</v>
      </c>
      <c r="C973">
        <v>25</v>
      </c>
      <c r="D973">
        <v>4165</v>
      </c>
      <c r="E973">
        <v>20120</v>
      </c>
      <c r="F973" t="s">
        <v>326</v>
      </c>
      <c r="G973" t="s">
        <v>83</v>
      </c>
      <c r="H973" t="s">
        <v>379</v>
      </c>
      <c r="I973" t="s">
        <v>336</v>
      </c>
      <c r="J973">
        <v>15</v>
      </c>
      <c r="K973">
        <v>17</v>
      </c>
      <c r="L973">
        <v>18800000</v>
      </c>
      <c r="M973">
        <v>35500000</v>
      </c>
      <c r="N973" t="s">
        <v>168</v>
      </c>
      <c r="O973" t="s">
        <v>137</v>
      </c>
      <c r="P973">
        <v>1</v>
      </c>
      <c r="Q973">
        <v>0</v>
      </c>
      <c r="R973">
        <v>0</v>
      </c>
      <c r="S973">
        <v>0</v>
      </c>
      <c r="T973">
        <v>9</v>
      </c>
      <c r="U973">
        <v>3</v>
      </c>
      <c r="V973">
        <v>14</v>
      </c>
      <c r="W973">
        <v>25</v>
      </c>
      <c r="X973">
        <v>25</v>
      </c>
      <c r="Y973">
        <v>13</v>
      </c>
      <c r="Z973">
        <v>3</v>
      </c>
      <c r="AA973">
        <v>4</v>
      </c>
      <c r="AB973">
        <v>1</v>
      </c>
      <c r="AC973">
        <v>1</v>
      </c>
      <c r="AD973">
        <v>13</v>
      </c>
      <c r="AE973">
        <v>8</v>
      </c>
      <c r="AF973">
        <v>5</v>
      </c>
      <c r="AG973">
        <v>3</v>
      </c>
      <c r="AH973">
        <v>1</v>
      </c>
      <c r="AI973">
        <v>1</v>
      </c>
    </row>
    <row r="974" spans="1:35" hidden="1" x14ac:dyDescent="0.25">
      <c r="A974">
        <v>2021</v>
      </c>
      <c r="B974" s="1">
        <v>44492</v>
      </c>
      <c r="C974">
        <v>28</v>
      </c>
      <c r="D974">
        <v>6921</v>
      </c>
      <c r="E974">
        <v>20120</v>
      </c>
      <c r="F974" t="s">
        <v>326</v>
      </c>
      <c r="G974" t="s">
        <v>310</v>
      </c>
      <c r="H974" t="s">
        <v>379</v>
      </c>
      <c r="I974" t="s">
        <v>368</v>
      </c>
      <c r="J974">
        <v>14</v>
      </c>
      <c r="K974">
        <v>13</v>
      </c>
      <c r="L974">
        <v>17850000</v>
      </c>
      <c r="M974">
        <v>5400000</v>
      </c>
      <c r="N974">
        <v>29</v>
      </c>
      <c r="O974" t="s">
        <v>144</v>
      </c>
      <c r="P974">
        <v>0</v>
      </c>
      <c r="Q974">
        <v>2</v>
      </c>
      <c r="R974">
        <v>0</v>
      </c>
      <c r="S974">
        <v>1</v>
      </c>
      <c r="T974">
        <v>3</v>
      </c>
      <c r="U974">
        <v>5</v>
      </c>
      <c r="V974">
        <v>10</v>
      </c>
      <c r="W974">
        <v>12</v>
      </c>
      <c r="X974">
        <v>11</v>
      </c>
      <c r="Y974">
        <v>10</v>
      </c>
      <c r="Z974">
        <v>2</v>
      </c>
      <c r="AA974">
        <v>6</v>
      </c>
      <c r="AB974">
        <v>1</v>
      </c>
      <c r="AC974">
        <v>3</v>
      </c>
      <c r="AD974">
        <v>14</v>
      </c>
      <c r="AE974">
        <v>16</v>
      </c>
      <c r="AF974">
        <v>6</v>
      </c>
      <c r="AG974">
        <v>10</v>
      </c>
      <c r="AH974">
        <v>-2</v>
      </c>
      <c r="AI974">
        <v>0</v>
      </c>
    </row>
    <row r="975" spans="1:35" hidden="1" x14ac:dyDescent="0.25">
      <c r="A975">
        <v>2021</v>
      </c>
      <c r="B975" s="1">
        <v>44507</v>
      </c>
      <c r="C975">
        <v>30</v>
      </c>
      <c r="D975">
        <v>13165</v>
      </c>
      <c r="E975">
        <v>20120</v>
      </c>
      <c r="F975" t="s">
        <v>326</v>
      </c>
      <c r="G975" t="s">
        <v>95</v>
      </c>
      <c r="H975" t="s">
        <v>379</v>
      </c>
      <c r="I975" t="s">
        <v>97</v>
      </c>
      <c r="J975">
        <v>15</v>
      </c>
      <c r="K975">
        <v>3</v>
      </c>
      <c r="L975">
        <v>19350000</v>
      </c>
      <c r="M975">
        <v>60500000</v>
      </c>
      <c r="N975" t="s">
        <v>217</v>
      </c>
      <c r="O975" t="s">
        <v>135</v>
      </c>
      <c r="P975">
        <v>0</v>
      </c>
      <c r="Q975">
        <v>2</v>
      </c>
      <c r="R975">
        <v>0</v>
      </c>
      <c r="S975">
        <v>1</v>
      </c>
      <c r="T975">
        <v>4</v>
      </c>
      <c r="U975">
        <v>2</v>
      </c>
      <c r="V975">
        <v>14</v>
      </c>
      <c r="W975">
        <v>17</v>
      </c>
      <c r="X975">
        <v>15</v>
      </c>
      <c r="Y975">
        <v>13</v>
      </c>
      <c r="Z975">
        <v>4</v>
      </c>
      <c r="AA975">
        <v>4</v>
      </c>
      <c r="AB975">
        <v>1</v>
      </c>
      <c r="AC975">
        <v>2</v>
      </c>
      <c r="AD975">
        <v>12</v>
      </c>
      <c r="AE975">
        <v>15</v>
      </c>
      <c r="AF975">
        <v>8</v>
      </c>
      <c r="AG975">
        <v>6</v>
      </c>
      <c r="AH975">
        <v>-2</v>
      </c>
      <c r="AI975">
        <v>0</v>
      </c>
    </row>
    <row r="976" spans="1:35" hidden="1" x14ac:dyDescent="0.25">
      <c r="A976">
        <v>2021</v>
      </c>
      <c r="B976" s="1">
        <v>44510</v>
      </c>
      <c r="C976">
        <v>31</v>
      </c>
      <c r="D976">
        <v>9443</v>
      </c>
      <c r="E976">
        <v>20120</v>
      </c>
      <c r="F976" t="s">
        <v>326</v>
      </c>
      <c r="G976" t="s">
        <v>56</v>
      </c>
      <c r="H976" t="s">
        <v>379</v>
      </c>
      <c r="I976" t="s">
        <v>341</v>
      </c>
      <c r="J976">
        <v>16</v>
      </c>
      <c r="K976">
        <v>6</v>
      </c>
      <c r="L976">
        <v>25350000</v>
      </c>
      <c r="M976">
        <v>25900000</v>
      </c>
      <c r="N976" t="s">
        <v>332</v>
      </c>
      <c r="O976" t="s">
        <v>189</v>
      </c>
      <c r="P976">
        <v>2</v>
      </c>
      <c r="Q976">
        <v>0</v>
      </c>
      <c r="R976">
        <v>1</v>
      </c>
      <c r="S976">
        <v>0</v>
      </c>
      <c r="T976">
        <v>5</v>
      </c>
      <c r="U976">
        <v>7</v>
      </c>
      <c r="V976">
        <v>11</v>
      </c>
      <c r="W976">
        <v>10</v>
      </c>
      <c r="X976">
        <v>10</v>
      </c>
      <c r="Y976">
        <v>10</v>
      </c>
      <c r="Z976">
        <v>3</v>
      </c>
      <c r="AA976">
        <v>3</v>
      </c>
      <c r="AB976">
        <v>3</v>
      </c>
      <c r="AC976">
        <v>0</v>
      </c>
      <c r="AD976">
        <v>11</v>
      </c>
      <c r="AE976">
        <v>14</v>
      </c>
      <c r="AF976">
        <v>4</v>
      </c>
      <c r="AG976">
        <v>8</v>
      </c>
      <c r="AH976">
        <v>2</v>
      </c>
      <c r="AI976">
        <v>1</v>
      </c>
    </row>
    <row r="977" spans="1:35" hidden="1" x14ac:dyDescent="0.25">
      <c r="A977">
        <v>2021</v>
      </c>
      <c r="B977" s="1">
        <v>44517</v>
      </c>
      <c r="C977">
        <v>33</v>
      </c>
      <c r="D977">
        <v>11574</v>
      </c>
      <c r="E977">
        <v>20120</v>
      </c>
      <c r="F977" t="s">
        <v>326</v>
      </c>
      <c r="G977" t="s">
        <v>394</v>
      </c>
      <c r="H977" t="s">
        <v>379</v>
      </c>
      <c r="I977" t="s">
        <v>395</v>
      </c>
      <c r="J977">
        <v>12</v>
      </c>
      <c r="K977">
        <v>20</v>
      </c>
      <c r="L977">
        <v>17450000</v>
      </c>
      <c r="M977">
        <v>4330000</v>
      </c>
      <c r="N977" t="s">
        <v>134</v>
      </c>
      <c r="O977" t="s">
        <v>149</v>
      </c>
      <c r="P977">
        <v>2</v>
      </c>
      <c r="Q977">
        <v>0</v>
      </c>
      <c r="R977">
        <v>1</v>
      </c>
      <c r="S977">
        <v>0</v>
      </c>
      <c r="T977">
        <v>2</v>
      </c>
      <c r="U977">
        <v>5</v>
      </c>
      <c r="V977">
        <v>14</v>
      </c>
      <c r="W977">
        <v>14</v>
      </c>
      <c r="X977">
        <v>14</v>
      </c>
      <c r="Y977">
        <v>14</v>
      </c>
      <c r="Z977">
        <v>5</v>
      </c>
      <c r="AA977">
        <v>1</v>
      </c>
      <c r="AB977">
        <v>1</v>
      </c>
      <c r="AC977">
        <v>0</v>
      </c>
      <c r="AD977">
        <v>9</v>
      </c>
      <c r="AE977">
        <v>15</v>
      </c>
      <c r="AF977">
        <v>2</v>
      </c>
      <c r="AG977">
        <v>3</v>
      </c>
      <c r="AH977">
        <v>2</v>
      </c>
      <c r="AI977">
        <v>1</v>
      </c>
    </row>
    <row r="978" spans="1:35" hidden="1" x14ac:dyDescent="0.25">
      <c r="A978">
        <v>2021</v>
      </c>
      <c r="B978" s="1">
        <v>44525</v>
      </c>
      <c r="C978">
        <v>35</v>
      </c>
      <c r="D978">
        <v>11313</v>
      </c>
      <c r="E978">
        <v>20120</v>
      </c>
      <c r="F978" t="s">
        <v>326</v>
      </c>
      <c r="G978" t="s">
        <v>63</v>
      </c>
      <c r="H978" t="s">
        <v>379</v>
      </c>
      <c r="I978" t="s">
        <v>65</v>
      </c>
      <c r="J978">
        <v>13</v>
      </c>
      <c r="K978">
        <v>5</v>
      </c>
      <c r="L978">
        <v>29850000</v>
      </c>
      <c r="M978">
        <v>11600000</v>
      </c>
      <c r="N978" t="s">
        <v>270</v>
      </c>
      <c r="O978" t="s">
        <v>137</v>
      </c>
      <c r="P978">
        <v>2</v>
      </c>
      <c r="Q978">
        <v>0</v>
      </c>
      <c r="R978">
        <v>0</v>
      </c>
      <c r="S978">
        <v>0</v>
      </c>
      <c r="T978">
        <v>6</v>
      </c>
      <c r="U978">
        <v>4</v>
      </c>
      <c r="V978">
        <v>15</v>
      </c>
      <c r="W978">
        <v>15</v>
      </c>
      <c r="X978">
        <v>13</v>
      </c>
      <c r="Y978">
        <v>14</v>
      </c>
      <c r="Z978">
        <v>2</v>
      </c>
      <c r="AA978">
        <v>3</v>
      </c>
      <c r="AB978">
        <v>3</v>
      </c>
      <c r="AC978">
        <v>5</v>
      </c>
      <c r="AD978">
        <v>15</v>
      </c>
      <c r="AE978">
        <v>11</v>
      </c>
      <c r="AF978">
        <v>7</v>
      </c>
      <c r="AG978">
        <v>6</v>
      </c>
      <c r="AH978">
        <v>2</v>
      </c>
      <c r="AI978">
        <v>1</v>
      </c>
    </row>
    <row r="979" spans="1:35" hidden="1" x14ac:dyDescent="0.25">
      <c r="A979">
        <v>2021</v>
      </c>
      <c r="B979" s="1">
        <v>44540</v>
      </c>
      <c r="C979">
        <v>38</v>
      </c>
      <c r="D979">
        <v>12444</v>
      </c>
      <c r="E979">
        <v>20120</v>
      </c>
      <c r="F979" t="s">
        <v>326</v>
      </c>
      <c r="G979" t="s">
        <v>70</v>
      </c>
      <c r="J979">
        <v>11</v>
      </c>
      <c r="K979">
        <v>15</v>
      </c>
      <c r="L979">
        <v>25300000</v>
      </c>
      <c r="M979">
        <v>7100000</v>
      </c>
      <c r="N979" t="s">
        <v>270</v>
      </c>
      <c r="O979" t="s">
        <v>235</v>
      </c>
      <c r="P979">
        <v>1</v>
      </c>
      <c r="Q979">
        <v>1</v>
      </c>
      <c r="R979">
        <v>0</v>
      </c>
      <c r="S979">
        <v>1</v>
      </c>
      <c r="T979">
        <v>6</v>
      </c>
      <c r="U979">
        <v>4</v>
      </c>
      <c r="V979">
        <v>17</v>
      </c>
      <c r="W979">
        <v>15</v>
      </c>
      <c r="X979">
        <v>15</v>
      </c>
      <c r="Y979">
        <v>15</v>
      </c>
      <c r="Z979">
        <v>2</v>
      </c>
      <c r="AA979">
        <v>4</v>
      </c>
      <c r="AB979">
        <v>0</v>
      </c>
      <c r="AC979">
        <v>1</v>
      </c>
      <c r="AD979">
        <v>13</v>
      </c>
      <c r="AE979">
        <v>8</v>
      </c>
      <c r="AF979">
        <v>4</v>
      </c>
      <c r="AG979">
        <v>2</v>
      </c>
      <c r="AH979">
        <v>0</v>
      </c>
      <c r="AI979">
        <v>0</v>
      </c>
    </row>
    <row r="980" spans="1:35" hidden="1" x14ac:dyDescent="0.25">
      <c r="A980">
        <v>2021</v>
      </c>
      <c r="B980" s="1">
        <v>44524</v>
      </c>
      <c r="C980">
        <v>2</v>
      </c>
      <c r="D980">
        <v>0</v>
      </c>
      <c r="E980">
        <v>60540</v>
      </c>
      <c r="F980" t="s">
        <v>83</v>
      </c>
      <c r="G980" t="s">
        <v>77</v>
      </c>
      <c r="H980" t="s">
        <v>312</v>
      </c>
      <c r="I980" t="s">
        <v>319</v>
      </c>
      <c r="J980">
        <v>14</v>
      </c>
      <c r="K980">
        <v>7</v>
      </c>
      <c r="L980">
        <v>27300000</v>
      </c>
      <c r="M980">
        <v>33950000</v>
      </c>
      <c r="N980" t="s">
        <v>123</v>
      </c>
      <c r="O980" t="s">
        <v>117</v>
      </c>
      <c r="P980">
        <v>2</v>
      </c>
      <c r="Q980">
        <v>2</v>
      </c>
      <c r="R980">
        <v>0</v>
      </c>
      <c r="S980">
        <v>0</v>
      </c>
      <c r="T980">
        <v>5</v>
      </c>
      <c r="U980">
        <v>4</v>
      </c>
      <c r="V980">
        <v>14</v>
      </c>
      <c r="W980">
        <v>14</v>
      </c>
      <c r="X980">
        <v>13</v>
      </c>
      <c r="Y980">
        <v>14</v>
      </c>
      <c r="Z980">
        <v>4</v>
      </c>
      <c r="AA980">
        <v>5</v>
      </c>
      <c r="AB980">
        <v>2</v>
      </c>
      <c r="AC980">
        <v>1</v>
      </c>
      <c r="AD980">
        <v>18</v>
      </c>
      <c r="AE980">
        <v>12</v>
      </c>
      <c r="AF980">
        <v>8</v>
      </c>
      <c r="AG980">
        <v>5</v>
      </c>
      <c r="AH980">
        <v>0</v>
      </c>
      <c r="AI980">
        <v>0</v>
      </c>
    </row>
    <row r="981" spans="1:35" hidden="1" x14ac:dyDescent="0.25">
      <c r="A981">
        <v>2021</v>
      </c>
      <c r="B981" s="1">
        <v>44360</v>
      </c>
      <c r="C981">
        <v>3</v>
      </c>
      <c r="D981">
        <v>0</v>
      </c>
      <c r="E981">
        <v>60540</v>
      </c>
      <c r="F981" t="s">
        <v>83</v>
      </c>
      <c r="G981" t="s">
        <v>69</v>
      </c>
      <c r="H981" t="s">
        <v>333</v>
      </c>
      <c r="I981" t="s">
        <v>90</v>
      </c>
      <c r="J981">
        <v>13</v>
      </c>
      <c r="K981">
        <v>2</v>
      </c>
      <c r="L981">
        <v>37350000</v>
      </c>
      <c r="M981">
        <v>28750000</v>
      </c>
      <c r="N981">
        <v>29</v>
      </c>
      <c r="O981" t="s">
        <v>221</v>
      </c>
      <c r="P981">
        <v>0</v>
      </c>
      <c r="Q981">
        <v>1</v>
      </c>
      <c r="R981">
        <v>0</v>
      </c>
      <c r="S981">
        <v>1</v>
      </c>
      <c r="T981">
        <v>6</v>
      </c>
      <c r="U981">
        <v>4</v>
      </c>
      <c r="V981">
        <v>21</v>
      </c>
      <c r="W981">
        <v>12</v>
      </c>
      <c r="X981">
        <v>12</v>
      </c>
      <c r="Y981">
        <v>21</v>
      </c>
      <c r="Z981">
        <v>3</v>
      </c>
      <c r="AA981">
        <v>1</v>
      </c>
      <c r="AB981">
        <v>0</v>
      </c>
      <c r="AC981">
        <v>0</v>
      </c>
      <c r="AD981">
        <v>10</v>
      </c>
      <c r="AE981">
        <v>9</v>
      </c>
      <c r="AF981">
        <v>5</v>
      </c>
      <c r="AG981">
        <v>3</v>
      </c>
      <c r="AH981">
        <v>-1</v>
      </c>
      <c r="AI981">
        <v>0</v>
      </c>
    </row>
    <row r="982" spans="1:35" hidden="1" x14ac:dyDescent="0.25">
      <c r="A982">
        <v>2021</v>
      </c>
      <c r="B982" s="1">
        <v>44372</v>
      </c>
      <c r="C982">
        <v>6</v>
      </c>
      <c r="D982">
        <v>0</v>
      </c>
      <c r="E982">
        <v>60540</v>
      </c>
      <c r="F982" t="s">
        <v>83</v>
      </c>
      <c r="G982" t="s">
        <v>326</v>
      </c>
      <c r="H982" t="s">
        <v>333</v>
      </c>
      <c r="I982" t="s">
        <v>57</v>
      </c>
      <c r="J982">
        <v>16</v>
      </c>
      <c r="K982">
        <v>10</v>
      </c>
      <c r="L982">
        <v>35700000</v>
      </c>
      <c r="M982">
        <v>32900000</v>
      </c>
      <c r="N982" t="s">
        <v>128</v>
      </c>
      <c r="O982" t="s">
        <v>122</v>
      </c>
      <c r="P982">
        <v>2</v>
      </c>
      <c r="Q982">
        <v>2</v>
      </c>
      <c r="R982">
        <v>2</v>
      </c>
      <c r="S982">
        <v>1</v>
      </c>
      <c r="T982">
        <v>7</v>
      </c>
      <c r="U982">
        <v>1</v>
      </c>
      <c r="V982">
        <v>21</v>
      </c>
      <c r="W982">
        <v>14</v>
      </c>
      <c r="X982">
        <v>14</v>
      </c>
      <c r="Y982">
        <v>20</v>
      </c>
      <c r="Z982">
        <v>1</v>
      </c>
      <c r="AA982">
        <v>4</v>
      </c>
      <c r="AB982">
        <v>2</v>
      </c>
      <c r="AC982">
        <v>2</v>
      </c>
      <c r="AD982">
        <v>19</v>
      </c>
      <c r="AE982">
        <v>6</v>
      </c>
      <c r="AF982">
        <v>5</v>
      </c>
      <c r="AG982">
        <v>3</v>
      </c>
      <c r="AH982">
        <v>0</v>
      </c>
      <c r="AI982">
        <v>0</v>
      </c>
    </row>
    <row r="983" spans="1:35" hidden="1" x14ac:dyDescent="0.25">
      <c r="A983">
        <v>2021</v>
      </c>
      <c r="B983" s="1">
        <v>44375</v>
      </c>
      <c r="C983">
        <v>7</v>
      </c>
      <c r="D983">
        <v>0</v>
      </c>
      <c r="E983">
        <v>60540</v>
      </c>
      <c r="F983" t="s">
        <v>83</v>
      </c>
      <c r="G983" t="s">
        <v>63</v>
      </c>
      <c r="H983" t="s">
        <v>333</v>
      </c>
      <c r="I983" t="s">
        <v>65</v>
      </c>
      <c r="J983">
        <v>16</v>
      </c>
      <c r="K983">
        <v>3</v>
      </c>
      <c r="L983">
        <v>40700000</v>
      </c>
      <c r="M983">
        <v>11600000</v>
      </c>
      <c r="N983">
        <v>29</v>
      </c>
      <c r="O983" t="s">
        <v>73</v>
      </c>
      <c r="P983">
        <v>0</v>
      </c>
      <c r="Q983">
        <v>0</v>
      </c>
      <c r="R983">
        <v>0</v>
      </c>
      <c r="S983">
        <v>0</v>
      </c>
      <c r="T983">
        <v>10</v>
      </c>
      <c r="U983">
        <v>5</v>
      </c>
      <c r="V983">
        <v>13</v>
      </c>
      <c r="W983">
        <v>12</v>
      </c>
      <c r="X983">
        <v>11</v>
      </c>
      <c r="Y983">
        <v>12</v>
      </c>
      <c r="Z983">
        <v>5</v>
      </c>
      <c r="AA983">
        <v>5</v>
      </c>
      <c r="AB983">
        <v>1</v>
      </c>
      <c r="AC983">
        <v>3</v>
      </c>
      <c r="AD983">
        <v>18</v>
      </c>
      <c r="AE983">
        <v>16</v>
      </c>
      <c r="AF983">
        <v>9</v>
      </c>
      <c r="AG983">
        <v>7</v>
      </c>
      <c r="AH983">
        <v>0</v>
      </c>
      <c r="AI983">
        <v>0</v>
      </c>
    </row>
    <row r="984" spans="1:35" hidden="1" x14ac:dyDescent="0.25">
      <c r="A984">
        <v>2021</v>
      </c>
      <c r="B984" s="1">
        <v>44382</v>
      </c>
      <c r="C984">
        <v>9</v>
      </c>
      <c r="D984">
        <v>0</v>
      </c>
      <c r="E984">
        <v>60540</v>
      </c>
      <c r="F984" t="s">
        <v>83</v>
      </c>
      <c r="G984" t="s">
        <v>76</v>
      </c>
      <c r="H984" t="s">
        <v>333</v>
      </c>
      <c r="I984" t="s">
        <v>367</v>
      </c>
      <c r="J984">
        <v>18</v>
      </c>
      <c r="K984">
        <v>10</v>
      </c>
      <c r="L984">
        <v>51600000</v>
      </c>
      <c r="M984">
        <v>7580000</v>
      </c>
      <c r="N984" t="s">
        <v>66</v>
      </c>
      <c r="O984" t="s">
        <v>252</v>
      </c>
      <c r="P984">
        <v>0</v>
      </c>
      <c r="Q984">
        <v>1</v>
      </c>
      <c r="R984">
        <v>0</v>
      </c>
      <c r="S984">
        <v>0</v>
      </c>
      <c r="T984">
        <v>11</v>
      </c>
      <c r="U984">
        <v>7</v>
      </c>
      <c r="V984">
        <v>16</v>
      </c>
      <c r="W984">
        <v>9</v>
      </c>
      <c r="X984">
        <v>8</v>
      </c>
      <c r="Y984">
        <v>15</v>
      </c>
      <c r="Z984">
        <v>4</v>
      </c>
      <c r="AA984">
        <v>4</v>
      </c>
      <c r="AB984">
        <v>2</v>
      </c>
      <c r="AC984">
        <v>4</v>
      </c>
      <c r="AD984">
        <v>21</v>
      </c>
      <c r="AE984">
        <v>10</v>
      </c>
      <c r="AF984">
        <v>11</v>
      </c>
      <c r="AG984">
        <v>1</v>
      </c>
      <c r="AH984">
        <v>-1</v>
      </c>
      <c r="AI984">
        <v>0</v>
      </c>
    </row>
    <row r="985" spans="1:35" hidden="1" x14ac:dyDescent="0.25">
      <c r="A985">
        <v>2021</v>
      </c>
      <c r="B985" s="1">
        <v>44387</v>
      </c>
      <c r="C985">
        <v>11</v>
      </c>
      <c r="D985">
        <v>0</v>
      </c>
      <c r="E985">
        <v>60540</v>
      </c>
      <c r="F985" t="s">
        <v>83</v>
      </c>
      <c r="G985" t="s">
        <v>37</v>
      </c>
      <c r="H985" t="s">
        <v>336</v>
      </c>
      <c r="I985" t="s">
        <v>342</v>
      </c>
      <c r="J985">
        <v>19</v>
      </c>
      <c r="K985">
        <v>14</v>
      </c>
      <c r="L985">
        <v>26700000</v>
      </c>
      <c r="M985">
        <v>34950000</v>
      </c>
      <c r="N985" t="s">
        <v>86</v>
      </c>
      <c r="O985" t="s">
        <v>163</v>
      </c>
      <c r="P985">
        <v>0</v>
      </c>
      <c r="Q985">
        <v>0</v>
      </c>
      <c r="R985">
        <v>0</v>
      </c>
      <c r="S985">
        <v>0</v>
      </c>
      <c r="T985">
        <v>5</v>
      </c>
      <c r="U985">
        <v>7</v>
      </c>
      <c r="V985">
        <v>12</v>
      </c>
      <c r="W985">
        <v>19</v>
      </c>
      <c r="X985">
        <v>19</v>
      </c>
      <c r="Y985">
        <v>12</v>
      </c>
      <c r="Z985">
        <v>8</v>
      </c>
      <c r="AA985">
        <v>2</v>
      </c>
      <c r="AB985">
        <v>2</v>
      </c>
      <c r="AC985">
        <v>0</v>
      </c>
      <c r="AD985">
        <v>11</v>
      </c>
      <c r="AE985">
        <v>16</v>
      </c>
      <c r="AF985">
        <v>7</v>
      </c>
      <c r="AG985">
        <v>2</v>
      </c>
      <c r="AH985">
        <v>0</v>
      </c>
      <c r="AI985">
        <v>0</v>
      </c>
    </row>
    <row r="986" spans="1:35" hidden="1" x14ac:dyDescent="0.25">
      <c r="A986">
        <v>2021</v>
      </c>
      <c r="B986" s="1">
        <v>44401</v>
      </c>
      <c r="C986">
        <v>13</v>
      </c>
      <c r="D986">
        <v>0</v>
      </c>
      <c r="E986">
        <v>60540</v>
      </c>
      <c r="F986" t="s">
        <v>83</v>
      </c>
      <c r="G986" t="s">
        <v>310</v>
      </c>
      <c r="H986" t="s">
        <v>336</v>
      </c>
      <c r="I986" t="s">
        <v>312</v>
      </c>
      <c r="J986">
        <v>18</v>
      </c>
      <c r="K986">
        <v>19</v>
      </c>
      <c r="L986">
        <v>17700000</v>
      </c>
      <c r="M986">
        <v>3380000</v>
      </c>
      <c r="N986" t="s">
        <v>332</v>
      </c>
      <c r="O986" t="s">
        <v>100</v>
      </c>
      <c r="P986">
        <v>1</v>
      </c>
      <c r="Q986">
        <v>1</v>
      </c>
      <c r="R986">
        <v>1</v>
      </c>
      <c r="S986">
        <v>1</v>
      </c>
      <c r="T986">
        <v>8</v>
      </c>
      <c r="U986">
        <v>5</v>
      </c>
      <c r="V986">
        <v>20</v>
      </c>
      <c r="W986">
        <v>16</v>
      </c>
      <c r="X986">
        <v>13</v>
      </c>
      <c r="Y986">
        <v>18</v>
      </c>
      <c r="Z986">
        <v>6</v>
      </c>
      <c r="AA986">
        <v>3</v>
      </c>
      <c r="AB986">
        <v>1</v>
      </c>
      <c r="AC986">
        <v>1</v>
      </c>
      <c r="AD986">
        <v>12</v>
      </c>
      <c r="AE986">
        <v>18</v>
      </c>
      <c r="AF986">
        <v>6</v>
      </c>
      <c r="AG986">
        <v>7</v>
      </c>
      <c r="AH986">
        <v>0</v>
      </c>
      <c r="AI986">
        <v>0</v>
      </c>
    </row>
    <row r="987" spans="1:35" hidden="1" x14ac:dyDescent="0.25">
      <c r="A987">
        <v>2021</v>
      </c>
      <c r="B987" s="1">
        <v>44418</v>
      </c>
      <c r="C987">
        <v>15</v>
      </c>
      <c r="D987">
        <v>0</v>
      </c>
      <c r="E987">
        <v>60540</v>
      </c>
      <c r="F987" t="s">
        <v>83</v>
      </c>
      <c r="G987" t="s">
        <v>394</v>
      </c>
      <c r="H987" t="s">
        <v>336</v>
      </c>
      <c r="I987" t="s">
        <v>374</v>
      </c>
      <c r="J987">
        <v>18</v>
      </c>
      <c r="K987">
        <v>20</v>
      </c>
      <c r="L987">
        <v>32700000</v>
      </c>
      <c r="M987">
        <v>3780000</v>
      </c>
      <c r="N987" t="s">
        <v>209</v>
      </c>
      <c r="O987">
        <v>27</v>
      </c>
      <c r="P987">
        <v>2</v>
      </c>
      <c r="Q987">
        <v>1</v>
      </c>
      <c r="R987">
        <v>2</v>
      </c>
      <c r="S987">
        <v>1</v>
      </c>
      <c r="T987">
        <v>9</v>
      </c>
      <c r="U987">
        <v>3</v>
      </c>
      <c r="V987">
        <v>14</v>
      </c>
      <c r="W987">
        <v>10</v>
      </c>
      <c r="X987">
        <v>10</v>
      </c>
      <c r="Y987">
        <v>13</v>
      </c>
      <c r="Z987">
        <v>1</v>
      </c>
      <c r="AA987">
        <v>1</v>
      </c>
      <c r="AB987">
        <v>2</v>
      </c>
      <c r="AC987">
        <v>0</v>
      </c>
      <c r="AD987">
        <v>20</v>
      </c>
      <c r="AE987">
        <v>6</v>
      </c>
      <c r="AF987">
        <v>9</v>
      </c>
      <c r="AG987">
        <v>1</v>
      </c>
      <c r="AH987">
        <v>1</v>
      </c>
      <c r="AI987">
        <v>1</v>
      </c>
    </row>
    <row r="988" spans="1:35" hidden="1" x14ac:dyDescent="0.25">
      <c r="A988">
        <v>2021</v>
      </c>
      <c r="B988" s="1">
        <v>44430</v>
      </c>
      <c r="C988">
        <v>17</v>
      </c>
      <c r="D988">
        <v>0</v>
      </c>
      <c r="E988">
        <v>60540</v>
      </c>
      <c r="F988" t="s">
        <v>83</v>
      </c>
      <c r="G988" t="s">
        <v>38</v>
      </c>
      <c r="H988" t="s">
        <v>336</v>
      </c>
      <c r="I988" t="s">
        <v>396</v>
      </c>
      <c r="J988">
        <v>19</v>
      </c>
      <c r="K988">
        <v>13</v>
      </c>
      <c r="L988">
        <v>26300000</v>
      </c>
      <c r="M988">
        <v>10050000</v>
      </c>
      <c r="N988" t="s">
        <v>209</v>
      </c>
      <c r="O988" t="s">
        <v>168</v>
      </c>
      <c r="P988">
        <v>2</v>
      </c>
      <c r="Q988">
        <v>0</v>
      </c>
      <c r="R988">
        <v>0</v>
      </c>
      <c r="S988">
        <v>0</v>
      </c>
      <c r="T988">
        <v>4</v>
      </c>
      <c r="U988">
        <v>2</v>
      </c>
      <c r="V988">
        <v>12</v>
      </c>
      <c r="W988">
        <v>15</v>
      </c>
      <c r="X988">
        <v>15</v>
      </c>
      <c r="Y988">
        <v>12</v>
      </c>
      <c r="Z988">
        <v>3</v>
      </c>
      <c r="AA988">
        <v>4</v>
      </c>
      <c r="AB988">
        <v>0</v>
      </c>
      <c r="AC988">
        <v>0</v>
      </c>
      <c r="AD988">
        <v>15</v>
      </c>
      <c r="AE988">
        <v>9</v>
      </c>
      <c r="AF988">
        <v>5</v>
      </c>
      <c r="AG988">
        <v>6</v>
      </c>
      <c r="AH988">
        <v>2</v>
      </c>
      <c r="AI988">
        <v>1</v>
      </c>
    </row>
    <row r="989" spans="1:35" hidden="1" x14ac:dyDescent="0.25">
      <c r="A989">
        <v>2021</v>
      </c>
      <c r="B989" s="1">
        <v>44437</v>
      </c>
      <c r="C989">
        <v>18</v>
      </c>
      <c r="D989">
        <v>0</v>
      </c>
      <c r="E989">
        <v>60540</v>
      </c>
      <c r="F989" t="s">
        <v>83</v>
      </c>
      <c r="G989" t="s">
        <v>88</v>
      </c>
      <c r="H989" t="s">
        <v>336</v>
      </c>
      <c r="I989" t="s">
        <v>392</v>
      </c>
      <c r="J989">
        <v>17</v>
      </c>
      <c r="K989">
        <v>7</v>
      </c>
      <c r="L989">
        <v>31500000</v>
      </c>
      <c r="M989">
        <v>19350000</v>
      </c>
      <c r="N989" t="s">
        <v>221</v>
      </c>
      <c r="O989">
        <v>29</v>
      </c>
      <c r="P989">
        <v>0</v>
      </c>
      <c r="Q989">
        <v>1</v>
      </c>
      <c r="R989">
        <v>0</v>
      </c>
      <c r="S989">
        <v>0</v>
      </c>
      <c r="T989">
        <v>6</v>
      </c>
      <c r="U989">
        <v>4</v>
      </c>
      <c r="V989">
        <v>17</v>
      </c>
      <c r="W989">
        <v>7</v>
      </c>
      <c r="X989">
        <v>7</v>
      </c>
      <c r="Y989">
        <v>16</v>
      </c>
      <c r="Z989">
        <v>0</v>
      </c>
      <c r="AA989">
        <v>2</v>
      </c>
      <c r="AB989">
        <v>0</v>
      </c>
      <c r="AC989">
        <v>0</v>
      </c>
      <c r="AD989">
        <v>11</v>
      </c>
      <c r="AE989">
        <v>6</v>
      </c>
      <c r="AF989">
        <v>8</v>
      </c>
      <c r="AG989">
        <v>3</v>
      </c>
      <c r="AH989">
        <v>-1</v>
      </c>
      <c r="AI989">
        <v>0</v>
      </c>
    </row>
    <row r="990" spans="1:35" hidden="1" x14ac:dyDescent="0.25">
      <c r="A990">
        <v>2021</v>
      </c>
      <c r="B990" s="1">
        <v>44451</v>
      </c>
      <c r="C990">
        <v>20</v>
      </c>
      <c r="D990">
        <v>0</v>
      </c>
      <c r="E990">
        <v>60540</v>
      </c>
      <c r="F990" t="s">
        <v>83</v>
      </c>
      <c r="G990" t="s">
        <v>361</v>
      </c>
      <c r="H990" t="s">
        <v>336</v>
      </c>
      <c r="I990" t="s">
        <v>333</v>
      </c>
      <c r="J990">
        <v>18</v>
      </c>
      <c r="K990">
        <v>12</v>
      </c>
      <c r="L990">
        <v>33500000</v>
      </c>
      <c r="M990">
        <v>10230000</v>
      </c>
      <c r="N990" t="s">
        <v>117</v>
      </c>
      <c r="O990" t="s">
        <v>92</v>
      </c>
      <c r="P990">
        <v>2</v>
      </c>
      <c r="Q990">
        <v>0</v>
      </c>
      <c r="R990">
        <v>2</v>
      </c>
      <c r="S990">
        <v>0</v>
      </c>
      <c r="T990">
        <v>5</v>
      </c>
      <c r="U990">
        <v>4</v>
      </c>
      <c r="V990">
        <v>22</v>
      </c>
      <c r="W990">
        <v>9</v>
      </c>
      <c r="X990">
        <v>8</v>
      </c>
      <c r="Y990">
        <v>22</v>
      </c>
      <c r="Z990">
        <v>1</v>
      </c>
      <c r="AA990">
        <v>1</v>
      </c>
      <c r="AB990">
        <v>0</v>
      </c>
      <c r="AC990">
        <v>0</v>
      </c>
      <c r="AD990">
        <v>13</v>
      </c>
      <c r="AE990">
        <v>8</v>
      </c>
      <c r="AF990">
        <v>8</v>
      </c>
      <c r="AG990">
        <v>5</v>
      </c>
      <c r="AH990">
        <v>2</v>
      </c>
      <c r="AI990">
        <v>1</v>
      </c>
    </row>
    <row r="991" spans="1:35" hidden="1" x14ac:dyDescent="0.25">
      <c r="A991">
        <v>2021</v>
      </c>
      <c r="B991" s="1">
        <v>44473</v>
      </c>
      <c r="C991">
        <v>23</v>
      </c>
      <c r="D991">
        <v>7147</v>
      </c>
      <c r="E991">
        <v>60540</v>
      </c>
      <c r="F991" t="s">
        <v>83</v>
      </c>
      <c r="G991" t="s">
        <v>391</v>
      </c>
      <c r="H991" t="s">
        <v>336</v>
      </c>
      <c r="I991" t="s">
        <v>397</v>
      </c>
      <c r="J991">
        <v>17</v>
      </c>
      <c r="K991">
        <v>19</v>
      </c>
      <c r="L991">
        <v>44800000</v>
      </c>
      <c r="M991">
        <v>7100000</v>
      </c>
      <c r="N991" t="s">
        <v>104</v>
      </c>
      <c r="O991" t="s">
        <v>122</v>
      </c>
      <c r="P991">
        <v>1</v>
      </c>
      <c r="Q991">
        <v>2</v>
      </c>
      <c r="R991">
        <v>0</v>
      </c>
      <c r="S991">
        <v>0</v>
      </c>
      <c r="T991">
        <v>11</v>
      </c>
      <c r="U991">
        <v>2</v>
      </c>
      <c r="V991">
        <v>21</v>
      </c>
      <c r="W991">
        <v>18</v>
      </c>
      <c r="X991">
        <v>17</v>
      </c>
      <c r="Y991">
        <v>20</v>
      </c>
      <c r="Z991">
        <v>4</v>
      </c>
      <c r="AA991">
        <v>5</v>
      </c>
      <c r="AB991">
        <v>0</v>
      </c>
      <c r="AC991">
        <v>0</v>
      </c>
      <c r="AD991">
        <v>22</v>
      </c>
      <c r="AE991">
        <v>9</v>
      </c>
      <c r="AF991">
        <v>12</v>
      </c>
      <c r="AG991">
        <v>3</v>
      </c>
      <c r="AH991">
        <v>-1</v>
      </c>
      <c r="AI991">
        <v>0</v>
      </c>
    </row>
    <row r="992" spans="1:35" hidden="1" x14ac:dyDescent="0.25">
      <c r="A992">
        <v>2021</v>
      </c>
      <c r="B992" s="1">
        <v>44476</v>
      </c>
      <c r="C992">
        <v>24</v>
      </c>
      <c r="D992">
        <v>4931</v>
      </c>
      <c r="E992">
        <v>60540</v>
      </c>
      <c r="F992" t="s">
        <v>83</v>
      </c>
      <c r="G992" t="s">
        <v>70</v>
      </c>
      <c r="J992">
        <v>18</v>
      </c>
      <c r="K992">
        <v>11</v>
      </c>
      <c r="L992">
        <v>38000000</v>
      </c>
      <c r="M992">
        <v>8000000</v>
      </c>
      <c r="N992" t="s">
        <v>107</v>
      </c>
      <c r="O992" t="s">
        <v>163</v>
      </c>
      <c r="P992">
        <v>2</v>
      </c>
      <c r="Q992">
        <v>2</v>
      </c>
      <c r="R992">
        <v>0</v>
      </c>
      <c r="S992">
        <v>1</v>
      </c>
      <c r="T992">
        <v>7</v>
      </c>
      <c r="U992">
        <v>3</v>
      </c>
      <c r="V992">
        <v>15</v>
      </c>
      <c r="W992">
        <v>10</v>
      </c>
      <c r="X992">
        <v>9</v>
      </c>
      <c r="Y992">
        <v>14</v>
      </c>
      <c r="Z992">
        <v>0</v>
      </c>
      <c r="AA992">
        <v>5</v>
      </c>
      <c r="AB992">
        <v>0</v>
      </c>
      <c r="AC992">
        <v>1</v>
      </c>
      <c r="AD992">
        <v>20</v>
      </c>
      <c r="AE992">
        <v>5</v>
      </c>
      <c r="AF992">
        <v>8</v>
      </c>
      <c r="AG992">
        <v>2</v>
      </c>
      <c r="AH992">
        <v>0</v>
      </c>
      <c r="AI992">
        <v>0</v>
      </c>
    </row>
    <row r="993" spans="1:35" hidden="1" x14ac:dyDescent="0.25">
      <c r="A993">
        <v>2021</v>
      </c>
      <c r="B993" s="1">
        <v>44486</v>
      </c>
      <c r="C993">
        <v>27</v>
      </c>
      <c r="D993">
        <v>15129</v>
      </c>
      <c r="E993">
        <v>60540</v>
      </c>
      <c r="F993" t="s">
        <v>83</v>
      </c>
      <c r="G993" t="s">
        <v>44</v>
      </c>
      <c r="H993" t="s">
        <v>312</v>
      </c>
      <c r="I993" t="s">
        <v>368</v>
      </c>
      <c r="J993">
        <v>19</v>
      </c>
      <c r="K993">
        <v>17</v>
      </c>
      <c r="L993">
        <v>42150000</v>
      </c>
      <c r="M993">
        <v>6800000</v>
      </c>
      <c r="N993">
        <v>29</v>
      </c>
      <c r="O993">
        <v>27</v>
      </c>
      <c r="P993">
        <v>3</v>
      </c>
      <c r="Q993">
        <v>2</v>
      </c>
      <c r="R993">
        <v>2</v>
      </c>
      <c r="S993">
        <v>0</v>
      </c>
      <c r="T993">
        <v>6</v>
      </c>
      <c r="U993">
        <v>1</v>
      </c>
      <c r="V993">
        <v>24</v>
      </c>
      <c r="W993">
        <v>15</v>
      </c>
      <c r="X993">
        <v>14</v>
      </c>
      <c r="Y993">
        <v>23</v>
      </c>
      <c r="Z993">
        <v>1</v>
      </c>
      <c r="AA993">
        <v>4</v>
      </c>
      <c r="AB993">
        <v>1</v>
      </c>
      <c r="AC993">
        <v>0</v>
      </c>
      <c r="AD993">
        <v>14</v>
      </c>
      <c r="AE993">
        <v>6</v>
      </c>
      <c r="AF993">
        <v>4</v>
      </c>
      <c r="AG993">
        <v>3</v>
      </c>
      <c r="AH993">
        <v>1</v>
      </c>
      <c r="AI993">
        <v>1</v>
      </c>
    </row>
    <row r="994" spans="1:35" hidden="1" x14ac:dyDescent="0.25">
      <c r="A994">
        <v>2021</v>
      </c>
      <c r="B994" s="1">
        <v>44500</v>
      </c>
      <c r="C994">
        <v>29</v>
      </c>
      <c r="D994">
        <v>14207</v>
      </c>
      <c r="E994">
        <v>60540</v>
      </c>
      <c r="F994" t="s">
        <v>83</v>
      </c>
      <c r="G994" t="s">
        <v>95</v>
      </c>
      <c r="H994" t="s">
        <v>312</v>
      </c>
      <c r="I994" t="s">
        <v>97</v>
      </c>
      <c r="J994">
        <v>18</v>
      </c>
      <c r="K994">
        <v>3</v>
      </c>
      <c r="L994">
        <v>43000000</v>
      </c>
      <c r="M994">
        <v>53100000</v>
      </c>
      <c r="N994" t="s">
        <v>74</v>
      </c>
      <c r="O994" t="s">
        <v>111</v>
      </c>
      <c r="P994">
        <v>1</v>
      </c>
      <c r="Q994">
        <v>3</v>
      </c>
      <c r="R994">
        <v>1</v>
      </c>
      <c r="S994">
        <v>2</v>
      </c>
      <c r="T994">
        <v>4</v>
      </c>
      <c r="U994">
        <v>2</v>
      </c>
      <c r="V994">
        <v>26</v>
      </c>
      <c r="W994">
        <v>12</v>
      </c>
      <c r="X994">
        <v>11</v>
      </c>
      <c r="Y994">
        <v>24</v>
      </c>
      <c r="Z994">
        <v>2</v>
      </c>
      <c r="AA994">
        <v>4</v>
      </c>
      <c r="AB994">
        <v>2</v>
      </c>
      <c r="AC994">
        <v>0</v>
      </c>
      <c r="AD994">
        <v>15</v>
      </c>
      <c r="AE994">
        <v>11</v>
      </c>
      <c r="AF994">
        <v>8</v>
      </c>
      <c r="AG994">
        <v>4</v>
      </c>
      <c r="AH994">
        <v>-2</v>
      </c>
      <c r="AI994">
        <v>0</v>
      </c>
    </row>
    <row r="995" spans="1:35" hidden="1" x14ac:dyDescent="0.25">
      <c r="A995">
        <v>2021</v>
      </c>
      <c r="B995" s="1">
        <v>44510</v>
      </c>
      <c r="C995">
        <v>31</v>
      </c>
      <c r="D995">
        <v>0</v>
      </c>
      <c r="E995">
        <v>60540</v>
      </c>
      <c r="F995" t="s">
        <v>83</v>
      </c>
      <c r="G995" t="s">
        <v>55</v>
      </c>
      <c r="H995" t="s">
        <v>312</v>
      </c>
      <c r="I995" t="s">
        <v>223</v>
      </c>
      <c r="J995">
        <v>19</v>
      </c>
      <c r="K995">
        <v>8</v>
      </c>
      <c r="L995">
        <v>30800000</v>
      </c>
      <c r="M995">
        <v>26400000</v>
      </c>
      <c r="N995" t="s">
        <v>151</v>
      </c>
      <c r="O995" t="s">
        <v>278</v>
      </c>
      <c r="P995">
        <v>1</v>
      </c>
      <c r="Q995">
        <v>0</v>
      </c>
      <c r="R995">
        <v>0</v>
      </c>
      <c r="S995">
        <v>0</v>
      </c>
      <c r="T995">
        <v>6</v>
      </c>
      <c r="U995">
        <v>0</v>
      </c>
      <c r="V995">
        <v>18</v>
      </c>
      <c r="W995">
        <v>9</v>
      </c>
      <c r="X995">
        <v>9</v>
      </c>
      <c r="Y995">
        <v>18</v>
      </c>
      <c r="Z995">
        <v>5</v>
      </c>
      <c r="AA995">
        <v>6</v>
      </c>
      <c r="AB995">
        <v>0</v>
      </c>
      <c r="AC995">
        <v>1</v>
      </c>
      <c r="AD995">
        <v>25</v>
      </c>
      <c r="AE995">
        <v>11</v>
      </c>
      <c r="AF995">
        <v>10</v>
      </c>
      <c r="AG995">
        <v>5</v>
      </c>
      <c r="AH995">
        <v>1</v>
      </c>
      <c r="AI995">
        <v>1</v>
      </c>
    </row>
    <row r="996" spans="1:35" hidden="1" x14ac:dyDescent="0.25">
      <c r="A996">
        <v>2021</v>
      </c>
      <c r="B996" s="1">
        <v>44516</v>
      </c>
      <c r="C996">
        <v>33</v>
      </c>
      <c r="D996">
        <v>0</v>
      </c>
      <c r="E996">
        <v>60540</v>
      </c>
      <c r="F996" t="s">
        <v>83</v>
      </c>
      <c r="G996" t="s">
        <v>56</v>
      </c>
      <c r="H996" t="s">
        <v>312</v>
      </c>
      <c r="I996" t="s">
        <v>341</v>
      </c>
      <c r="J996">
        <v>18</v>
      </c>
      <c r="K996">
        <v>6</v>
      </c>
      <c r="L996">
        <v>27800000</v>
      </c>
      <c r="M996">
        <v>13350000</v>
      </c>
      <c r="N996" t="s">
        <v>296</v>
      </c>
      <c r="O996" t="s">
        <v>385</v>
      </c>
      <c r="P996">
        <v>3</v>
      </c>
      <c r="Q996">
        <v>0</v>
      </c>
      <c r="R996">
        <v>3</v>
      </c>
      <c r="S996">
        <v>0</v>
      </c>
      <c r="T996">
        <v>11</v>
      </c>
      <c r="U996">
        <v>1</v>
      </c>
      <c r="V996">
        <v>15</v>
      </c>
      <c r="W996">
        <v>17</v>
      </c>
      <c r="X996">
        <v>14</v>
      </c>
      <c r="Y996">
        <v>15</v>
      </c>
      <c r="Z996">
        <v>1</v>
      </c>
      <c r="AA996">
        <v>7</v>
      </c>
      <c r="AB996">
        <v>2</v>
      </c>
      <c r="AC996">
        <v>0</v>
      </c>
      <c r="AD996">
        <v>25</v>
      </c>
      <c r="AE996">
        <v>7</v>
      </c>
      <c r="AF996">
        <v>9</v>
      </c>
      <c r="AG996">
        <v>4</v>
      </c>
      <c r="AH996">
        <v>3</v>
      </c>
      <c r="AI996">
        <v>1</v>
      </c>
    </row>
    <row r="997" spans="1:35" hidden="1" x14ac:dyDescent="0.25">
      <c r="A997">
        <v>2021</v>
      </c>
      <c r="B997" s="1">
        <v>44533</v>
      </c>
      <c r="C997">
        <v>35</v>
      </c>
      <c r="D997">
        <v>9312</v>
      </c>
      <c r="E997">
        <v>60540</v>
      </c>
      <c r="F997" t="s">
        <v>83</v>
      </c>
      <c r="G997" t="s">
        <v>62</v>
      </c>
      <c r="H997" t="s">
        <v>312</v>
      </c>
      <c r="I997" t="s">
        <v>40</v>
      </c>
      <c r="J997">
        <v>18</v>
      </c>
      <c r="K997">
        <v>14</v>
      </c>
      <c r="L997">
        <v>34500000</v>
      </c>
      <c r="M997">
        <v>40400000</v>
      </c>
      <c r="N997" t="s">
        <v>200</v>
      </c>
      <c r="O997" t="s">
        <v>116</v>
      </c>
      <c r="P997">
        <v>3</v>
      </c>
      <c r="Q997">
        <v>0</v>
      </c>
      <c r="R997">
        <v>1</v>
      </c>
      <c r="S997">
        <v>0</v>
      </c>
      <c r="T997">
        <v>6</v>
      </c>
      <c r="U997">
        <v>0</v>
      </c>
      <c r="V997">
        <v>17</v>
      </c>
      <c r="W997">
        <v>13</v>
      </c>
      <c r="X997">
        <v>13</v>
      </c>
      <c r="Y997">
        <v>16</v>
      </c>
      <c r="Z997">
        <v>1</v>
      </c>
      <c r="AA997">
        <v>4</v>
      </c>
      <c r="AB997">
        <v>0</v>
      </c>
      <c r="AC997">
        <v>1</v>
      </c>
      <c r="AD997">
        <v>17</v>
      </c>
      <c r="AE997">
        <v>5</v>
      </c>
      <c r="AF997">
        <v>6</v>
      </c>
      <c r="AG997">
        <v>3</v>
      </c>
      <c r="AH997">
        <v>3</v>
      </c>
      <c r="AI997">
        <v>1</v>
      </c>
    </row>
    <row r="998" spans="1:35" hidden="1" x14ac:dyDescent="0.25">
      <c r="A998">
        <v>2021</v>
      </c>
      <c r="B998" s="1">
        <v>44540</v>
      </c>
      <c r="C998">
        <v>38</v>
      </c>
      <c r="D998">
        <v>33577</v>
      </c>
      <c r="E998">
        <v>60540</v>
      </c>
      <c r="F998" t="s">
        <v>83</v>
      </c>
      <c r="G998" t="s">
        <v>89</v>
      </c>
      <c r="H998" t="s">
        <v>312</v>
      </c>
      <c r="I998" t="s">
        <v>71</v>
      </c>
      <c r="J998">
        <v>18</v>
      </c>
      <c r="K998">
        <v>1</v>
      </c>
      <c r="L998">
        <v>34300000</v>
      </c>
      <c r="M998">
        <v>31650000</v>
      </c>
      <c r="N998">
        <v>28</v>
      </c>
      <c r="O998" t="s">
        <v>239</v>
      </c>
      <c r="P998">
        <v>4</v>
      </c>
      <c r="Q998">
        <v>3</v>
      </c>
      <c r="R998">
        <v>3</v>
      </c>
      <c r="S998">
        <v>2</v>
      </c>
      <c r="T998">
        <v>3</v>
      </c>
      <c r="U998">
        <v>9</v>
      </c>
      <c r="V998">
        <v>15</v>
      </c>
      <c r="W998">
        <v>11</v>
      </c>
      <c r="X998">
        <v>11</v>
      </c>
      <c r="Y998">
        <v>15</v>
      </c>
      <c r="Z998">
        <v>4</v>
      </c>
      <c r="AA998">
        <v>0</v>
      </c>
      <c r="AB998">
        <v>1</v>
      </c>
      <c r="AC998">
        <v>0</v>
      </c>
      <c r="AD998">
        <v>7</v>
      </c>
      <c r="AE998">
        <v>13</v>
      </c>
      <c r="AF998">
        <v>2</v>
      </c>
      <c r="AG998">
        <v>2</v>
      </c>
      <c r="AH998">
        <v>1</v>
      </c>
      <c r="AI998">
        <v>1</v>
      </c>
    </row>
    <row r="999" spans="1:35" hidden="1" x14ac:dyDescent="0.25">
      <c r="A999">
        <v>2021</v>
      </c>
      <c r="B999" s="1">
        <v>44346</v>
      </c>
      <c r="C999">
        <v>1</v>
      </c>
      <c r="D999">
        <v>0</v>
      </c>
      <c r="E999">
        <v>31000</v>
      </c>
      <c r="F999" t="s">
        <v>38</v>
      </c>
      <c r="G999" t="s">
        <v>326</v>
      </c>
      <c r="H999" t="s">
        <v>398</v>
      </c>
      <c r="I999" t="s">
        <v>57</v>
      </c>
      <c r="J999">
        <v>1</v>
      </c>
      <c r="K999">
        <v>20</v>
      </c>
      <c r="L999">
        <v>11400000</v>
      </c>
      <c r="M999">
        <v>38000000</v>
      </c>
      <c r="N999" t="s">
        <v>122</v>
      </c>
      <c r="O999" t="s">
        <v>228</v>
      </c>
      <c r="P999">
        <v>3</v>
      </c>
      <c r="Q999">
        <v>0</v>
      </c>
      <c r="R999">
        <v>0</v>
      </c>
      <c r="S999">
        <v>0</v>
      </c>
      <c r="T999">
        <v>4</v>
      </c>
      <c r="U999">
        <v>11</v>
      </c>
      <c r="V999">
        <v>18</v>
      </c>
      <c r="W999">
        <v>9</v>
      </c>
      <c r="X999">
        <v>9</v>
      </c>
      <c r="Y999">
        <v>18</v>
      </c>
      <c r="Z999">
        <v>4</v>
      </c>
      <c r="AA999">
        <v>0</v>
      </c>
      <c r="AB999">
        <v>2</v>
      </c>
      <c r="AC999">
        <v>2</v>
      </c>
      <c r="AD999">
        <v>5</v>
      </c>
      <c r="AE999">
        <v>12</v>
      </c>
      <c r="AF999">
        <v>2</v>
      </c>
      <c r="AG999">
        <v>5</v>
      </c>
      <c r="AH999">
        <v>3</v>
      </c>
      <c r="AI999">
        <v>1</v>
      </c>
    </row>
    <row r="1000" spans="1:35" hidden="1" x14ac:dyDescent="0.25">
      <c r="A1000">
        <v>2021</v>
      </c>
      <c r="B1000" s="1">
        <v>44361</v>
      </c>
      <c r="C1000">
        <v>3</v>
      </c>
      <c r="D1000">
        <v>0</v>
      </c>
      <c r="E1000">
        <v>31000</v>
      </c>
      <c r="F1000" t="s">
        <v>38</v>
      </c>
      <c r="G1000" t="s">
        <v>37</v>
      </c>
      <c r="H1000" t="s">
        <v>398</v>
      </c>
      <c r="I1000" t="s">
        <v>399</v>
      </c>
      <c r="J1000">
        <v>4</v>
      </c>
      <c r="K1000">
        <v>18</v>
      </c>
      <c r="L1000">
        <v>11850000</v>
      </c>
      <c r="M1000">
        <v>33150000</v>
      </c>
      <c r="N1000" t="s">
        <v>99</v>
      </c>
      <c r="O1000" t="s">
        <v>239</v>
      </c>
      <c r="P1000">
        <v>0</v>
      </c>
      <c r="Q1000">
        <v>1</v>
      </c>
      <c r="R1000">
        <v>0</v>
      </c>
      <c r="S1000">
        <v>1</v>
      </c>
      <c r="T1000">
        <v>6</v>
      </c>
      <c r="U1000">
        <v>5</v>
      </c>
      <c r="V1000">
        <v>14</v>
      </c>
      <c r="W1000">
        <v>16</v>
      </c>
      <c r="X1000">
        <v>16</v>
      </c>
      <c r="Y1000">
        <v>14</v>
      </c>
      <c r="Z1000">
        <v>3</v>
      </c>
      <c r="AA1000">
        <v>3</v>
      </c>
      <c r="AB1000">
        <v>2</v>
      </c>
      <c r="AC1000">
        <v>2</v>
      </c>
      <c r="AD1000">
        <v>14</v>
      </c>
      <c r="AE1000">
        <v>6</v>
      </c>
      <c r="AF1000">
        <v>9</v>
      </c>
      <c r="AG1000">
        <v>2</v>
      </c>
      <c r="AH1000">
        <v>-1</v>
      </c>
      <c r="AI1000">
        <v>0</v>
      </c>
    </row>
    <row r="1001" spans="1:35" hidden="1" x14ac:dyDescent="0.25">
      <c r="A1001">
        <v>2021</v>
      </c>
      <c r="B1001" s="1">
        <v>44367</v>
      </c>
      <c r="C1001">
        <v>5</v>
      </c>
      <c r="D1001">
        <v>0</v>
      </c>
      <c r="E1001">
        <v>31000</v>
      </c>
      <c r="F1001" t="s">
        <v>38</v>
      </c>
      <c r="G1001" t="s">
        <v>88</v>
      </c>
      <c r="H1001" t="s">
        <v>398</v>
      </c>
      <c r="I1001" t="s">
        <v>392</v>
      </c>
      <c r="J1001">
        <v>8</v>
      </c>
      <c r="K1001">
        <v>11</v>
      </c>
      <c r="L1001">
        <v>11850000</v>
      </c>
      <c r="M1001">
        <v>23250000</v>
      </c>
      <c r="N1001" t="s">
        <v>99</v>
      </c>
      <c r="O1001" t="s">
        <v>174</v>
      </c>
      <c r="P1001">
        <v>0</v>
      </c>
      <c r="Q1001">
        <v>0</v>
      </c>
      <c r="R1001">
        <v>0</v>
      </c>
      <c r="S1001">
        <v>0</v>
      </c>
      <c r="T1001">
        <v>3</v>
      </c>
      <c r="U1001">
        <v>8</v>
      </c>
      <c r="V1001">
        <v>10</v>
      </c>
      <c r="W1001">
        <v>18</v>
      </c>
      <c r="X1001">
        <v>18</v>
      </c>
      <c r="Y1001">
        <v>10</v>
      </c>
      <c r="Z1001">
        <v>3</v>
      </c>
      <c r="AA1001">
        <v>2</v>
      </c>
      <c r="AB1001">
        <v>0</v>
      </c>
      <c r="AC1001">
        <v>2</v>
      </c>
      <c r="AD1001">
        <v>12</v>
      </c>
      <c r="AE1001">
        <v>10</v>
      </c>
      <c r="AF1001">
        <v>4</v>
      </c>
      <c r="AG1001">
        <v>5</v>
      </c>
      <c r="AH1001">
        <v>0</v>
      </c>
      <c r="AI1001">
        <v>0</v>
      </c>
    </row>
    <row r="1002" spans="1:35" hidden="1" x14ac:dyDescent="0.25">
      <c r="A1002">
        <v>2021</v>
      </c>
      <c r="B1002" s="1">
        <v>44372</v>
      </c>
      <c r="C1002">
        <v>6</v>
      </c>
      <c r="D1002">
        <v>0</v>
      </c>
      <c r="E1002">
        <v>55000</v>
      </c>
      <c r="F1002" t="s">
        <v>38</v>
      </c>
      <c r="G1002" t="s">
        <v>69</v>
      </c>
      <c r="H1002" t="s">
        <v>398</v>
      </c>
      <c r="I1002" t="s">
        <v>90</v>
      </c>
      <c r="J1002">
        <v>7</v>
      </c>
      <c r="K1002">
        <v>1</v>
      </c>
      <c r="L1002">
        <v>12050000</v>
      </c>
      <c r="M1002">
        <v>28750000</v>
      </c>
      <c r="N1002" t="s">
        <v>122</v>
      </c>
      <c r="O1002" t="s">
        <v>221</v>
      </c>
      <c r="P1002">
        <v>2</v>
      </c>
      <c r="Q1002">
        <v>1</v>
      </c>
      <c r="R1002">
        <v>1</v>
      </c>
      <c r="S1002">
        <v>1</v>
      </c>
      <c r="T1002">
        <v>9</v>
      </c>
      <c r="U1002">
        <v>2</v>
      </c>
      <c r="V1002">
        <v>12</v>
      </c>
      <c r="W1002">
        <v>8</v>
      </c>
      <c r="X1002">
        <v>8</v>
      </c>
      <c r="Y1002">
        <v>12</v>
      </c>
      <c r="Z1002">
        <v>3</v>
      </c>
      <c r="AA1002">
        <v>5</v>
      </c>
      <c r="AB1002">
        <v>3</v>
      </c>
      <c r="AC1002">
        <v>1</v>
      </c>
      <c r="AD1002">
        <v>19</v>
      </c>
      <c r="AE1002">
        <v>9</v>
      </c>
      <c r="AF1002">
        <v>5</v>
      </c>
      <c r="AG1002">
        <v>3</v>
      </c>
      <c r="AH1002">
        <v>1</v>
      </c>
      <c r="AI1002">
        <v>1</v>
      </c>
    </row>
    <row r="1003" spans="1:35" hidden="1" x14ac:dyDescent="0.25">
      <c r="A1003">
        <v>2021</v>
      </c>
      <c r="B1003" s="1">
        <v>44378</v>
      </c>
      <c r="C1003">
        <v>8</v>
      </c>
      <c r="D1003">
        <v>0</v>
      </c>
      <c r="E1003">
        <v>31000</v>
      </c>
      <c r="F1003" t="s">
        <v>38</v>
      </c>
      <c r="G1003" t="s">
        <v>310</v>
      </c>
      <c r="H1003" t="s">
        <v>398</v>
      </c>
      <c r="I1003" t="s">
        <v>312</v>
      </c>
      <c r="J1003">
        <v>5</v>
      </c>
      <c r="K1003">
        <v>20</v>
      </c>
      <c r="L1003">
        <v>9700000</v>
      </c>
      <c r="M1003">
        <v>6530000</v>
      </c>
      <c r="N1003" t="s">
        <v>128</v>
      </c>
      <c r="O1003">
        <v>31</v>
      </c>
      <c r="P1003">
        <v>3</v>
      </c>
      <c r="Q1003">
        <v>4</v>
      </c>
      <c r="R1003">
        <v>1</v>
      </c>
      <c r="S1003">
        <v>2</v>
      </c>
      <c r="T1003">
        <v>8</v>
      </c>
      <c r="U1003">
        <v>4</v>
      </c>
      <c r="V1003">
        <v>5</v>
      </c>
      <c r="W1003">
        <v>8</v>
      </c>
      <c r="X1003">
        <v>8</v>
      </c>
      <c r="Y1003">
        <v>5</v>
      </c>
      <c r="Z1003">
        <v>4</v>
      </c>
      <c r="AA1003">
        <v>3</v>
      </c>
      <c r="AB1003">
        <v>3</v>
      </c>
      <c r="AC1003">
        <v>5</v>
      </c>
      <c r="AD1003">
        <v>20</v>
      </c>
      <c r="AE1003">
        <v>16</v>
      </c>
      <c r="AF1003">
        <v>8</v>
      </c>
      <c r="AG1003">
        <v>5</v>
      </c>
      <c r="AH1003">
        <v>-1</v>
      </c>
      <c r="AI1003">
        <v>0</v>
      </c>
    </row>
    <row r="1004" spans="1:35" hidden="1" x14ac:dyDescent="0.25">
      <c r="A1004">
        <v>2021</v>
      </c>
      <c r="B1004" s="1">
        <v>44384</v>
      </c>
      <c r="C1004">
        <v>10</v>
      </c>
      <c r="D1004">
        <v>0</v>
      </c>
      <c r="E1004">
        <v>31000</v>
      </c>
      <c r="F1004" t="s">
        <v>38</v>
      </c>
      <c r="G1004" t="s">
        <v>44</v>
      </c>
      <c r="H1004" t="s">
        <v>398</v>
      </c>
      <c r="I1004" t="s">
        <v>368</v>
      </c>
      <c r="J1004">
        <v>6</v>
      </c>
      <c r="K1004">
        <v>12</v>
      </c>
      <c r="L1004">
        <v>9130000</v>
      </c>
      <c r="M1004">
        <v>7300000</v>
      </c>
      <c r="N1004" t="s">
        <v>107</v>
      </c>
      <c r="O1004" t="s">
        <v>128</v>
      </c>
      <c r="P1004">
        <v>1</v>
      </c>
      <c r="Q1004">
        <v>0</v>
      </c>
      <c r="R1004">
        <v>0</v>
      </c>
      <c r="S1004">
        <v>0</v>
      </c>
      <c r="T1004">
        <v>3</v>
      </c>
      <c r="U1004">
        <v>2</v>
      </c>
      <c r="V1004">
        <v>19</v>
      </c>
      <c r="W1004">
        <v>19</v>
      </c>
      <c r="X1004">
        <v>18</v>
      </c>
      <c r="Y1004">
        <v>17</v>
      </c>
      <c r="Z1004">
        <v>3</v>
      </c>
      <c r="AA1004">
        <v>1</v>
      </c>
      <c r="AB1004">
        <v>1</v>
      </c>
      <c r="AC1004">
        <v>3</v>
      </c>
      <c r="AD1004">
        <v>8</v>
      </c>
      <c r="AE1004">
        <v>9</v>
      </c>
      <c r="AF1004">
        <v>5</v>
      </c>
      <c r="AG1004">
        <v>5</v>
      </c>
      <c r="AH1004">
        <v>1</v>
      </c>
      <c r="AI1004">
        <v>1</v>
      </c>
    </row>
    <row r="1005" spans="1:35" hidden="1" x14ac:dyDescent="0.25">
      <c r="A1005">
        <v>2021</v>
      </c>
      <c r="B1005" s="1">
        <v>44395</v>
      </c>
      <c r="C1005">
        <v>12</v>
      </c>
      <c r="D1005">
        <v>0</v>
      </c>
      <c r="E1005">
        <v>31000</v>
      </c>
      <c r="F1005" t="s">
        <v>38</v>
      </c>
      <c r="G1005" t="s">
        <v>77</v>
      </c>
      <c r="H1005" t="s">
        <v>398</v>
      </c>
      <c r="I1005" t="s">
        <v>319</v>
      </c>
      <c r="J1005">
        <v>6</v>
      </c>
      <c r="K1005">
        <v>7</v>
      </c>
      <c r="L1005">
        <v>11700000</v>
      </c>
      <c r="M1005">
        <v>70850000</v>
      </c>
      <c r="N1005">
        <v>28</v>
      </c>
      <c r="O1005" t="s">
        <v>48</v>
      </c>
      <c r="P1005">
        <v>0</v>
      </c>
      <c r="Q1005">
        <v>5</v>
      </c>
      <c r="R1005">
        <v>0</v>
      </c>
      <c r="S1005">
        <v>2</v>
      </c>
      <c r="T1005">
        <v>4</v>
      </c>
      <c r="U1005">
        <v>3</v>
      </c>
      <c r="V1005">
        <v>18</v>
      </c>
      <c r="W1005">
        <v>8</v>
      </c>
      <c r="X1005">
        <v>7</v>
      </c>
      <c r="Y1005">
        <v>15</v>
      </c>
      <c r="Z1005">
        <v>5</v>
      </c>
      <c r="AA1005">
        <v>3</v>
      </c>
      <c r="AB1005">
        <v>0</v>
      </c>
      <c r="AC1005">
        <v>2</v>
      </c>
      <c r="AD1005">
        <v>11</v>
      </c>
      <c r="AE1005">
        <v>16</v>
      </c>
      <c r="AF1005">
        <v>5</v>
      </c>
      <c r="AG1005">
        <v>4</v>
      </c>
      <c r="AH1005">
        <v>-5</v>
      </c>
      <c r="AI1005">
        <v>0</v>
      </c>
    </row>
    <row r="1006" spans="1:35" hidden="1" x14ac:dyDescent="0.25">
      <c r="A1006">
        <v>2021</v>
      </c>
      <c r="B1006" s="1">
        <v>44423</v>
      </c>
      <c r="C1006">
        <v>16</v>
      </c>
      <c r="D1006">
        <v>0</v>
      </c>
      <c r="E1006">
        <v>31000</v>
      </c>
      <c r="F1006" t="s">
        <v>38</v>
      </c>
      <c r="G1006" t="s">
        <v>76</v>
      </c>
      <c r="H1006" t="s">
        <v>398</v>
      </c>
      <c r="I1006" t="s">
        <v>367</v>
      </c>
      <c r="J1006">
        <v>10</v>
      </c>
      <c r="K1006">
        <v>9</v>
      </c>
      <c r="L1006">
        <v>10200000</v>
      </c>
      <c r="M1006">
        <v>8900000</v>
      </c>
      <c r="N1006" t="s">
        <v>98</v>
      </c>
      <c r="O1006">
        <v>28</v>
      </c>
      <c r="P1006">
        <v>1</v>
      </c>
      <c r="Q1006">
        <v>2</v>
      </c>
      <c r="R1006">
        <v>1</v>
      </c>
      <c r="S1006">
        <v>0</v>
      </c>
      <c r="T1006">
        <v>4</v>
      </c>
      <c r="U1006">
        <v>5</v>
      </c>
      <c r="V1006">
        <v>18</v>
      </c>
      <c r="W1006">
        <v>11</v>
      </c>
      <c r="X1006">
        <v>10</v>
      </c>
      <c r="Y1006">
        <v>17</v>
      </c>
      <c r="Z1006">
        <v>1</v>
      </c>
      <c r="AA1006">
        <v>7</v>
      </c>
      <c r="AB1006">
        <v>3</v>
      </c>
      <c r="AC1006">
        <v>1</v>
      </c>
      <c r="AD1006">
        <v>15</v>
      </c>
      <c r="AE1006">
        <v>12</v>
      </c>
      <c r="AF1006">
        <v>7</v>
      </c>
      <c r="AG1006">
        <v>5</v>
      </c>
      <c r="AH1006">
        <v>-1</v>
      </c>
      <c r="AI1006">
        <v>0</v>
      </c>
    </row>
    <row r="1007" spans="1:35" hidden="1" x14ac:dyDescent="0.25">
      <c r="A1007">
        <v>2021</v>
      </c>
      <c r="B1007" s="1">
        <v>44444</v>
      </c>
      <c r="C1007">
        <v>19</v>
      </c>
      <c r="D1007">
        <v>0</v>
      </c>
      <c r="E1007">
        <v>31000</v>
      </c>
      <c r="F1007" t="s">
        <v>38</v>
      </c>
      <c r="G1007" t="s">
        <v>63</v>
      </c>
      <c r="H1007" t="s">
        <v>393</v>
      </c>
      <c r="I1007" t="s">
        <v>65</v>
      </c>
      <c r="J1007">
        <v>16</v>
      </c>
      <c r="K1007">
        <v>4</v>
      </c>
      <c r="L1007">
        <v>9250000</v>
      </c>
      <c r="M1007">
        <v>10450000</v>
      </c>
      <c r="N1007" t="s">
        <v>134</v>
      </c>
      <c r="O1007">
        <v>29</v>
      </c>
      <c r="P1007">
        <v>4</v>
      </c>
      <c r="Q1007">
        <v>2</v>
      </c>
      <c r="R1007">
        <v>1</v>
      </c>
      <c r="S1007">
        <v>0</v>
      </c>
      <c r="T1007">
        <v>6</v>
      </c>
      <c r="U1007">
        <v>4</v>
      </c>
      <c r="V1007">
        <v>25</v>
      </c>
      <c r="W1007">
        <v>7</v>
      </c>
      <c r="X1007">
        <v>6</v>
      </c>
      <c r="Y1007">
        <v>25</v>
      </c>
      <c r="Z1007">
        <v>3</v>
      </c>
      <c r="AA1007">
        <v>4</v>
      </c>
      <c r="AB1007">
        <v>2</v>
      </c>
      <c r="AC1007">
        <v>0</v>
      </c>
      <c r="AD1007">
        <v>13</v>
      </c>
      <c r="AE1007">
        <v>18</v>
      </c>
      <c r="AF1007">
        <v>4</v>
      </c>
      <c r="AG1007">
        <v>8</v>
      </c>
      <c r="AH1007">
        <v>2</v>
      </c>
      <c r="AI1007">
        <v>1</v>
      </c>
    </row>
    <row r="1008" spans="1:35" hidden="1" x14ac:dyDescent="0.25">
      <c r="A1008">
        <v>2021</v>
      </c>
      <c r="B1008" s="1">
        <v>44458</v>
      </c>
      <c r="C1008">
        <v>21</v>
      </c>
      <c r="D1008">
        <v>0</v>
      </c>
      <c r="E1008">
        <v>31000</v>
      </c>
      <c r="F1008" t="s">
        <v>38</v>
      </c>
      <c r="G1008" t="s">
        <v>56</v>
      </c>
      <c r="H1008" t="s">
        <v>393</v>
      </c>
      <c r="I1008" t="s">
        <v>341</v>
      </c>
      <c r="J1008">
        <v>16</v>
      </c>
      <c r="K1008">
        <v>5</v>
      </c>
      <c r="L1008">
        <v>6450000</v>
      </c>
      <c r="M1008">
        <v>26000000</v>
      </c>
      <c r="N1008" t="s">
        <v>111</v>
      </c>
      <c r="O1008">
        <v>24</v>
      </c>
      <c r="P1008">
        <v>1</v>
      </c>
      <c r="Q1008">
        <v>1</v>
      </c>
      <c r="R1008">
        <v>0</v>
      </c>
      <c r="S1008">
        <v>0</v>
      </c>
      <c r="T1008">
        <v>4</v>
      </c>
      <c r="U1008">
        <v>2</v>
      </c>
      <c r="V1008">
        <v>16</v>
      </c>
      <c r="W1008">
        <v>13</v>
      </c>
      <c r="X1008">
        <v>13</v>
      </c>
      <c r="Y1008">
        <v>14</v>
      </c>
      <c r="Z1008">
        <v>4</v>
      </c>
      <c r="AA1008">
        <v>2</v>
      </c>
      <c r="AB1008">
        <v>0</v>
      </c>
      <c r="AC1008">
        <v>0</v>
      </c>
      <c r="AD1008">
        <v>13</v>
      </c>
      <c r="AE1008">
        <v>15</v>
      </c>
      <c r="AF1008">
        <v>6</v>
      </c>
      <c r="AG1008">
        <v>5</v>
      </c>
      <c r="AH1008">
        <v>0</v>
      </c>
      <c r="AI1008">
        <v>0</v>
      </c>
    </row>
    <row r="1009" spans="1:35" hidden="1" x14ac:dyDescent="0.25">
      <c r="A1009">
        <v>2021</v>
      </c>
      <c r="B1009" s="1">
        <v>44497</v>
      </c>
      <c r="C1009">
        <v>23</v>
      </c>
      <c r="D1009">
        <v>11507</v>
      </c>
      <c r="E1009">
        <v>55000</v>
      </c>
      <c r="F1009" t="s">
        <v>38</v>
      </c>
      <c r="G1009" t="s">
        <v>361</v>
      </c>
      <c r="H1009" t="s">
        <v>340</v>
      </c>
      <c r="I1009" t="s">
        <v>333</v>
      </c>
      <c r="J1009">
        <v>18</v>
      </c>
      <c r="K1009">
        <v>11</v>
      </c>
      <c r="L1009">
        <v>11530000</v>
      </c>
      <c r="M1009">
        <v>9330000</v>
      </c>
      <c r="N1009" t="s">
        <v>98</v>
      </c>
      <c r="O1009" t="s">
        <v>200</v>
      </c>
      <c r="P1009">
        <v>1</v>
      </c>
      <c r="Q1009">
        <v>1</v>
      </c>
      <c r="R1009">
        <v>0</v>
      </c>
      <c r="S1009">
        <v>0</v>
      </c>
      <c r="T1009">
        <v>8</v>
      </c>
      <c r="U1009">
        <v>5</v>
      </c>
      <c r="V1009">
        <v>19</v>
      </c>
      <c r="W1009">
        <v>13</v>
      </c>
      <c r="X1009">
        <v>13</v>
      </c>
      <c r="Y1009">
        <v>19</v>
      </c>
      <c r="Z1009">
        <v>3</v>
      </c>
      <c r="AA1009">
        <v>6</v>
      </c>
      <c r="AB1009">
        <v>0</v>
      </c>
      <c r="AC1009">
        <v>2</v>
      </c>
      <c r="AD1009">
        <v>13</v>
      </c>
      <c r="AE1009">
        <v>9</v>
      </c>
      <c r="AF1009">
        <v>4</v>
      </c>
      <c r="AG1009">
        <v>3</v>
      </c>
      <c r="AH1009">
        <v>0</v>
      </c>
      <c r="AI1009">
        <v>0</v>
      </c>
    </row>
    <row r="1010" spans="1:35" hidden="1" x14ac:dyDescent="0.25">
      <c r="A1010">
        <v>2021</v>
      </c>
      <c r="B1010" s="1">
        <v>44482</v>
      </c>
      <c r="C1010">
        <v>26</v>
      </c>
      <c r="D1010">
        <v>4509</v>
      </c>
      <c r="E1010">
        <v>55000</v>
      </c>
      <c r="F1010" t="s">
        <v>38</v>
      </c>
      <c r="G1010" t="s">
        <v>95</v>
      </c>
      <c r="H1010" t="s">
        <v>340</v>
      </c>
      <c r="I1010" t="s">
        <v>97</v>
      </c>
      <c r="J1010">
        <v>17</v>
      </c>
      <c r="K1010">
        <v>3</v>
      </c>
      <c r="L1010">
        <v>11450000</v>
      </c>
      <c r="M1010">
        <v>61350000</v>
      </c>
      <c r="N1010" t="s">
        <v>73</v>
      </c>
      <c r="O1010" t="s">
        <v>86</v>
      </c>
      <c r="P1010">
        <v>0</v>
      </c>
      <c r="Q1010">
        <v>0</v>
      </c>
      <c r="R1010">
        <v>0</v>
      </c>
      <c r="S1010">
        <v>0</v>
      </c>
      <c r="T1010">
        <v>14</v>
      </c>
      <c r="U1010">
        <v>5</v>
      </c>
      <c r="V1010">
        <v>22</v>
      </c>
      <c r="W1010">
        <v>13</v>
      </c>
      <c r="X1010">
        <v>13</v>
      </c>
      <c r="Y1010">
        <v>21</v>
      </c>
      <c r="Z1010">
        <v>2</v>
      </c>
      <c r="AA1010">
        <v>5</v>
      </c>
      <c r="AB1010">
        <v>3</v>
      </c>
      <c r="AC1010">
        <v>1</v>
      </c>
      <c r="AD1010">
        <v>17</v>
      </c>
      <c r="AE1010">
        <v>9</v>
      </c>
      <c r="AF1010">
        <v>5</v>
      </c>
      <c r="AG1010">
        <v>5</v>
      </c>
      <c r="AH1010">
        <v>0</v>
      </c>
      <c r="AI1010">
        <v>0</v>
      </c>
    </row>
    <row r="1011" spans="1:35" hidden="1" x14ac:dyDescent="0.25">
      <c r="A1011">
        <v>2021</v>
      </c>
      <c r="B1011" s="1">
        <v>44494</v>
      </c>
      <c r="C1011">
        <v>28</v>
      </c>
      <c r="D1011">
        <v>8058</v>
      </c>
      <c r="E1011">
        <v>55000</v>
      </c>
      <c r="F1011" t="s">
        <v>38</v>
      </c>
      <c r="G1011" t="s">
        <v>394</v>
      </c>
      <c r="H1011" t="s">
        <v>340</v>
      </c>
      <c r="I1011" t="s">
        <v>374</v>
      </c>
      <c r="J1011">
        <v>16</v>
      </c>
      <c r="K1011">
        <v>20</v>
      </c>
      <c r="L1011">
        <v>11550000</v>
      </c>
      <c r="M1011">
        <v>3630000</v>
      </c>
      <c r="N1011" t="s">
        <v>137</v>
      </c>
      <c r="O1011" t="s">
        <v>80</v>
      </c>
      <c r="P1011">
        <v>3</v>
      </c>
      <c r="Q1011">
        <v>0</v>
      </c>
      <c r="R1011">
        <v>2</v>
      </c>
      <c r="S1011">
        <v>0</v>
      </c>
      <c r="T1011">
        <v>4</v>
      </c>
      <c r="U1011">
        <v>9</v>
      </c>
      <c r="V1011">
        <v>6</v>
      </c>
      <c r="W1011">
        <v>11</v>
      </c>
      <c r="X1011">
        <v>11</v>
      </c>
      <c r="Y1011">
        <v>6</v>
      </c>
      <c r="Z1011">
        <v>1</v>
      </c>
      <c r="AA1011">
        <v>3</v>
      </c>
      <c r="AB1011">
        <v>0</v>
      </c>
      <c r="AC1011">
        <v>0</v>
      </c>
      <c r="AD1011">
        <v>15</v>
      </c>
      <c r="AE1011">
        <v>11</v>
      </c>
      <c r="AF1011">
        <v>5</v>
      </c>
      <c r="AG1011">
        <v>6</v>
      </c>
      <c r="AH1011">
        <v>3</v>
      </c>
      <c r="AI1011">
        <v>1</v>
      </c>
    </row>
    <row r="1012" spans="1:35" hidden="1" x14ac:dyDescent="0.25">
      <c r="A1012">
        <v>2021</v>
      </c>
      <c r="B1012" s="1">
        <v>44507</v>
      </c>
      <c r="C1012">
        <v>30</v>
      </c>
      <c r="D1012">
        <v>18178</v>
      </c>
      <c r="E1012">
        <v>55000</v>
      </c>
      <c r="F1012" t="s">
        <v>38</v>
      </c>
      <c r="G1012" t="s">
        <v>62</v>
      </c>
      <c r="H1012" t="s">
        <v>340</v>
      </c>
      <c r="I1012" t="s">
        <v>40</v>
      </c>
      <c r="J1012">
        <v>16</v>
      </c>
      <c r="K1012">
        <v>12</v>
      </c>
      <c r="L1012">
        <v>11450000</v>
      </c>
      <c r="M1012">
        <v>40100000</v>
      </c>
      <c r="N1012" t="s">
        <v>98</v>
      </c>
      <c r="O1012">
        <v>28</v>
      </c>
      <c r="P1012">
        <v>1</v>
      </c>
      <c r="Q1012">
        <v>0</v>
      </c>
      <c r="R1012">
        <v>0</v>
      </c>
      <c r="S1012">
        <v>0</v>
      </c>
      <c r="T1012">
        <v>11</v>
      </c>
      <c r="U1012">
        <v>6</v>
      </c>
      <c r="V1012">
        <v>11</v>
      </c>
      <c r="W1012">
        <v>18</v>
      </c>
      <c r="X1012">
        <v>16</v>
      </c>
      <c r="Y1012">
        <v>11</v>
      </c>
      <c r="Z1012">
        <v>3</v>
      </c>
      <c r="AA1012">
        <v>3</v>
      </c>
      <c r="AB1012">
        <v>4</v>
      </c>
      <c r="AC1012">
        <v>4</v>
      </c>
      <c r="AD1012">
        <v>15</v>
      </c>
      <c r="AE1012">
        <v>8</v>
      </c>
      <c r="AF1012">
        <v>4</v>
      </c>
      <c r="AG1012">
        <v>2</v>
      </c>
      <c r="AH1012">
        <v>1</v>
      </c>
      <c r="AI1012">
        <v>1</v>
      </c>
    </row>
    <row r="1013" spans="1:35" hidden="1" x14ac:dyDescent="0.25">
      <c r="A1013">
        <v>2021</v>
      </c>
      <c r="B1013" s="1">
        <v>44532</v>
      </c>
      <c r="C1013">
        <v>32</v>
      </c>
      <c r="D1013">
        <v>29228</v>
      </c>
      <c r="E1013">
        <v>55000</v>
      </c>
      <c r="F1013" t="s">
        <v>38</v>
      </c>
      <c r="G1013" t="s">
        <v>89</v>
      </c>
      <c r="H1013" t="s">
        <v>340</v>
      </c>
      <c r="I1013" t="s">
        <v>71</v>
      </c>
      <c r="J1013">
        <v>16</v>
      </c>
      <c r="K1013">
        <v>1</v>
      </c>
      <c r="L1013">
        <v>11350000</v>
      </c>
      <c r="M1013">
        <v>49200000</v>
      </c>
      <c r="N1013">
        <v>29</v>
      </c>
      <c r="O1013">
        <v>30</v>
      </c>
      <c r="P1013">
        <v>2</v>
      </c>
      <c r="Q1013">
        <v>3</v>
      </c>
      <c r="R1013">
        <v>0</v>
      </c>
      <c r="S1013">
        <v>0</v>
      </c>
      <c r="T1013">
        <v>4</v>
      </c>
      <c r="U1013">
        <v>6</v>
      </c>
      <c r="V1013">
        <v>13</v>
      </c>
      <c r="W1013">
        <v>12</v>
      </c>
      <c r="X1013">
        <v>12</v>
      </c>
      <c r="Y1013">
        <v>13</v>
      </c>
      <c r="Z1013">
        <v>6</v>
      </c>
      <c r="AA1013">
        <v>1</v>
      </c>
      <c r="AB1013">
        <v>1</v>
      </c>
      <c r="AC1013">
        <v>1</v>
      </c>
      <c r="AD1013">
        <v>13</v>
      </c>
      <c r="AE1013">
        <v>19</v>
      </c>
      <c r="AF1013">
        <v>5</v>
      </c>
      <c r="AG1013">
        <v>3</v>
      </c>
      <c r="AH1013">
        <v>-1</v>
      </c>
      <c r="AI1013">
        <v>0</v>
      </c>
    </row>
    <row r="1014" spans="1:35" hidden="1" x14ac:dyDescent="0.25">
      <c r="A1014">
        <v>2021</v>
      </c>
      <c r="B1014" s="1">
        <v>44521</v>
      </c>
      <c r="C1014">
        <v>34</v>
      </c>
      <c r="D1014">
        <v>19790</v>
      </c>
      <c r="E1014">
        <v>55000</v>
      </c>
      <c r="F1014" t="s">
        <v>38</v>
      </c>
      <c r="G1014" t="s">
        <v>70</v>
      </c>
      <c r="J1014">
        <v>17</v>
      </c>
      <c r="K1014">
        <v>12</v>
      </c>
      <c r="L1014">
        <v>10850000</v>
      </c>
      <c r="M1014">
        <v>6800000</v>
      </c>
      <c r="N1014" t="s">
        <v>107</v>
      </c>
      <c r="O1014" t="s">
        <v>137</v>
      </c>
      <c r="P1014">
        <v>0</v>
      </c>
      <c r="Q1014">
        <v>0</v>
      </c>
      <c r="R1014">
        <v>0</v>
      </c>
      <c r="S1014">
        <v>0</v>
      </c>
      <c r="T1014">
        <v>8</v>
      </c>
      <c r="U1014">
        <v>4</v>
      </c>
      <c r="V1014">
        <v>12</v>
      </c>
      <c r="W1014">
        <v>9</v>
      </c>
      <c r="X1014">
        <v>9</v>
      </c>
      <c r="Y1014">
        <v>12</v>
      </c>
      <c r="Z1014">
        <v>0</v>
      </c>
      <c r="AA1014">
        <v>3</v>
      </c>
      <c r="AB1014">
        <v>0</v>
      </c>
      <c r="AC1014">
        <v>4</v>
      </c>
      <c r="AD1014">
        <v>19</v>
      </c>
      <c r="AE1014">
        <v>8</v>
      </c>
      <c r="AF1014">
        <v>12</v>
      </c>
      <c r="AG1014">
        <v>5</v>
      </c>
      <c r="AH1014">
        <v>0</v>
      </c>
      <c r="AI1014">
        <v>0</v>
      </c>
    </row>
    <row r="1015" spans="1:35" hidden="1" x14ac:dyDescent="0.25">
      <c r="A1015">
        <v>2021</v>
      </c>
      <c r="B1015" s="1">
        <v>44526</v>
      </c>
      <c r="C1015">
        <v>36</v>
      </c>
      <c r="D1015">
        <v>30671</v>
      </c>
      <c r="E1015">
        <v>55000</v>
      </c>
      <c r="F1015" t="s">
        <v>38</v>
      </c>
      <c r="G1015" t="s">
        <v>83</v>
      </c>
      <c r="H1015" t="s">
        <v>340</v>
      </c>
      <c r="I1015" t="s">
        <v>312</v>
      </c>
      <c r="J1015">
        <v>18</v>
      </c>
      <c r="K1015">
        <v>17</v>
      </c>
      <c r="L1015">
        <v>10750000</v>
      </c>
      <c r="M1015">
        <v>39400000</v>
      </c>
      <c r="N1015" t="s">
        <v>66</v>
      </c>
      <c r="O1015" t="s">
        <v>41</v>
      </c>
      <c r="P1015">
        <v>3</v>
      </c>
      <c r="Q1015">
        <v>1</v>
      </c>
      <c r="R1015">
        <v>2</v>
      </c>
      <c r="S1015">
        <v>0</v>
      </c>
      <c r="T1015">
        <v>3</v>
      </c>
      <c r="U1015">
        <v>9</v>
      </c>
      <c r="V1015">
        <v>15</v>
      </c>
      <c r="W1015">
        <v>15</v>
      </c>
      <c r="X1015">
        <v>14</v>
      </c>
      <c r="Y1015">
        <v>15</v>
      </c>
      <c r="Z1015">
        <v>2</v>
      </c>
      <c r="AA1015">
        <v>3</v>
      </c>
      <c r="AB1015">
        <v>1</v>
      </c>
      <c r="AC1015">
        <v>0</v>
      </c>
      <c r="AD1015">
        <v>13</v>
      </c>
      <c r="AE1015">
        <v>11</v>
      </c>
      <c r="AF1015">
        <v>5</v>
      </c>
      <c r="AG1015">
        <v>4</v>
      </c>
      <c r="AH1015">
        <v>2</v>
      </c>
      <c r="AI1015">
        <v>1</v>
      </c>
    </row>
    <row r="1016" spans="1:35" hidden="1" x14ac:dyDescent="0.25">
      <c r="A1016">
        <v>2021</v>
      </c>
      <c r="B1016" s="1">
        <v>44535</v>
      </c>
      <c r="C1016">
        <v>37</v>
      </c>
      <c r="D1016">
        <v>26048</v>
      </c>
      <c r="E1016">
        <v>55000</v>
      </c>
      <c r="F1016" t="s">
        <v>38</v>
      </c>
      <c r="G1016" t="s">
        <v>55</v>
      </c>
      <c r="H1016" t="s">
        <v>340</v>
      </c>
      <c r="I1016" t="s">
        <v>223</v>
      </c>
      <c r="J1016">
        <v>17</v>
      </c>
      <c r="K1016">
        <v>7</v>
      </c>
      <c r="L1016">
        <v>11350000</v>
      </c>
      <c r="M1016">
        <v>13100000</v>
      </c>
      <c r="N1016" t="s">
        <v>137</v>
      </c>
      <c r="O1016" t="s">
        <v>107</v>
      </c>
      <c r="P1016">
        <v>2</v>
      </c>
      <c r="Q1016">
        <v>0</v>
      </c>
      <c r="R1016">
        <v>2</v>
      </c>
      <c r="S1016">
        <v>0</v>
      </c>
      <c r="T1016">
        <v>11</v>
      </c>
      <c r="U1016">
        <v>3</v>
      </c>
      <c r="V1016">
        <v>13</v>
      </c>
      <c r="W1016">
        <v>20</v>
      </c>
      <c r="X1016">
        <v>18</v>
      </c>
      <c r="Y1016">
        <v>12</v>
      </c>
      <c r="Z1016">
        <v>1</v>
      </c>
      <c r="AA1016">
        <v>4</v>
      </c>
      <c r="AB1016">
        <v>0</v>
      </c>
      <c r="AC1016">
        <v>1</v>
      </c>
      <c r="AD1016">
        <v>14</v>
      </c>
      <c r="AE1016">
        <v>9</v>
      </c>
      <c r="AF1016">
        <v>5</v>
      </c>
      <c r="AG1016">
        <v>5</v>
      </c>
      <c r="AH1016">
        <v>2</v>
      </c>
      <c r="AI1016">
        <v>1</v>
      </c>
    </row>
    <row r="1017" spans="1:35" hidden="1" x14ac:dyDescent="0.25">
      <c r="A1017">
        <v>2021</v>
      </c>
      <c r="B1017" s="1">
        <v>44346</v>
      </c>
      <c r="C1017">
        <v>1</v>
      </c>
      <c r="D1017">
        <v>0</v>
      </c>
      <c r="E1017">
        <v>78838</v>
      </c>
      <c r="F1017" t="s">
        <v>77</v>
      </c>
      <c r="G1017" t="s">
        <v>95</v>
      </c>
      <c r="H1017" t="s">
        <v>40</v>
      </c>
      <c r="I1017" t="s">
        <v>97</v>
      </c>
      <c r="J1017">
        <v>7</v>
      </c>
      <c r="K1017">
        <v>18</v>
      </c>
      <c r="L1017">
        <v>81250000</v>
      </c>
      <c r="M1017">
        <v>61600000</v>
      </c>
      <c r="N1017" t="s">
        <v>142</v>
      </c>
      <c r="O1017" t="s">
        <v>135</v>
      </c>
      <c r="P1017">
        <v>1</v>
      </c>
      <c r="Q1017">
        <v>0</v>
      </c>
      <c r="R1017">
        <v>0</v>
      </c>
      <c r="S1017">
        <v>0</v>
      </c>
      <c r="T1017">
        <v>3</v>
      </c>
      <c r="U1017">
        <v>4</v>
      </c>
      <c r="V1017">
        <v>25</v>
      </c>
      <c r="W1017">
        <v>21</v>
      </c>
      <c r="X1017">
        <v>21</v>
      </c>
      <c r="Y1017">
        <v>25</v>
      </c>
      <c r="Z1017">
        <v>4</v>
      </c>
      <c r="AA1017">
        <v>8</v>
      </c>
      <c r="AB1017">
        <v>0</v>
      </c>
      <c r="AC1017">
        <v>3</v>
      </c>
      <c r="AD1017">
        <v>14</v>
      </c>
      <c r="AE1017">
        <v>12</v>
      </c>
      <c r="AF1017">
        <v>3</v>
      </c>
      <c r="AG1017">
        <v>6</v>
      </c>
      <c r="AH1017">
        <v>1</v>
      </c>
      <c r="AI1017">
        <v>1</v>
      </c>
    </row>
    <row r="1018" spans="1:35" hidden="1" x14ac:dyDescent="0.25">
      <c r="A1018">
        <v>2021</v>
      </c>
      <c r="B1018" s="1">
        <v>44360</v>
      </c>
      <c r="C1018">
        <v>3</v>
      </c>
      <c r="D1018">
        <v>0</v>
      </c>
      <c r="E1018">
        <v>78838</v>
      </c>
      <c r="F1018" t="s">
        <v>77</v>
      </c>
      <c r="G1018" t="s">
        <v>310</v>
      </c>
      <c r="H1018" t="s">
        <v>40</v>
      </c>
      <c r="I1018" t="s">
        <v>362</v>
      </c>
      <c r="J1018">
        <v>6</v>
      </c>
      <c r="K1018">
        <v>19</v>
      </c>
      <c r="L1018">
        <v>51200000</v>
      </c>
      <c r="M1018">
        <v>5130000</v>
      </c>
      <c r="N1018" t="s">
        <v>129</v>
      </c>
      <c r="O1018">
        <v>29</v>
      </c>
      <c r="P1018">
        <v>2</v>
      </c>
      <c r="Q1018">
        <v>0</v>
      </c>
      <c r="R1018">
        <v>1</v>
      </c>
      <c r="S1018">
        <v>0</v>
      </c>
      <c r="T1018">
        <v>4</v>
      </c>
      <c r="U1018">
        <v>2</v>
      </c>
      <c r="V1018">
        <v>17</v>
      </c>
      <c r="W1018">
        <v>18</v>
      </c>
      <c r="X1018">
        <v>17</v>
      </c>
      <c r="Y1018">
        <v>16</v>
      </c>
      <c r="Z1018">
        <v>1</v>
      </c>
      <c r="AA1018">
        <v>4</v>
      </c>
      <c r="AB1018">
        <v>3</v>
      </c>
      <c r="AC1018">
        <v>1</v>
      </c>
      <c r="AD1018">
        <v>20</v>
      </c>
      <c r="AE1018">
        <v>9</v>
      </c>
      <c r="AF1018">
        <v>8</v>
      </c>
      <c r="AG1018">
        <v>5</v>
      </c>
      <c r="AH1018">
        <v>2</v>
      </c>
      <c r="AI1018">
        <v>1</v>
      </c>
    </row>
    <row r="1019" spans="1:35" hidden="1" x14ac:dyDescent="0.25">
      <c r="A1019">
        <v>2021</v>
      </c>
      <c r="B1019" s="1">
        <v>44367</v>
      </c>
      <c r="C1019">
        <v>5</v>
      </c>
      <c r="D1019">
        <v>0</v>
      </c>
      <c r="E1019">
        <v>78838</v>
      </c>
      <c r="F1019" t="s">
        <v>77</v>
      </c>
      <c r="G1019" t="s">
        <v>56</v>
      </c>
      <c r="H1019" t="s">
        <v>40</v>
      </c>
      <c r="I1019" t="s">
        <v>341</v>
      </c>
      <c r="J1019">
        <v>5</v>
      </c>
      <c r="K1019">
        <v>4</v>
      </c>
      <c r="L1019">
        <v>51200000</v>
      </c>
      <c r="M1019">
        <v>26400000</v>
      </c>
      <c r="N1019" t="s">
        <v>129</v>
      </c>
      <c r="O1019" t="s">
        <v>176</v>
      </c>
      <c r="P1019">
        <v>2</v>
      </c>
      <c r="Q1019">
        <v>3</v>
      </c>
      <c r="R1019">
        <v>1</v>
      </c>
      <c r="S1019">
        <v>1</v>
      </c>
      <c r="T1019">
        <v>14</v>
      </c>
      <c r="U1019">
        <v>2</v>
      </c>
      <c r="V1019">
        <v>15</v>
      </c>
      <c r="W1019">
        <v>13</v>
      </c>
      <c r="X1019">
        <v>13</v>
      </c>
      <c r="Y1019">
        <v>14</v>
      </c>
      <c r="Z1019">
        <v>1</v>
      </c>
      <c r="AA1019">
        <v>7</v>
      </c>
      <c r="AB1019">
        <v>0</v>
      </c>
      <c r="AC1019">
        <v>2</v>
      </c>
      <c r="AD1019">
        <v>20</v>
      </c>
      <c r="AE1019">
        <v>9</v>
      </c>
      <c r="AF1019">
        <v>6</v>
      </c>
      <c r="AG1019">
        <v>3</v>
      </c>
      <c r="AH1019">
        <v>-1</v>
      </c>
      <c r="AI1019">
        <v>0</v>
      </c>
    </row>
    <row r="1020" spans="1:35" hidden="1" x14ac:dyDescent="0.25">
      <c r="A1020">
        <v>2021</v>
      </c>
      <c r="B1020" s="1">
        <v>44371</v>
      </c>
      <c r="C1020">
        <v>6</v>
      </c>
      <c r="D1020">
        <v>0</v>
      </c>
      <c r="E1020">
        <v>78838</v>
      </c>
      <c r="F1020" t="s">
        <v>77</v>
      </c>
      <c r="G1020" t="s">
        <v>63</v>
      </c>
      <c r="H1020" t="s">
        <v>40</v>
      </c>
      <c r="I1020" t="s">
        <v>65</v>
      </c>
      <c r="J1020">
        <v>8</v>
      </c>
      <c r="K1020">
        <v>2</v>
      </c>
      <c r="L1020">
        <v>62200000</v>
      </c>
      <c r="M1020">
        <v>11200000</v>
      </c>
      <c r="N1020" t="s">
        <v>86</v>
      </c>
      <c r="O1020" t="s">
        <v>129</v>
      </c>
      <c r="P1020">
        <v>2</v>
      </c>
      <c r="Q1020">
        <v>1</v>
      </c>
      <c r="R1020">
        <v>2</v>
      </c>
      <c r="S1020">
        <v>0</v>
      </c>
      <c r="T1020">
        <v>11</v>
      </c>
      <c r="U1020">
        <v>2</v>
      </c>
      <c r="V1020">
        <v>18</v>
      </c>
      <c r="W1020">
        <v>15</v>
      </c>
      <c r="X1020">
        <v>15</v>
      </c>
      <c r="Y1020">
        <v>18</v>
      </c>
      <c r="Z1020">
        <v>4</v>
      </c>
      <c r="AA1020">
        <v>4</v>
      </c>
      <c r="AB1020">
        <v>1</v>
      </c>
      <c r="AC1020">
        <v>2</v>
      </c>
      <c r="AD1020">
        <v>19</v>
      </c>
      <c r="AE1020">
        <v>10</v>
      </c>
      <c r="AF1020">
        <v>8</v>
      </c>
      <c r="AG1020">
        <v>3</v>
      </c>
      <c r="AH1020">
        <v>1</v>
      </c>
      <c r="AI1020">
        <v>1</v>
      </c>
    </row>
    <row r="1021" spans="1:35" hidden="1" x14ac:dyDescent="0.25">
      <c r="A1021">
        <v>2021</v>
      </c>
      <c r="B1021" s="1">
        <v>44381</v>
      </c>
      <c r="C1021">
        <v>9</v>
      </c>
      <c r="D1021">
        <v>0</v>
      </c>
      <c r="E1021">
        <v>49208</v>
      </c>
      <c r="F1021" t="s">
        <v>77</v>
      </c>
      <c r="G1021" t="s">
        <v>55</v>
      </c>
      <c r="H1021" t="s">
        <v>40</v>
      </c>
      <c r="I1021" t="s">
        <v>46</v>
      </c>
      <c r="J1021">
        <v>5</v>
      </c>
      <c r="K1021">
        <v>13</v>
      </c>
      <c r="L1021">
        <v>47000000</v>
      </c>
      <c r="M1021">
        <v>17700000</v>
      </c>
      <c r="N1021" t="s">
        <v>135</v>
      </c>
      <c r="O1021" t="s">
        <v>120</v>
      </c>
      <c r="P1021">
        <v>0</v>
      </c>
      <c r="Q1021">
        <v>1</v>
      </c>
      <c r="R1021">
        <v>0</v>
      </c>
      <c r="S1021">
        <v>0</v>
      </c>
      <c r="T1021">
        <v>6</v>
      </c>
      <c r="U1021">
        <v>5</v>
      </c>
      <c r="V1021">
        <v>11</v>
      </c>
      <c r="W1021">
        <v>15</v>
      </c>
      <c r="X1021">
        <v>15</v>
      </c>
      <c r="Y1021">
        <v>10</v>
      </c>
      <c r="Z1021">
        <v>4</v>
      </c>
      <c r="AA1021">
        <v>4</v>
      </c>
      <c r="AB1021">
        <v>0</v>
      </c>
      <c r="AC1021">
        <v>2</v>
      </c>
      <c r="AD1021">
        <v>21</v>
      </c>
      <c r="AE1021">
        <v>11</v>
      </c>
      <c r="AF1021">
        <v>9</v>
      </c>
      <c r="AG1021">
        <v>3</v>
      </c>
      <c r="AH1021">
        <v>-1</v>
      </c>
      <c r="AI1021">
        <v>0</v>
      </c>
    </row>
    <row r="1022" spans="1:35" hidden="1" x14ac:dyDescent="0.25">
      <c r="A1022">
        <v>2021</v>
      </c>
      <c r="B1022" s="1">
        <v>44388</v>
      </c>
      <c r="C1022">
        <v>11</v>
      </c>
      <c r="D1022">
        <v>0</v>
      </c>
      <c r="E1022">
        <v>78838</v>
      </c>
      <c r="F1022" t="s">
        <v>77</v>
      </c>
      <c r="G1022" t="s">
        <v>394</v>
      </c>
      <c r="H1022" t="s">
        <v>400</v>
      </c>
      <c r="I1022" t="s">
        <v>78</v>
      </c>
      <c r="J1022">
        <v>8</v>
      </c>
      <c r="K1022">
        <v>20</v>
      </c>
      <c r="L1022">
        <v>60550000</v>
      </c>
      <c r="M1022">
        <v>3980000</v>
      </c>
      <c r="N1022" t="s">
        <v>100</v>
      </c>
      <c r="O1022">
        <v>26</v>
      </c>
      <c r="P1022">
        <v>2</v>
      </c>
      <c r="Q1022">
        <v>1</v>
      </c>
      <c r="R1022">
        <v>0</v>
      </c>
      <c r="S1022">
        <v>0</v>
      </c>
      <c r="T1022">
        <v>11</v>
      </c>
      <c r="U1022">
        <v>1</v>
      </c>
      <c r="V1022">
        <v>19</v>
      </c>
      <c r="W1022">
        <v>16</v>
      </c>
      <c r="X1022">
        <v>15</v>
      </c>
      <c r="Y1022">
        <v>18</v>
      </c>
      <c r="Z1022">
        <v>3</v>
      </c>
      <c r="AA1022">
        <v>5</v>
      </c>
      <c r="AB1022">
        <v>0</v>
      </c>
      <c r="AC1022">
        <v>2</v>
      </c>
      <c r="AD1022">
        <v>24</v>
      </c>
      <c r="AE1022">
        <v>13</v>
      </c>
      <c r="AF1022">
        <v>9</v>
      </c>
      <c r="AG1022">
        <v>6</v>
      </c>
      <c r="AH1022">
        <v>1</v>
      </c>
      <c r="AI1022">
        <v>1</v>
      </c>
    </row>
    <row r="1023" spans="1:35" hidden="1" x14ac:dyDescent="0.25">
      <c r="A1023">
        <v>2021</v>
      </c>
      <c r="B1023" s="1">
        <v>44402</v>
      </c>
      <c r="C1023">
        <v>13</v>
      </c>
      <c r="D1023">
        <v>0</v>
      </c>
      <c r="E1023">
        <v>78838</v>
      </c>
      <c r="F1023" t="s">
        <v>77</v>
      </c>
      <c r="G1023" t="s">
        <v>62</v>
      </c>
      <c r="H1023" t="s">
        <v>319</v>
      </c>
      <c r="I1023" t="s">
        <v>390</v>
      </c>
      <c r="J1023">
        <v>6</v>
      </c>
      <c r="K1023">
        <v>16</v>
      </c>
      <c r="L1023">
        <v>75800000</v>
      </c>
      <c r="M1023">
        <v>27550000</v>
      </c>
      <c r="N1023">
        <v>30</v>
      </c>
      <c r="O1023" t="s">
        <v>252</v>
      </c>
      <c r="P1023">
        <v>5</v>
      </c>
      <c r="Q1023">
        <v>1</v>
      </c>
      <c r="R1023">
        <v>0</v>
      </c>
      <c r="S1023">
        <v>0</v>
      </c>
      <c r="T1023">
        <v>7</v>
      </c>
      <c r="U1023">
        <v>4</v>
      </c>
      <c r="V1023">
        <v>23</v>
      </c>
      <c r="W1023">
        <v>16</v>
      </c>
      <c r="X1023">
        <v>16</v>
      </c>
      <c r="Y1023">
        <v>21</v>
      </c>
      <c r="Z1023">
        <v>5</v>
      </c>
      <c r="AA1023">
        <v>4</v>
      </c>
      <c r="AB1023">
        <v>2</v>
      </c>
      <c r="AC1023">
        <v>4</v>
      </c>
      <c r="AD1023">
        <v>12</v>
      </c>
      <c r="AE1023">
        <v>18</v>
      </c>
      <c r="AF1023">
        <v>4</v>
      </c>
      <c r="AG1023">
        <v>7</v>
      </c>
      <c r="AH1023">
        <v>4</v>
      </c>
      <c r="AI1023">
        <v>1</v>
      </c>
    </row>
    <row r="1024" spans="1:35" hidden="1" x14ac:dyDescent="0.25">
      <c r="A1024">
        <v>2021</v>
      </c>
      <c r="B1024" s="1">
        <v>44416</v>
      </c>
      <c r="C1024">
        <v>15</v>
      </c>
      <c r="D1024">
        <v>0</v>
      </c>
      <c r="E1024">
        <v>78838</v>
      </c>
      <c r="F1024" t="s">
        <v>77</v>
      </c>
      <c r="G1024" t="s">
        <v>37</v>
      </c>
      <c r="H1024" t="s">
        <v>319</v>
      </c>
      <c r="I1024" t="s">
        <v>342</v>
      </c>
      <c r="J1024">
        <v>5</v>
      </c>
      <c r="K1024">
        <v>14</v>
      </c>
      <c r="L1024">
        <v>72350000</v>
      </c>
      <c r="M1024">
        <v>34450000</v>
      </c>
      <c r="N1024" t="s">
        <v>197</v>
      </c>
      <c r="O1024" t="s">
        <v>73</v>
      </c>
      <c r="P1024">
        <v>0</v>
      </c>
      <c r="Q1024">
        <v>4</v>
      </c>
      <c r="R1024">
        <v>0</v>
      </c>
      <c r="S1024">
        <v>2</v>
      </c>
      <c r="T1024">
        <v>7</v>
      </c>
      <c r="U1024">
        <v>2</v>
      </c>
      <c r="V1024">
        <v>9</v>
      </c>
      <c r="W1024">
        <v>15</v>
      </c>
      <c r="X1024">
        <v>15</v>
      </c>
      <c r="Y1024">
        <v>9</v>
      </c>
      <c r="Z1024">
        <v>1</v>
      </c>
      <c r="AA1024">
        <v>7</v>
      </c>
      <c r="AB1024">
        <v>1</v>
      </c>
      <c r="AC1024">
        <v>0</v>
      </c>
      <c r="AD1024">
        <v>11</v>
      </c>
      <c r="AE1024">
        <v>9</v>
      </c>
      <c r="AF1024">
        <v>4</v>
      </c>
      <c r="AG1024">
        <v>3</v>
      </c>
      <c r="AH1024">
        <v>-4</v>
      </c>
      <c r="AI1024">
        <v>0</v>
      </c>
    </row>
    <row r="1025" spans="1:35" hidden="1" x14ac:dyDescent="0.25">
      <c r="A1025">
        <v>2021</v>
      </c>
      <c r="B1025" s="1">
        <v>44423</v>
      </c>
      <c r="C1025">
        <v>16</v>
      </c>
      <c r="D1025">
        <v>0</v>
      </c>
      <c r="E1025">
        <v>5000</v>
      </c>
      <c r="F1025" t="s">
        <v>77</v>
      </c>
      <c r="G1025" t="s">
        <v>391</v>
      </c>
      <c r="H1025" t="s">
        <v>319</v>
      </c>
      <c r="I1025" t="s">
        <v>238</v>
      </c>
      <c r="J1025">
        <v>5</v>
      </c>
      <c r="K1025">
        <v>15</v>
      </c>
      <c r="L1025">
        <v>66950000</v>
      </c>
      <c r="M1025">
        <v>5380000</v>
      </c>
      <c r="N1025" t="s">
        <v>235</v>
      </c>
      <c r="O1025" t="s">
        <v>80</v>
      </c>
      <c r="P1025">
        <v>2</v>
      </c>
      <c r="Q1025">
        <v>0</v>
      </c>
      <c r="R1025">
        <v>1</v>
      </c>
      <c r="S1025">
        <v>0</v>
      </c>
      <c r="T1025">
        <v>6</v>
      </c>
      <c r="U1025">
        <v>2</v>
      </c>
      <c r="V1025">
        <v>14</v>
      </c>
      <c r="W1025">
        <v>11</v>
      </c>
      <c r="X1025">
        <v>9</v>
      </c>
      <c r="Y1025">
        <v>11</v>
      </c>
      <c r="Z1025">
        <v>3</v>
      </c>
      <c r="AA1025">
        <v>8</v>
      </c>
      <c r="AB1025">
        <v>2</v>
      </c>
      <c r="AC1025">
        <v>0</v>
      </c>
      <c r="AD1025">
        <v>17</v>
      </c>
      <c r="AE1025">
        <v>4</v>
      </c>
      <c r="AF1025">
        <v>7</v>
      </c>
      <c r="AG1025">
        <v>1</v>
      </c>
      <c r="AH1025">
        <v>2</v>
      </c>
      <c r="AI1025">
        <v>1</v>
      </c>
    </row>
    <row r="1026" spans="1:35" hidden="1" x14ac:dyDescent="0.25">
      <c r="A1026">
        <v>2021</v>
      </c>
      <c r="B1026" s="1">
        <v>44506</v>
      </c>
      <c r="C1026">
        <v>19</v>
      </c>
      <c r="D1026">
        <v>17717</v>
      </c>
      <c r="E1026">
        <v>78838</v>
      </c>
      <c r="F1026" t="s">
        <v>77</v>
      </c>
      <c r="G1026" t="s">
        <v>76</v>
      </c>
      <c r="H1026" t="s">
        <v>319</v>
      </c>
      <c r="I1026" t="s">
        <v>375</v>
      </c>
      <c r="J1026">
        <v>3</v>
      </c>
      <c r="K1026">
        <v>7</v>
      </c>
      <c r="L1026">
        <v>68250000</v>
      </c>
      <c r="M1026">
        <v>8380000</v>
      </c>
      <c r="N1026" t="s">
        <v>174</v>
      </c>
      <c r="O1026" t="s">
        <v>114</v>
      </c>
      <c r="P1026">
        <v>2</v>
      </c>
      <c r="Q1026">
        <v>0</v>
      </c>
      <c r="R1026">
        <v>1</v>
      </c>
      <c r="S1026">
        <v>0</v>
      </c>
      <c r="T1026">
        <v>9</v>
      </c>
      <c r="U1026">
        <v>7</v>
      </c>
      <c r="V1026">
        <v>10</v>
      </c>
      <c r="W1026">
        <v>15</v>
      </c>
      <c r="X1026">
        <v>15</v>
      </c>
      <c r="Y1026">
        <v>9</v>
      </c>
      <c r="Z1026">
        <v>2</v>
      </c>
      <c r="AA1026">
        <v>5</v>
      </c>
      <c r="AB1026">
        <v>4</v>
      </c>
      <c r="AC1026">
        <v>2</v>
      </c>
      <c r="AD1026">
        <v>23</v>
      </c>
      <c r="AE1026">
        <v>10</v>
      </c>
      <c r="AF1026">
        <v>8</v>
      </c>
      <c r="AG1026">
        <v>4</v>
      </c>
      <c r="AH1026">
        <v>2</v>
      </c>
      <c r="AI1026">
        <v>1</v>
      </c>
    </row>
    <row r="1027" spans="1:35" hidden="1" x14ac:dyDescent="0.25">
      <c r="A1027">
        <v>2021</v>
      </c>
      <c r="B1027" s="1">
        <v>44459</v>
      </c>
      <c r="C1027">
        <v>21</v>
      </c>
      <c r="D1027">
        <v>6446</v>
      </c>
      <c r="E1027">
        <v>78838</v>
      </c>
      <c r="F1027" t="s">
        <v>77</v>
      </c>
      <c r="G1027" t="s">
        <v>83</v>
      </c>
      <c r="H1027" t="s">
        <v>319</v>
      </c>
      <c r="I1027" t="s">
        <v>336</v>
      </c>
      <c r="J1027">
        <v>2</v>
      </c>
      <c r="K1027">
        <v>18</v>
      </c>
      <c r="L1027">
        <v>67450000</v>
      </c>
      <c r="M1027">
        <v>40800000</v>
      </c>
      <c r="N1027">
        <v>29</v>
      </c>
      <c r="O1027" t="s">
        <v>149</v>
      </c>
      <c r="P1027">
        <v>0</v>
      </c>
      <c r="Q1027">
        <v>1</v>
      </c>
      <c r="R1027">
        <v>0</v>
      </c>
      <c r="S1027">
        <v>1</v>
      </c>
      <c r="T1027">
        <v>2</v>
      </c>
      <c r="U1027">
        <v>4</v>
      </c>
      <c r="V1027">
        <v>16</v>
      </c>
      <c r="W1027">
        <v>17</v>
      </c>
      <c r="X1027">
        <v>17</v>
      </c>
      <c r="Y1027">
        <v>14</v>
      </c>
      <c r="Z1027">
        <v>4</v>
      </c>
      <c r="AA1027">
        <v>1</v>
      </c>
      <c r="AB1027">
        <v>2</v>
      </c>
      <c r="AC1027">
        <v>0</v>
      </c>
      <c r="AD1027">
        <v>9</v>
      </c>
      <c r="AE1027">
        <v>11</v>
      </c>
      <c r="AF1027">
        <v>6</v>
      </c>
      <c r="AG1027">
        <v>5</v>
      </c>
      <c r="AH1027">
        <v>-1</v>
      </c>
      <c r="AI1027">
        <v>0</v>
      </c>
    </row>
    <row r="1028" spans="1:35" hidden="1" x14ac:dyDescent="0.25">
      <c r="A1028">
        <v>2021</v>
      </c>
      <c r="B1028" s="1">
        <v>44472</v>
      </c>
      <c r="C1028">
        <v>23</v>
      </c>
      <c r="D1028">
        <v>8843</v>
      </c>
      <c r="E1028">
        <v>78838</v>
      </c>
      <c r="F1028" t="s">
        <v>77</v>
      </c>
      <c r="G1028" t="s">
        <v>69</v>
      </c>
      <c r="H1028" t="s">
        <v>319</v>
      </c>
      <c r="I1028" t="s">
        <v>90</v>
      </c>
      <c r="J1028">
        <v>3</v>
      </c>
      <c r="K1028">
        <v>9</v>
      </c>
      <c r="L1028">
        <v>82950000</v>
      </c>
      <c r="M1028">
        <v>22350000</v>
      </c>
      <c r="N1028" t="s">
        <v>193</v>
      </c>
      <c r="O1028" t="s">
        <v>176</v>
      </c>
      <c r="P1028">
        <v>3</v>
      </c>
      <c r="Q1028">
        <v>0</v>
      </c>
      <c r="R1028">
        <v>3</v>
      </c>
      <c r="S1028">
        <v>0</v>
      </c>
      <c r="T1028">
        <v>2</v>
      </c>
      <c r="U1028">
        <v>3</v>
      </c>
      <c r="V1028">
        <v>13</v>
      </c>
      <c r="W1028">
        <v>14</v>
      </c>
      <c r="X1028">
        <v>14</v>
      </c>
      <c r="Y1028">
        <v>13</v>
      </c>
      <c r="Z1028">
        <v>2</v>
      </c>
      <c r="AA1028">
        <v>1</v>
      </c>
      <c r="AB1028">
        <v>1</v>
      </c>
      <c r="AC1028">
        <v>2</v>
      </c>
      <c r="AD1028">
        <v>11</v>
      </c>
      <c r="AE1028">
        <v>9</v>
      </c>
      <c r="AF1028">
        <v>6</v>
      </c>
      <c r="AG1028">
        <v>3</v>
      </c>
      <c r="AH1028">
        <v>3</v>
      </c>
      <c r="AI1028">
        <v>1</v>
      </c>
    </row>
    <row r="1029" spans="1:35" hidden="1" x14ac:dyDescent="0.25">
      <c r="A1029">
        <v>2021</v>
      </c>
      <c r="B1029" s="1">
        <v>44483</v>
      </c>
      <c r="C1029">
        <v>26</v>
      </c>
      <c r="D1029">
        <v>7282</v>
      </c>
      <c r="E1029">
        <v>78838</v>
      </c>
      <c r="F1029" t="s">
        <v>77</v>
      </c>
      <c r="G1029" t="s">
        <v>44</v>
      </c>
      <c r="H1029" t="s">
        <v>319</v>
      </c>
      <c r="I1029" t="s">
        <v>368</v>
      </c>
      <c r="J1029">
        <v>2</v>
      </c>
      <c r="K1029">
        <v>16</v>
      </c>
      <c r="L1029">
        <v>59500000</v>
      </c>
      <c r="M1029">
        <v>6200000</v>
      </c>
      <c r="N1029" t="s">
        <v>41</v>
      </c>
      <c r="O1029">
        <v>29</v>
      </c>
      <c r="P1029">
        <v>3</v>
      </c>
      <c r="Q1029">
        <v>1</v>
      </c>
      <c r="R1029">
        <v>3</v>
      </c>
      <c r="S1029">
        <v>0</v>
      </c>
      <c r="T1029">
        <v>6</v>
      </c>
      <c r="U1029">
        <v>6</v>
      </c>
      <c r="V1029">
        <v>17</v>
      </c>
      <c r="W1029">
        <v>14</v>
      </c>
      <c r="X1029">
        <v>13</v>
      </c>
      <c r="Y1029">
        <v>17</v>
      </c>
      <c r="Z1029">
        <v>1</v>
      </c>
      <c r="AA1029">
        <v>3</v>
      </c>
      <c r="AB1029">
        <v>0</v>
      </c>
      <c r="AC1029">
        <v>1</v>
      </c>
      <c r="AD1029">
        <v>14</v>
      </c>
      <c r="AE1029">
        <v>10</v>
      </c>
      <c r="AF1029">
        <v>4</v>
      </c>
      <c r="AG1029">
        <v>7</v>
      </c>
      <c r="AH1029">
        <v>2</v>
      </c>
      <c r="AI1029">
        <v>1</v>
      </c>
    </row>
    <row r="1030" spans="1:35" hidden="1" x14ac:dyDescent="0.25">
      <c r="A1030">
        <v>2021</v>
      </c>
      <c r="B1030" s="1">
        <v>44487</v>
      </c>
      <c r="C1030">
        <v>27</v>
      </c>
      <c r="D1030">
        <v>7711</v>
      </c>
      <c r="E1030">
        <v>78838</v>
      </c>
      <c r="F1030" t="s">
        <v>77</v>
      </c>
      <c r="G1030" t="s">
        <v>70</v>
      </c>
      <c r="J1030">
        <v>2</v>
      </c>
      <c r="K1030">
        <v>9</v>
      </c>
      <c r="L1030">
        <v>66500000</v>
      </c>
      <c r="M1030">
        <v>6800000</v>
      </c>
      <c r="N1030" t="s">
        <v>128</v>
      </c>
      <c r="O1030" t="s">
        <v>174</v>
      </c>
      <c r="P1030">
        <v>0</v>
      </c>
      <c r="Q1030">
        <v>0</v>
      </c>
      <c r="R1030">
        <v>0</v>
      </c>
      <c r="S1030">
        <v>0</v>
      </c>
      <c r="T1030">
        <v>12</v>
      </c>
      <c r="U1030">
        <v>2</v>
      </c>
      <c r="V1030">
        <v>12</v>
      </c>
      <c r="W1030">
        <v>7</v>
      </c>
      <c r="X1030">
        <v>5</v>
      </c>
      <c r="Y1030">
        <v>12</v>
      </c>
      <c r="Z1030">
        <v>0</v>
      </c>
      <c r="AA1030">
        <v>4</v>
      </c>
      <c r="AB1030">
        <v>1</v>
      </c>
      <c r="AC1030">
        <v>2</v>
      </c>
      <c r="AD1030">
        <v>16</v>
      </c>
      <c r="AE1030">
        <v>2</v>
      </c>
      <c r="AF1030">
        <v>7</v>
      </c>
      <c r="AG1030">
        <v>1</v>
      </c>
      <c r="AH1030">
        <v>0</v>
      </c>
      <c r="AI1030">
        <v>0</v>
      </c>
    </row>
    <row r="1031" spans="1:35" hidden="1" x14ac:dyDescent="0.25">
      <c r="A1031">
        <v>2021</v>
      </c>
      <c r="B1031" s="1">
        <v>44500</v>
      </c>
      <c r="C1031">
        <v>29</v>
      </c>
      <c r="D1031">
        <v>24696</v>
      </c>
      <c r="E1031">
        <v>78838</v>
      </c>
      <c r="F1031" t="s">
        <v>77</v>
      </c>
      <c r="G1031" t="s">
        <v>89</v>
      </c>
      <c r="H1031" t="s">
        <v>319</v>
      </c>
      <c r="I1031" t="s">
        <v>71</v>
      </c>
      <c r="J1031">
        <v>2</v>
      </c>
      <c r="K1031">
        <v>1</v>
      </c>
      <c r="L1031">
        <v>63350000</v>
      </c>
      <c r="M1031">
        <v>54500000</v>
      </c>
      <c r="N1031" t="s">
        <v>134</v>
      </c>
      <c r="O1031" t="s">
        <v>135</v>
      </c>
      <c r="P1031">
        <v>1</v>
      </c>
      <c r="Q1031">
        <v>0</v>
      </c>
      <c r="R1031">
        <v>1</v>
      </c>
      <c r="S1031">
        <v>0</v>
      </c>
      <c r="T1031">
        <v>2</v>
      </c>
      <c r="U1031">
        <v>7</v>
      </c>
      <c r="V1031">
        <v>22</v>
      </c>
      <c r="W1031">
        <v>19</v>
      </c>
      <c r="X1031">
        <v>17</v>
      </c>
      <c r="Y1031">
        <v>22</v>
      </c>
      <c r="Z1031">
        <v>2</v>
      </c>
      <c r="AA1031">
        <v>2</v>
      </c>
      <c r="AB1031">
        <v>1</v>
      </c>
      <c r="AC1031">
        <v>1</v>
      </c>
      <c r="AD1031">
        <v>8</v>
      </c>
      <c r="AE1031">
        <v>16</v>
      </c>
      <c r="AF1031">
        <v>5</v>
      </c>
      <c r="AG1031">
        <v>10</v>
      </c>
      <c r="AH1031">
        <v>1</v>
      </c>
      <c r="AI1031">
        <v>1</v>
      </c>
    </row>
    <row r="1032" spans="1:35" hidden="1" x14ac:dyDescent="0.25">
      <c r="A1032">
        <v>2021</v>
      </c>
      <c r="B1032" s="1">
        <v>44511</v>
      </c>
      <c r="C1032">
        <v>31</v>
      </c>
      <c r="D1032">
        <v>9488</v>
      </c>
      <c r="E1032">
        <v>78838</v>
      </c>
      <c r="F1032" t="s">
        <v>77</v>
      </c>
      <c r="G1032" t="s">
        <v>38</v>
      </c>
      <c r="H1032" t="s">
        <v>319</v>
      </c>
      <c r="I1032" t="s">
        <v>340</v>
      </c>
      <c r="J1032">
        <v>3</v>
      </c>
      <c r="K1032">
        <v>15</v>
      </c>
      <c r="L1032">
        <v>64400000</v>
      </c>
      <c r="M1032">
        <v>10650000</v>
      </c>
      <c r="N1032" t="s">
        <v>120</v>
      </c>
      <c r="O1032">
        <v>28</v>
      </c>
      <c r="P1032">
        <v>3</v>
      </c>
      <c r="Q1032">
        <v>0</v>
      </c>
      <c r="R1032">
        <v>1</v>
      </c>
      <c r="S1032">
        <v>0</v>
      </c>
      <c r="T1032">
        <v>8</v>
      </c>
      <c r="U1032">
        <v>3</v>
      </c>
      <c r="V1032">
        <v>14</v>
      </c>
      <c r="W1032">
        <v>9</v>
      </c>
      <c r="X1032">
        <v>8</v>
      </c>
      <c r="Y1032">
        <v>14</v>
      </c>
      <c r="Z1032">
        <v>2</v>
      </c>
      <c r="AA1032">
        <v>3</v>
      </c>
      <c r="AB1032">
        <v>3</v>
      </c>
      <c r="AC1032">
        <v>2</v>
      </c>
      <c r="AD1032">
        <v>17</v>
      </c>
      <c r="AE1032">
        <v>7</v>
      </c>
      <c r="AF1032">
        <v>5</v>
      </c>
      <c r="AG1032">
        <v>2</v>
      </c>
      <c r="AH1032">
        <v>3</v>
      </c>
      <c r="AI1032">
        <v>1</v>
      </c>
    </row>
    <row r="1033" spans="1:35" hidden="1" x14ac:dyDescent="0.25">
      <c r="A1033">
        <v>2021</v>
      </c>
      <c r="B1033" s="1">
        <v>44518</v>
      </c>
      <c r="C1033">
        <v>33</v>
      </c>
      <c r="D1033">
        <v>48981</v>
      </c>
      <c r="E1033">
        <v>78838</v>
      </c>
      <c r="F1033" t="s">
        <v>77</v>
      </c>
      <c r="G1033" t="s">
        <v>88</v>
      </c>
      <c r="H1033" t="s">
        <v>319</v>
      </c>
      <c r="I1033" t="s">
        <v>392</v>
      </c>
      <c r="J1033">
        <v>2</v>
      </c>
      <c r="K1033">
        <v>4</v>
      </c>
      <c r="L1033">
        <v>37450000</v>
      </c>
      <c r="M1033">
        <v>32650000</v>
      </c>
      <c r="N1033" t="s">
        <v>221</v>
      </c>
      <c r="O1033" t="s">
        <v>142</v>
      </c>
      <c r="P1033">
        <v>1</v>
      </c>
      <c r="Q1033">
        <v>0</v>
      </c>
      <c r="R1033">
        <v>0</v>
      </c>
      <c r="S1033">
        <v>0</v>
      </c>
      <c r="T1033">
        <v>8</v>
      </c>
      <c r="U1033">
        <v>1</v>
      </c>
      <c r="V1033">
        <v>15</v>
      </c>
      <c r="W1033">
        <v>8</v>
      </c>
      <c r="X1033">
        <v>8</v>
      </c>
      <c r="Y1033">
        <v>15</v>
      </c>
      <c r="Z1033">
        <v>1</v>
      </c>
      <c r="AA1033">
        <v>5</v>
      </c>
      <c r="AB1033">
        <v>2</v>
      </c>
      <c r="AC1033">
        <v>0</v>
      </c>
      <c r="AD1033">
        <v>22</v>
      </c>
      <c r="AE1033">
        <v>6</v>
      </c>
      <c r="AF1033">
        <v>10</v>
      </c>
      <c r="AG1033">
        <v>4</v>
      </c>
      <c r="AH1033">
        <v>1</v>
      </c>
      <c r="AI1033">
        <v>1</v>
      </c>
    </row>
    <row r="1034" spans="1:35" hidden="1" x14ac:dyDescent="0.25">
      <c r="A1034">
        <v>2021</v>
      </c>
      <c r="B1034" s="1">
        <v>44531</v>
      </c>
      <c r="C1034">
        <v>36</v>
      </c>
      <c r="D1034">
        <v>46481</v>
      </c>
      <c r="E1034">
        <v>78838</v>
      </c>
      <c r="F1034" t="s">
        <v>77</v>
      </c>
      <c r="G1034" t="s">
        <v>361</v>
      </c>
      <c r="H1034" t="s">
        <v>400</v>
      </c>
      <c r="I1034" t="s">
        <v>333</v>
      </c>
      <c r="J1034">
        <v>2</v>
      </c>
      <c r="K1034">
        <v>8</v>
      </c>
      <c r="L1034">
        <v>62700000</v>
      </c>
      <c r="M1034">
        <v>9530000</v>
      </c>
      <c r="N1034" t="s">
        <v>128</v>
      </c>
      <c r="O1034" t="s">
        <v>134</v>
      </c>
      <c r="P1034">
        <v>2</v>
      </c>
      <c r="Q1034">
        <v>1</v>
      </c>
      <c r="R1034">
        <v>1</v>
      </c>
      <c r="S1034">
        <v>0</v>
      </c>
      <c r="T1034">
        <v>8</v>
      </c>
      <c r="U1034">
        <v>6</v>
      </c>
      <c r="V1034">
        <v>20</v>
      </c>
      <c r="W1034">
        <v>19</v>
      </c>
      <c r="X1034">
        <v>19</v>
      </c>
      <c r="Y1034">
        <v>19</v>
      </c>
      <c r="Z1034">
        <v>3</v>
      </c>
      <c r="AA1034">
        <v>3</v>
      </c>
      <c r="AB1034">
        <v>3</v>
      </c>
      <c r="AC1034">
        <v>3</v>
      </c>
      <c r="AD1034">
        <v>15</v>
      </c>
      <c r="AE1034">
        <v>12</v>
      </c>
      <c r="AF1034">
        <v>6</v>
      </c>
      <c r="AG1034">
        <v>3</v>
      </c>
      <c r="AH1034">
        <v>1</v>
      </c>
      <c r="AI1034">
        <v>1</v>
      </c>
    </row>
    <row r="1035" spans="1:35" hidden="1" x14ac:dyDescent="0.25">
      <c r="A1035">
        <v>2021</v>
      </c>
      <c r="B1035" s="1">
        <v>44537</v>
      </c>
      <c r="C1035">
        <v>37</v>
      </c>
      <c r="D1035">
        <v>41390</v>
      </c>
      <c r="E1035">
        <v>78838</v>
      </c>
      <c r="F1035" t="s">
        <v>77</v>
      </c>
      <c r="G1035" t="s">
        <v>326</v>
      </c>
      <c r="H1035" t="s">
        <v>400</v>
      </c>
      <c r="I1035" t="s">
        <v>379</v>
      </c>
      <c r="J1035">
        <v>2</v>
      </c>
      <c r="K1035">
        <v>12</v>
      </c>
      <c r="L1035">
        <v>78800000</v>
      </c>
      <c r="M1035">
        <v>22650000</v>
      </c>
      <c r="N1035" t="s">
        <v>117</v>
      </c>
      <c r="O1035" t="s">
        <v>189</v>
      </c>
      <c r="P1035">
        <v>0</v>
      </c>
      <c r="Q1035">
        <v>1</v>
      </c>
      <c r="R1035">
        <v>0</v>
      </c>
      <c r="S1035">
        <v>0</v>
      </c>
      <c r="T1035">
        <v>5</v>
      </c>
      <c r="U1035">
        <v>1</v>
      </c>
      <c r="V1035">
        <v>23</v>
      </c>
      <c r="W1035">
        <v>14</v>
      </c>
      <c r="X1035">
        <v>13</v>
      </c>
      <c r="Y1035">
        <v>22</v>
      </c>
      <c r="Z1035">
        <v>3</v>
      </c>
      <c r="AA1035">
        <v>4</v>
      </c>
      <c r="AB1035">
        <v>3</v>
      </c>
      <c r="AC1035">
        <v>4</v>
      </c>
      <c r="AD1035">
        <v>9</v>
      </c>
      <c r="AE1035">
        <v>9</v>
      </c>
      <c r="AF1035">
        <v>2</v>
      </c>
      <c r="AG1035">
        <v>4</v>
      </c>
      <c r="AH1035">
        <v>-1</v>
      </c>
      <c r="AI1035">
        <v>0</v>
      </c>
    </row>
    <row r="1036" spans="1:35" hidden="1" x14ac:dyDescent="0.25">
      <c r="A1036">
        <v>2021</v>
      </c>
      <c r="B1036" s="1">
        <v>44346</v>
      </c>
      <c r="C1036">
        <v>1</v>
      </c>
      <c r="D1036">
        <v>0</v>
      </c>
      <c r="E1036">
        <v>60326</v>
      </c>
      <c r="F1036" t="s">
        <v>361</v>
      </c>
      <c r="G1036" t="s">
        <v>83</v>
      </c>
      <c r="H1036" t="s">
        <v>340</v>
      </c>
      <c r="I1036" t="s">
        <v>333</v>
      </c>
      <c r="J1036">
        <v>3</v>
      </c>
      <c r="K1036">
        <v>14</v>
      </c>
      <c r="L1036">
        <v>4230000</v>
      </c>
      <c r="M1036">
        <v>32100000</v>
      </c>
      <c r="N1036" t="s">
        <v>189</v>
      </c>
      <c r="O1036" t="s">
        <v>145</v>
      </c>
      <c r="P1036">
        <v>3</v>
      </c>
      <c r="Q1036">
        <v>2</v>
      </c>
      <c r="R1036">
        <v>2</v>
      </c>
      <c r="S1036">
        <v>1</v>
      </c>
      <c r="T1036">
        <v>5</v>
      </c>
      <c r="U1036">
        <v>4</v>
      </c>
      <c r="V1036">
        <v>17</v>
      </c>
      <c r="W1036">
        <v>18</v>
      </c>
      <c r="X1036">
        <v>17</v>
      </c>
      <c r="Y1036">
        <v>17</v>
      </c>
      <c r="Z1036">
        <v>1</v>
      </c>
      <c r="AA1036">
        <v>3</v>
      </c>
      <c r="AB1036">
        <v>2</v>
      </c>
      <c r="AC1036">
        <v>0</v>
      </c>
      <c r="AD1036">
        <v>12</v>
      </c>
      <c r="AE1036">
        <v>12</v>
      </c>
      <c r="AF1036">
        <v>5</v>
      </c>
      <c r="AG1036">
        <v>5</v>
      </c>
      <c r="AH1036">
        <v>1</v>
      </c>
      <c r="AI1036">
        <v>1</v>
      </c>
    </row>
    <row r="1037" spans="1:35" hidden="1" x14ac:dyDescent="0.25">
      <c r="A1037">
        <v>2021</v>
      </c>
      <c r="B1037" s="1">
        <v>44364</v>
      </c>
      <c r="C1037">
        <v>4</v>
      </c>
      <c r="D1037">
        <v>0</v>
      </c>
      <c r="E1037">
        <v>60326</v>
      </c>
      <c r="F1037" t="s">
        <v>361</v>
      </c>
      <c r="G1037" t="s">
        <v>38</v>
      </c>
      <c r="H1037" t="s">
        <v>340</v>
      </c>
      <c r="I1037" t="s">
        <v>398</v>
      </c>
      <c r="J1037">
        <v>12</v>
      </c>
      <c r="K1037">
        <v>8</v>
      </c>
      <c r="L1037">
        <v>7930000</v>
      </c>
      <c r="M1037">
        <v>9530000</v>
      </c>
      <c r="N1037" t="s">
        <v>116</v>
      </c>
      <c r="O1037" t="s">
        <v>80</v>
      </c>
      <c r="P1037">
        <v>1</v>
      </c>
      <c r="Q1037">
        <v>2</v>
      </c>
      <c r="R1037">
        <v>1</v>
      </c>
      <c r="S1037">
        <v>2</v>
      </c>
      <c r="T1037">
        <v>7</v>
      </c>
      <c r="U1037">
        <v>2</v>
      </c>
      <c r="V1037">
        <v>19</v>
      </c>
      <c r="W1037">
        <v>16</v>
      </c>
      <c r="X1037">
        <v>15</v>
      </c>
      <c r="Y1037">
        <v>18</v>
      </c>
      <c r="Z1037">
        <v>1</v>
      </c>
      <c r="AA1037">
        <v>2</v>
      </c>
      <c r="AB1037">
        <v>0</v>
      </c>
      <c r="AC1037">
        <v>0</v>
      </c>
      <c r="AD1037">
        <v>12</v>
      </c>
      <c r="AE1037">
        <v>9</v>
      </c>
      <c r="AF1037">
        <v>7</v>
      </c>
      <c r="AG1037">
        <v>6</v>
      </c>
      <c r="AH1037">
        <v>-1</v>
      </c>
      <c r="AI1037">
        <v>0</v>
      </c>
    </row>
    <row r="1038" spans="1:35" hidden="1" x14ac:dyDescent="0.25">
      <c r="A1038">
        <v>2021</v>
      </c>
      <c r="B1038" s="1">
        <v>44372</v>
      </c>
      <c r="C1038">
        <v>6</v>
      </c>
      <c r="D1038">
        <v>0</v>
      </c>
      <c r="E1038">
        <v>60326</v>
      </c>
      <c r="F1038" t="s">
        <v>361</v>
      </c>
      <c r="G1038" t="s">
        <v>89</v>
      </c>
      <c r="H1038" t="s">
        <v>340</v>
      </c>
      <c r="I1038" t="s">
        <v>71</v>
      </c>
      <c r="J1038">
        <v>13</v>
      </c>
      <c r="K1038">
        <v>5</v>
      </c>
      <c r="L1038">
        <v>7800000</v>
      </c>
      <c r="M1038">
        <v>39650000</v>
      </c>
      <c r="N1038" t="s">
        <v>104</v>
      </c>
      <c r="O1038" t="s">
        <v>114</v>
      </c>
      <c r="P1038">
        <v>2</v>
      </c>
      <c r="Q1038">
        <v>1</v>
      </c>
      <c r="R1038">
        <v>1</v>
      </c>
      <c r="S1038">
        <v>0</v>
      </c>
      <c r="T1038">
        <v>6</v>
      </c>
      <c r="U1038">
        <v>7</v>
      </c>
      <c r="V1038">
        <v>16</v>
      </c>
      <c r="W1038">
        <v>16</v>
      </c>
      <c r="X1038">
        <v>16</v>
      </c>
      <c r="Y1038">
        <v>15</v>
      </c>
      <c r="Z1038">
        <v>5</v>
      </c>
      <c r="AA1038">
        <v>6</v>
      </c>
      <c r="AB1038">
        <v>1</v>
      </c>
      <c r="AC1038">
        <v>5</v>
      </c>
      <c r="AD1038">
        <v>16</v>
      </c>
      <c r="AE1038">
        <v>16</v>
      </c>
      <c r="AF1038">
        <v>6</v>
      </c>
      <c r="AG1038">
        <v>6</v>
      </c>
      <c r="AH1038">
        <v>1</v>
      </c>
      <c r="AI1038">
        <v>1</v>
      </c>
    </row>
    <row r="1039" spans="1:35" hidden="1" x14ac:dyDescent="0.25">
      <c r="A1039">
        <v>2021</v>
      </c>
      <c r="B1039" s="1">
        <v>44375</v>
      </c>
      <c r="C1039">
        <v>7</v>
      </c>
      <c r="D1039">
        <v>0</v>
      </c>
      <c r="E1039">
        <v>60326</v>
      </c>
      <c r="F1039" t="s">
        <v>361</v>
      </c>
      <c r="G1039" t="s">
        <v>62</v>
      </c>
      <c r="H1039" t="s">
        <v>340</v>
      </c>
      <c r="I1039" t="s">
        <v>390</v>
      </c>
      <c r="J1039">
        <v>12</v>
      </c>
      <c r="K1039">
        <v>18</v>
      </c>
      <c r="L1039">
        <v>8250000</v>
      </c>
      <c r="M1039">
        <v>30600000</v>
      </c>
      <c r="N1039" t="s">
        <v>120</v>
      </c>
      <c r="O1039" t="s">
        <v>114</v>
      </c>
      <c r="P1039">
        <v>1</v>
      </c>
      <c r="Q1039">
        <v>1</v>
      </c>
      <c r="R1039">
        <v>1</v>
      </c>
      <c r="S1039">
        <v>0</v>
      </c>
      <c r="T1039">
        <v>3</v>
      </c>
      <c r="U1039">
        <v>6</v>
      </c>
      <c r="V1039">
        <v>20</v>
      </c>
      <c r="W1039">
        <v>12</v>
      </c>
      <c r="X1039">
        <v>11</v>
      </c>
      <c r="Y1039">
        <v>19</v>
      </c>
      <c r="Z1039">
        <v>2</v>
      </c>
      <c r="AA1039">
        <v>6</v>
      </c>
      <c r="AB1039">
        <v>1</v>
      </c>
      <c r="AC1039">
        <v>5</v>
      </c>
      <c r="AD1039">
        <v>18</v>
      </c>
      <c r="AE1039">
        <v>10</v>
      </c>
      <c r="AF1039">
        <v>4</v>
      </c>
      <c r="AG1039">
        <v>5</v>
      </c>
      <c r="AH1039">
        <v>0</v>
      </c>
      <c r="AI1039">
        <v>0</v>
      </c>
    </row>
    <row r="1040" spans="1:35" hidden="1" x14ac:dyDescent="0.25">
      <c r="A1040">
        <v>2021</v>
      </c>
      <c r="B1040" s="1">
        <v>44381</v>
      </c>
      <c r="C1040">
        <v>9</v>
      </c>
      <c r="D1040">
        <v>0</v>
      </c>
      <c r="E1040">
        <v>60326</v>
      </c>
      <c r="F1040" t="s">
        <v>361</v>
      </c>
      <c r="G1040" t="s">
        <v>44</v>
      </c>
      <c r="H1040" t="s">
        <v>340</v>
      </c>
      <c r="I1040" t="s">
        <v>368</v>
      </c>
      <c r="J1040">
        <v>12</v>
      </c>
      <c r="K1040">
        <v>8</v>
      </c>
      <c r="L1040">
        <v>7030000</v>
      </c>
      <c r="M1040">
        <v>7350000</v>
      </c>
      <c r="N1040" t="s">
        <v>104</v>
      </c>
      <c r="O1040" t="s">
        <v>168</v>
      </c>
      <c r="P1040">
        <v>2</v>
      </c>
      <c r="Q1040">
        <v>0</v>
      </c>
      <c r="R1040">
        <v>0</v>
      </c>
      <c r="S1040">
        <v>0</v>
      </c>
      <c r="T1040">
        <v>4</v>
      </c>
      <c r="U1040">
        <v>3</v>
      </c>
      <c r="V1040">
        <v>23</v>
      </c>
      <c r="W1040">
        <v>15</v>
      </c>
      <c r="X1040">
        <v>15</v>
      </c>
      <c r="Y1040">
        <v>22</v>
      </c>
      <c r="Z1040">
        <v>3</v>
      </c>
      <c r="AA1040">
        <v>3</v>
      </c>
      <c r="AB1040">
        <v>0</v>
      </c>
      <c r="AC1040">
        <v>0</v>
      </c>
      <c r="AD1040">
        <v>12</v>
      </c>
      <c r="AE1040">
        <v>4</v>
      </c>
      <c r="AF1040">
        <v>5</v>
      </c>
      <c r="AG1040">
        <v>1</v>
      </c>
      <c r="AH1040">
        <v>2</v>
      </c>
      <c r="AI1040">
        <v>1</v>
      </c>
    </row>
    <row r="1041" spans="1:35" hidden="1" x14ac:dyDescent="0.25">
      <c r="A1041">
        <v>2021</v>
      </c>
      <c r="B1041" s="1">
        <v>44394</v>
      </c>
      <c r="C1041">
        <v>12</v>
      </c>
      <c r="D1041">
        <v>0</v>
      </c>
      <c r="E1041">
        <v>60326</v>
      </c>
      <c r="F1041" t="s">
        <v>361</v>
      </c>
      <c r="G1041" t="s">
        <v>69</v>
      </c>
      <c r="H1041" t="s">
        <v>340</v>
      </c>
      <c r="I1041" t="s">
        <v>90</v>
      </c>
      <c r="J1041">
        <v>11</v>
      </c>
      <c r="K1041">
        <v>5</v>
      </c>
      <c r="L1041">
        <v>7130000</v>
      </c>
      <c r="M1041">
        <v>21300000</v>
      </c>
      <c r="N1041" t="s">
        <v>151</v>
      </c>
      <c r="O1041" t="s">
        <v>80</v>
      </c>
      <c r="P1041">
        <v>1</v>
      </c>
      <c r="Q1041">
        <v>0</v>
      </c>
      <c r="R1041">
        <v>0</v>
      </c>
      <c r="S1041">
        <v>0</v>
      </c>
      <c r="T1041">
        <v>5</v>
      </c>
      <c r="U1041">
        <v>5</v>
      </c>
      <c r="V1041">
        <v>11</v>
      </c>
      <c r="W1041">
        <v>15</v>
      </c>
      <c r="X1041">
        <v>15</v>
      </c>
      <c r="Y1041">
        <v>9</v>
      </c>
      <c r="Z1041">
        <v>1</v>
      </c>
      <c r="AA1041">
        <v>3</v>
      </c>
      <c r="AB1041">
        <v>3</v>
      </c>
      <c r="AC1041">
        <v>0</v>
      </c>
      <c r="AD1041">
        <v>21</v>
      </c>
      <c r="AE1041">
        <v>9</v>
      </c>
      <c r="AF1041">
        <v>12</v>
      </c>
      <c r="AG1041">
        <v>4</v>
      </c>
      <c r="AH1041">
        <v>1</v>
      </c>
      <c r="AI1041">
        <v>1</v>
      </c>
    </row>
    <row r="1042" spans="1:35" hidden="1" x14ac:dyDescent="0.25">
      <c r="A1042">
        <v>2021</v>
      </c>
      <c r="B1042" s="1">
        <v>44416</v>
      </c>
      <c r="C1042">
        <v>15</v>
      </c>
      <c r="D1042">
        <v>0</v>
      </c>
      <c r="E1042">
        <v>60326</v>
      </c>
      <c r="F1042" t="s">
        <v>361</v>
      </c>
      <c r="G1042" t="s">
        <v>76</v>
      </c>
      <c r="H1042" t="s">
        <v>340</v>
      </c>
      <c r="I1042" t="s">
        <v>367</v>
      </c>
      <c r="J1042">
        <v>7</v>
      </c>
      <c r="K1042">
        <v>9</v>
      </c>
      <c r="L1042">
        <v>9380000</v>
      </c>
      <c r="M1042">
        <v>8050000</v>
      </c>
      <c r="N1042" t="s">
        <v>137</v>
      </c>
      <c r="O1042" t="s">
        <v>41</v>
      </c>
      <c r="P1042">
        <v>0</v>
      </c>
      <c r="Q1042">
        <v>0</v>
      </c>
      <c r="R1042">
        <v>0</v>
      </c>
      <c r="S1042">
        <v>0</v>
      </c>
      <c r="T1042">
        <v>6</v>
      </c>
      <c r="U1042">
        <v>3</v>
      </c>
      <c r="V1042">
        <v>18</v>
      </c>
      <c r="W1042">
        <v>15</v>
      </c>
      <c r="X1042">
        <v>12</v>
      </c>
      <c r="Y1042">
        <v>17</v>
      </c>
      <c r="Z1042">
        <v>2</v>
      </c>
      <c r="AA1042">
        <v>4</v>
      </c>
      <c r="AB1042">
        <v>1</v>
      </c>
      <c r="AC1042">
        <v>0</v>
      </c>
      <c r="AD1042">
        <v>19</v>
      </c>
      <c r="AE1042">
        <v>7</v>
      </c>
      <c r="AF1042">
        <v>6</v>
      </c>
      <c r="AG1042">
        <v>3</v>
      </c>
      <c r="AH1042">
        <v>0</v>
      </c>
      <c r="AI1042">
        <v>0</v>
      </c>
    </row>
    <row r="1043" spans="1:35" hidden="1" x14ac:dyDescent="0.25">
      <c r="A1043">
        <v>2021</v>
      </c>
      <c r="B1043" s="1">
        <v>44430</v>
      </c>
      <c r="C1043">
        <v>17</v>
      </c>
      <c r="D1043">
        <v>0</v>
      </c>
      <c r="E1043">
        <v>60326</v>
      </c>
      <c r="F1043" t="s">
        <v>361</v>
      </c>
      <c r="G1043" t="s">
        <v>77</v>
      </c>
      <c r="H1043" t="s">
        <v>340</v>
      </c>
      <c r="I1043" t="s">
        <v>319</v>
      </c>
      <c r="J1043">
        <v>8</v>
      </c>
      <c r="K1043">
        <v>4</v>
      </c>
      <c r="L1043">
        <v>7780000</v>
      </c>
      <c r="M1043">
        <v>59700000</v>
      </c>
      <c r="N1043" t="s">
        <v>129</v>
      </c>
      <c r="O1043" t="s">
        <v>129</v>
      </c>
      <c r="P1043">
        <v>1</v>
      </c>
      <c r="Q1043">
        <v>1</v>
      </c>
      <c r="R1043">
        <v>1</v>
      </c>
      <c r="S1043">
        <v>0</v>
      </c>
      <c r="T1043">
        <v>4</v>
      </c>
      <c r="U1043">
        <v>5</v>
      </c>
      <c r="V1043">
        <v>13</v>
      </c>
      <c r="W1043">
        <v>12</v>
      </c>
      <c r="X1043">
        <v>12</v>
      </c>
      <c r="Y1043">
        <v>13</v>
      </c>
      <c r="Z1043">
        <v>4</v>
      </c>
      <c r="AA1043">
        <v>4</v>
      </c>
      <c r="AB1043">
        <v>1</v>
      </c>
      <c r="AC1043">
        <v>0</v>
      </c>
      <c r="AD1043">
        <v>12</v>
      </c>
      <c r="AE1043">
        <v>18</v>
      </c>
      <c r="AF1043">
        <v>6</v>
      </c>
      <c r="AG1043">
        <v>8</v>
      </c>
      <c r="AH1043">
        <v>0</v>
      </c>
      <c r="AI1043">
        <v>0</v>
      </c>
    </row>
    <row r="1044" spans="1:35" hidden="1" x14ac:dyDescent="0.25">
      <c r="A1044">
        <v>2021</v>
      </c>
      <c r="B1044" s="1">
        <v>44490</v>
      </c>
      <c r="C1044">
        <v>19</v>
      </c>
      <c r="D1044">
        <v>6205</v>
      </c>
      <c r="E1044">
        <v>60326</v>
      </c>
      <c r="F1044" t="s">
        <v>361</v>
      </c>
      <c r="G1044" t="s">
        <v>95</v>
      </c>
      <c r="H1044" t="s">
        <v>333</v>
      </c>
      <c r="I1044" t="s">
        <v>97</v>
      </c>
      <c r="J1044">
        <v>9</v>
      </c>
      <c r="K1044">
        <v>2</v>
      </c>
      <c r="L1044">
        <v>6650000</v>
      </c>
      <c r="M1044">
        <v>49600000</v>
      </c>
      <c r="N1044" t="s">
        <v>104</v>
      </c>
      <c r="O1044" t="s">
        <v>193</v>
      </c>
      <c r="P1044">
        <v>1</v>
      </c>
      <c r="Q1044">
        <v>2</v>
      </c>
      <c r="R1044">
        <v>0</v>
      </c>
      <c r="S1044">
        <v>1</v>
      </c>
      <c r="T1044">
        <v>7</v>
      </c>
      <c r="U1044">
        <v>6</v>
      </c>
      <c r="V1044">
        <v>19</v>
      </c>
      <c r="W1044">
        <v>11</v>
      </c>
      <c r="X1044">
        <v>11</v>
      </c>
      <c r="Y1044">
        <v>18</v>
      </c>
      <c r="Z1044">
        <v>3</v>
      </c>
      <c r="AA1044">
        <v>4</v>
      </c>
      <c r="AB1044">
        <v>2</v>
      </c>
      <c r="AC1044">
        <v>3</v>
      </c>
      <c r="AD1044">
        <v>14</v>
      </c>
      <c r="AE1044">
        <v>12</v>
      </c>
      <c r="AF1044">
        <v>5</v>
      </c>
      <c r="AG1044">
        <v>5</v>
      </c>
      <c r="AH1044">
        <v>-1</v>
      </c>
      <c r="AI1044">
        <v>0</v>
      </c>
    </row>
    <row r="1045" spans="1:35" hidden="1" x14ac:dyDescent="0.25">
      <c r="A1045">
        <v>2021</v>
      </c>
      <c r="B1045" s="1">
        <v>44458</v>
      </c>
      <c r="C1045">
        <v>21</v>
      </c>
      <c r="D1045">
        <v>0</v>
      </c>
      <c r="E1045">
        <v>60326</v>
      </c>
      <c r="F1045" t="s">
        <v>361</v>
      </c>
      <c r="G1045" t="s">
        <v>326</v>
      </c>
      <c r="H1045" t="s">
        <v>333</v>
      </c>
      <c r="I1045" t="s">
        <v>379</v>
      </c>
      <c r="J1045">
        <v>12</v>
      </c>
      <c r="K1045">
        <v>13</v>
      </c>
      <c r="L1045">
        <v>6880000</v>
      </c>
      <c r="M1045">
        <v>19450000</v>
      </c>
      <c r="N1045" t="s">
        <v>73</v>
      </c>
      <c r="O1045" t="s">
        <v>73</v>
      </c>
      <c r="P1045">
        <v>0</v>
      </c>
      <c r="Q1045">
        <v>0</v>
      </c>
      <c r="R1045">
        <v>0</v>
      </c>
      <c r="S1045">
        <v>0</v>
      </c>
      <c r="T1045">
        <v>6</v>
      </c>
      <c r="U1045">
        <v>4</v>
      </c>
      <c r="V1045">
        <v>17</v>
      </c>
      <c r="W1045">
        <v>13</v>
      </c>
      <c r="X1045">
        <v>12</v>
      </c>
      <c r="Y1045">
        <v>15</v>
      </c>
      <c r="Z1045">
        <v>1</v>
      </c>
      <c r="AA1045">
        <v>4</v>
      </c>
      <c r="AB1045">
        <v>0</v>
      </c>
      <c r="AC1045">
        <v>0</v>
      </c>
      <c r="AD1045">
        <v>10</v>
      </c>
      <c r="AE1045">
        <v>7</v>
      </c>
      <c r="AF1045">
        <v>5</v>
      </c>
      <c r="AG1045">
        <v>4</v>
      </c>
      <c r="AH1045">
        <v>0</v>
      </c>
      <c r="AI1045">
        <v>0</v>
      </c>
    </row>
    <row r="1046" spans="1:35" hidden="1" x14ac:dyDescent="0.25">
      <c r="A1046">
        <v>2021</v>
      </c>
      <c r="B1046" s="1">
        <v>44464</v>
      </c>
      <c r="C1046">
        <v>22</v>
      </c>
      <c r="D1046">
        <v>0</v>
      </c>
      <c r="E1046">
        <v>60326</v>
      </c>
      <c r="F1046" t="s">
        <v>361</v>
      </c>
      <c r="G1046" t="s">
        <v>394</v>
      </c>
      <c r="H1046" t="s">
        <v>333</v>
      </c>
      <c r="I1046" t="s">
        <v>374</v>
      </c>
      <c r="J1046">
        <v>13</v>
      </c>
      <c r="K1046">
        <v>20</v>
      </c>
      <c r="L1046">
        <v>6650000</v>
      </c>
      <c r="M1046">
        <v>4800000</v>
      </c>
      <c r="N1046" t="s">
        <v>209</v>
      </c>
      <c r="O1046" t="s">
        <v>209</v>
      </c>
      <c r="P1046">
        <v>1</v>
      </c>
      <c r="Q1046">
        <v>0</v>
      </c>
      <c r="R1046">
        <v>0</v>
      </c>
      <c r="S1046">
        <v>0</v>
      </c>
      <c r="T1046">
        <v>8</v>
      </c>
      <c r="U1046">
        <v>5</v>
      </c>
      <c r="V1046">
        <v>8</v>
      </c>
      <c r="W1046">
        <v>18</v>
      </c>
      <c r="X1046">
        <v>18</v>
      </c>
      <c r="Y1046">
        <v>8</v>
      </c>
      <c r="Z1046">
        <v>0</v>
      </c>
      <c r="AA1046">
        <v>7</v>
      </c>
      <c r="AB1046">
        <v>1</v>
      </c>
      <c r="AC1046">
        <v>1</v>
      </c>
      <c r="AD1046">
        <v>24</v>
      </c>
      <c r="AE1046">
        <v>9</v>
      </c>
      <c r="AF1046">
        <v>11</v>
      </c>
      <c r="AG1046">
        <v>5</v>
      </c>
      <c r="AH1046">
        <v>1</v>
      </c>
      <c r="AI1046">
        <v>1</v>
      </c>
    </row>
    <row r="1047" spans="1:35" hidden="1" x14ac:dyDescent="0.25">
      <c r="A1047">
        <v>2021</v>
      </c>
      <c r="B1047" s="1">
        <v>44476</v>
      </c>
      <c r="C1047">
        <v>24</v>
      </c>
      <c r="D1047">
        <v>2810</v>
      </c>
      <c r="E1047">
        <v>60326</v>
      </c>
      <c r="F1047" t="s">
        <v>361</v>
      </c>
      <c r="G1047" t="s">
        <v>37</v>
      </c>
      <c r="H1047" t="s">
        <v>333</v>
      </c>
      <c r="I1047" t="s">
        <v>342</v>
      </c>
      <c r="J1047">
        <v>12</v>
      </c>
      <c r="K1047">
        <v>7</v>
      </c>
      <c r="L1047">
        <v>7500000</v>
      </c>
      <c r="M1047">
        <v>28200000</v>
      </c>
      <c r="N1047" t="s">
        <v>98</v>
      </c>
      <c r="O1047" t="s">
        <v>239</v>
      </c>
      <c r="P1047">
        <v>0</v>
      </c>
      <c r="Q1047">
        <v>0</v>
      </c>
      <c r="R1047">
        <v>0</v>
      </c>
      <c r="S1047">
        <v>0</v>
      </c>
      <c r="T1047">
        <v>9</v>
      </c>
      <c r="U1047">
        <v>5</v>
      </c>
      <c r="V1047">
        <v>22</v>
      </c>
      <c r="W1047">
        <v>16</v>
      </c>
      <c r="X1047">
        <v>16</v>
      </c>
      <c r="Y1047">
        <v>20</v>
      </c>
      <c r="Z1047">
        <v>1</v>
      </c>
      <c r="AA1047">
        <v>5</v>
      </c>
      <c r="AB1047">
        <v>1</v>
      </c>
      <c r="AC1047">
        <v>1</v>
      </c>
      <c r="AD1047">
        <v>16</v>
      </c>
      <c r="AE1047">
        <v>9</v>
      </c>
      <c r="AF1047">
        <v>10</v>
      </c>
      <c r="AG1047">
        <v>4</v>
      </c>
      <c r="AH1047">
        <v>0</v>
      </c>
      <c r="AI1047">
        <v>0</v>
      </c>
    </row>
    <row r="1048" spans="1:35" hidden="1" x14ac:dyDescent="0.25">
      <c r="A1048">
        <v>2021</v>
      </c>
      <c r="B1048" s="1">
        <v>44486</v>
      </c>
      <c r="C1048">
        <v>27</v>
      </c>
      <c r="D1048">
        <v>4500</v>
      </c>
      <c r="E1048">
        <v>60326</v>
      </c>
      <c r="F1048" t="s">
        <v>361</v>
      </c>
      <c r="G1048" t="s">
        <v>56</v>
      </c>
      <c r="H1048" t="s">
        <v>333</v>
      </c>
      <c r="I1048" t="s">
        <v>341</v>
      </c>
      <c r="J1048">
        <v>14</v>
      </c>
      <c r="K1048">
        <v>5</v>
      </c>
      <c r="L1048">
        <v>9050000</v>
      </c>
      <c r="M1048">
        <v>27200000</v>
      </c>
      <c r="N1048" t="s">
        <v>209</v>
      </c>
      <c r="O1048" t="s">
        <v>401</v>
      </c>
      <c r="P1048">
        <v>2</v>
      </c>
      <c r="Q1048">
        <v>2</v>
      </c>
      <c r="R1048">
        <v>0</v>
      </c>
      <c r="S1048">
        <v>1</v>
      </c>
      <c r="T1048">
        <v>11</v>
      </c>
      <c r="U1048">
        <v>1</v>
      </c>
      <c r="V1048">
        <v>13</v>
      </c>
      <c r="W1048">
        <v>14</v>
      </c>
      <c r="X1048">
        <v>14</v>
      </c>
      <c r="Y1048">
        <v>13</v>
      </c>
      <c r="Z1048">
        <v>4</v>
      </c>
      <c r="AA1048">
        <v>7</v>
      </c>
      <c r="AB1048">
        <v>2</v>
      </c>
      <c r="AC1048">
        <v>0</v>
      </c>
      <c r="AD1048">
        <v>23</v>
      </c>
      <c r="AE1048">
        <v>19</v>
      </c>
      <c r="AF1048">
        <v>9</v>
      </c>
      <c r="AG1048">
        <v>8</v>
      </c>
      <c r="AH1048">
        <v>0</v>
      </c>
      <c r="AI1048">
        <v>0</v>
      </c>
    </row>
    <row r="1049" spans="1:35" hidden="1" x14ac:dyDescent="0.25">
      <c r="A1049">
        <v>2021</v>
      </c>
      <c r="B1049" s="1">
        <v>44500</v>
      </c>
      <c r="C1049">
        <v>29</v>
      </c>
      <c r="D1049">
        <v>8095</v>
      </c>
      <c r="E1049">
        <v>60326</v>
      </c>
      <c r="F1049" t="s">
        <v>361</v>
      </c>
      <c r="G1049" t="s">
        <v>55</v>
      </c>
      <c r="H1049" t="s">
        <v>333</v>
      </c>
      <c r="I1049" t="s">
        <v>223</v>
      </c>
      <c r="J1049">
        <v>14</v>
      </c>
      <c r="K1049">
        <v>8</v>
      </c>
      <c r="L1049">
        <v>9330000</v>
      </c>
      <c r="M1049">
        <v>23650000</v>
      </c>
      <c r="N1049">
        <v>30</v>
      </c>
      <c r="O1049" t="s">
        <v>189</v>
      </c>
      <c r="P1049">
        <v>1</v>
      </c>
      <c r="Q1049">
        <v>0</v>
      </c>
      <c r="R1049">
        <v>1</v>
      </c>
      <c r="S1049">
        <v>0</v>
      </c>
      <c r="T1049">
        <v>4</v>
      </c>
      <c r="U1049">
        <v>7</v>
      </c>
      <c r="V1049">
        <v>8</v>
      </c>
      <c r="W1049">
        <v>7</v>
      </c>
      <c r="X1049">
        <v>6</v>
      </c>
      <c r="Y1049">
        <v>8</v>
      </c>
      <c r="Z1049">
        <v>1</v>
      </c>
      <c r="AA1049">
        <v>1</v>
      </c>
      <c r="AB1049">
        <v>1</v>
      </c>
      <c r="AC1049">
        <v>3</v>
      </c>
      <c r="AD1049">
        <v>8</v>
      </c>
      <c r="AE1049">
        <v>18</v>
      </c>
      <c r="AF1049">
        <v>4</v>
      </c>
      <c r="AG1049">
        <v>9</v>
      </c>
      <c r="AH1049">
        <v>1</v>
      </c>
      <c r="AI1049">
        <v>1</v>
      </c>
    </row>
    <row r="1050" spans="1:35" hidden="1" x14ac:dyDescent="0.25">
      <c r="A1050">
        <v>2021</v>
      </c>
      <c r="B1050" s="1">
        <v>44508</v>
      </c>
      <c r="C1050">
        <v>30</v>
      </c>
      <c r="D1050">
        <v>21735</v>
      </c>
      <c r="E1050">
        <v>60326</v>
      </c>
      <c r="F1050" t="s">
        <v>361</v>
      </c>
      <c r="G1050" t="s">
        <v>70</v>
      </c>
      <c r="J1050">
        <v>13</v>
      </c>
      <c r="K1050">
        <v>10</v>
      </c>
      <c r="L1050">
        <v>8880000</v>
      </c>
      <c r="M1050">
        <v>7200000</v>
      </c>
      <c r="N1050" t="s">
        <v>296</v>
      </c>
      <c r="O1050">
        <v>28</v>
      </c>
      <c r="P1050">
        <v>1</v>
      </c>
      <c r="Q1050">
        <v>0</v>
      </c>
      <c r="R1050">
        <v>0</v>
      </c>
      <c r="S1050">
        <v>0</v>
      </c>
      <c r="T1050">
        <v>8</v>
      </c>
      <c r="U1050">
        <v>4</v>
      </c>
      <c r="V1050">
        <v>15</v>
      </c>
      <c r="W1050">
        <v>13</v>
      </c>
      <c r="X1050">
        <v>13</v>
      </c>
      <c r="Y1050">
        <v>15</v>
      </c>
      <c r="Z1050">
        <v>1</v>
      </c>
      <c r="AA1050">
        <v>3</v>
      </c>
      <c r="AB1050">
        <v>2</v>
      </c>
      <c r="AC1050">
        <v>4</v>
      </c>
      <c r="AD1050">
        <v>16</v>
      </c>
      <c r="AE1050">
        <v>7</v>
      </c>
      <c r="AF1050">
        <v>10</v>
      </c>
      <c r="AG1050">
        <v>4</v>
      </c>
      <c r="AH1050">
        <v>1</v>
      </c>
      <c r="AI1050">
        <v>1</v>
      </c>
    </row>
    <row r="1051" spans="1:35" hidden="1" x14ac:dyDescent="0.25">
      <c r="A1051">
        <v>2021</v>
      </c>
      <c r="B1051" s="1">
        <v>44514</v>
      </c>
      <c r="C1051">
        <v>32</v>
      </c>
      <c r="D1051">
        <v>20362</v>
      </c>
      <c r="E1051">
        <v>60326</v>
      </c>
      <c r="F1051" t="s">
        <v>361</v>
      </c>
      <c r="G1051" t="s">
        <v>391</v>
      </c>
      <c r="H1051" t="s">
        <v>333</v>
      </c>
      <c r="I1051" t="s">
        <v>397</v>
      </c>
      <c r="J1051">
        <v>12</v>
      </c>
      <c r="K1051">
        <v>19</v>
      </c>
      <c r="L1051">
        <v>8500000</v>
      </c>
      <c r="M1051">
        <v>7300000</v>
      </c>
      <c r="N1051" t="s">
        <v>144</v>
      </c>
      <c r="O1051" t="s">
        <v>168</v>
      </c>
      <c r="P1051">
        <v>2</v>
      </c>
      <c r="Q1051">
        <v>1</v>
      </c>
      <c r="R1051">
        <v>1</v>
      </c>
      <c r="S1051">
        <v>0</v>
      </c>
      <c r="T1051">
        <v>2</v>
      </c>
      <c r="U1051">
        <v>6</v>
      </c>
      <c r="V1051">
        <v>12</v>
      </c>
      <c r="W1051">
        <v>17</v>
      </c>
      <c r="X1051">
        <v>16</v>
      </c>
      <c r="Y1051">
        <v>10</v>
      </c>
      <c r="Z1051">
        <v>7</v>
      </c>
      <c r="AA1051">
        <v>1</v>
      </c>
      <c r="AB1051">
        <v>0</v>
      </c>
      <c r="AC1051">
        <v>1</v>
      </c>
      <c r="AD1051">
        <v>12</v>
      </c>
      <c r="AE1051">
        <v>21</v>
      </c>
      <c r="AF1051">
        <v>6</v>
      </c>
      <c r="AG1051">
        <v>8</v>
      </c>
      <c r="AH1051">
        <v>1</v>
      </c>
      <c r="AI1051">
        <v>1</v>
      </c>
    </row>
    <row r="1052" spans="1:35" hidden="1" x14ac:dyDescent="0.25">
      <c r="A1052">
        <v>2021</v>
      </c>
      <c r="B1052" s="1">
        <v>44526</v>
      </c>
      <c r="C1052">
        <v>35</v>
      </c>
      <c r="D1052">
        <v>35693</v>
      </c>
      <c r="E1052">
        <v>60326</v>
      </c>
      <c r="F1052" t="s">
        <v>361</v>
      </c>
      <c r="G1052" t="s">
        <v>88</v>
      </c>
      <c r="H1052" t="s">
        <v>333</v>
      </c>
      <c r="I1052" t="s">
        <v>392</v>
      </c>
      <c r="J1052">
        <v>9</v>
      </c>
      <c r="K1052">
        <v>4</v>
      </c>
      <c r="L1052">
        <v>9450000</v>
      </c>
      <c r="M1052">
        <v>32900000</v>
      </c>
      <c r="N1052" t="s">
        <v>174</v>
      </c>
      <c r="O1052" t="s">
        <v>98</v>
      </c>
      <c r="P1052">
        <v>2</v>
      </c>
      <c r="Q1052">
        <v>1</v>
      </c>
      <c r="R1052">
        <v>1</v>
      </c>
      <c r="S1052">
        <v>0</v>
      </c>
      <c r="T1052">
        <v>2</v>
      </c>
      <c r="U1052">
        <v>5</v>
      </c>
      <c r="V1052">
        <v>16</v>
      </c>
      <c r="W1052">
        <v>13</v>
      </c>
      <c r="X1052">
        <v>13</v>
      </c>
      <c r="Y1052">
        <v>15</v>
      </c>
      <c r="Z1052">
        <v>5</v>
      </c>
      <c r="AA1052">
        <v>3</v>
      </c>
      <c r="AB1052">
        <v>0</v>
      </c>
      <c r="AC1052">
        <v>0</v>
      </c>
      <c r="AD1052">
        <v>15</v>
      </c>
      <c r="AE1052">
        <v>15</v>
      </c>
      <c r="AF1052">
        <v>7</v>
      </c>
      <c r="AG1052">
        <v>3</v>
      </c>
      <c r="AH1052">
        <v>1</v>
      </c>
      <c r="AI1052">
        <v>1</v>
      </c>
    </row>
    <row r="1053" spans="1:35" hidden="1" x14ac:dyDescent="0.25">
      <c r="A1053">
        <v>2021</v>
      </c>
      <c r="B1053" s="1">
        <v>44535</v>
      </c>
      <c r="C1053">
        <v>37</v>
      </c>
      <c r="D1053">
        <v>51123</v>
      </c>
      <c r="E1053">
        <v>60326</v>
      </c>
      <c r="F1053" t="s">
        <v>361</v>
      </c>
      <c r="G1053" t="s">
        <v>310</v>
      </c>
      <c r="H1053" t="s">
        <v>333</v>
      </c>
      <c r="I1053" t="s">
        <v>368</v>
      </c>
      <c r="J1053">
        <v>9</v>
      </c>
      <c r="K1053">
        <v>8</v>
      </c>
      <c r="L1053">
        <v>9680000</v>
      </c>
      <c r="M1053">
        <v>5800000</v>
      </c>
      <c r="N1053" t="s">
        <v>166</v>
      </c>
      <c r="O1053">
        <v>31</v>
      </c>
      <c r="P1053">
        <v>0</v>
      </c>
      <c r="Q1053">
        <v>0</v>
      </c>
      <c r="R1053">
        <v>0</v>
      </c>
      <c r="S1053">
        <v>0</v>
      </c>
      <c r="T1053">
        <v>7</v>
      </c>
      <c r="U1053">
        <v>3</v>
      </c>
      <c r="V1053">
        <v>14</v>
      </c>
      <c r="W1053">
        <v>13</v>
      </c>
      <c r="X1053">
        <v>12</v>
      </c>
      <c r="Y1053">
        <v>13</v>
      </c>
      <c r="Z1053">
        <v>2</v>
      </c>
      <c r="AA1053">
        <v>2</v>
      </c>
      <c r="AB1053">
        <v>3</v>
      </c>
      <c r="AC1053">
        <v>2</v>
      </c>
      <c r="AD1053">
        <v>15</v>
      </c>
      <c r="AE1053">
        <v>18</v>
      </c>
      <c r="AF1053">
        <v>9</v>
      </c>
      <c r="AG1053">
        <v>10</v>
      </c>
      <c r="AH1053">
        <v>0</v>
      </c>
      <c r="AI1053">
        <v>0</v>
      </c>
    </row>
    <row r="1054" spans="1:35" hidden="1" x14ac:dyDescent="0.25">
      <c r="A1054">
        <v>2021</v>
      </c>
      <c r="B1054" s="1">
        <v>44353</v>
      </c>
      <c r="C1054">
        <v>2</v>
      </c>
      <c r="D1054">
        <v>0</v>
      </c>
      <c r="E1054">
        <v>60326</v>
      </c>
      <c r="F1054" t="s">
        <v>63</v>
      </c>
      <c r="G1054" t="s">
        <v>37</v>
      </c>
      <c r="H1054" t="s">
        <v>65</v>
      </c>
      <c r="I1054" t="s">
        <v>402</v>
      </c>
      <c r="J1054">
        <v>4</v>
      </c>
      <c r="K1054">
        <v>9</v>
      </c>
      <c r="L1054">
        <v>8050000</v>
      </c>
      <c r="M1054">
        <v>27750000</v>
      </c>
      <c r="N1054" t="s">
        <v>128</v>
      </c>
      <c r="O1054" t="s">
        <v>230</v>
      </c>
      <c r="P1054">
        <v>5</v>
      </c>
      <c r="Q1054">
        <v>1</v>
      </c>
      <c r="R1054">
        <v>2</v>
      </c>
      <c r="S1054">
        <v>0</v>
      </c>
      <c r="T1054">
        <v>1</v>
      </c>
      <c r="U1054">
        <v>4</v>
      </c>
      <c r="V1054">
        <v>19</v>
      </c>
      <c r="W1054">
        <v>21</v>
      </c>
      <c r="X1054">
        <v>17</v>
      </c>
      <c r="Y1054">
        <v>17</v>
      </c>
      <c r="Z1054">
        <v>2</v>
      </c>
      <c r="AA1054">
        <v>4</v>
      </c>
      <c r="AB1054">
        <v>2</v>
      </c>
      <c r="AC1054">
        <v>1</v>
      </c>
      <c r="AD1054">
        <v>14</v>
      </c>
      <c r="AE1054">
        <v>5</v>
      </c>
      <c r="AF1054">
        <v>4</v>
      </c>
      <c r="AG1054">
        <v>0</v>
      </c>
      <c r="AH1054">
        <v>4</v>
      </c>
      <c r="AI1054">
        <v>1</v>
      </c>
    </row>
    <row r="1055" spans="1:35" hidden="1" x14ac:dyDescent="0.25">
      <c r="A1055">
        <v>2021</v>
      </c>
      <c r="B1055" s="1">
        <v>44361</v>
      </c>
      <c r="C1055">
        <v>3</v>
      </c>
      <c r="D1055">
        <v>0</v>
      </c>
      <c r="E1055">
        <v>60326</v>
      </c>
      <c r="F1055" t="s">
        <v>63</v>
      </c>
      <c r="G1055" t="s">
        <v>391</v>
      </c>
      <c r="H1055" t="s">
        <v>65</v>
      </c>
      <c r="I1055" t="s">
        <v>238</v>
      </c>
      <c r="J1055">
        <v>1</v>
      </c>
      <c r="K1055">
        <v>15</v>
      </c>
      <c r="L1055">
        <v>11330000</v>
      </c>
      <c r="M1055">
        <v>5800000</v>
      </c>
      <c r="N1055" t="s">
        <v>107</v>
      </c>
      <c r="O1055" t="s">
        <v>163</v>
      </c>
      <c r="P1055">
        <v>1</v>
      </c>
      <c r="Q1055">
        <v>0</v>
      </c>
      <c r="R1055">
        <v>0</v>
      </c>
      <c r="S1055">
        <v>0</v>
      </c>
      <c r="T1055">
        <v>3</v>
      </c>
      <c r="U1055">
        <v>3</v>
      </c>
      <c r="V1055">
        <v>22</v>
      </c>
      <c r="W1055">
        <v>16</v>
      </c>
      <c r="X1055">
        <v>13</v>
      </c>
      <c r="Y1055">
        <v>21</v>
      </c>
      <c r="Z1055">
        <v>0</v>
      </c>
      <c r="AA1055">
        <v>6</v>
      </c>
      <c r="AB1055">
        <v>2</v>
      </c>
      <c r="AC1055">
        <v>0</v>
      </c>
      <c r="AD1055">
        <v>13</v>
      </c>
      <c r="AE1055">
        <v>5</v>
      </c>
      <c r="AF1055">
        <v>3</v>
      </c>
      <c r="AG1055">
        <v>4</v>
      </c>
      <c r="AH1055">
        <v>1</v>
      </c>
      <c r="AI1055">
        <v>1</v>
      </c>
    </row>
    <row r="1056" spans="1:35" hidden="1" x14ac:dyDescent="0.25">
      <c r="A1056">
        <v>2021</v>
      </c>
      <c r="B1056" s="1">
        <v>44367</v>
      </c>
      <c r="C1056">
        <v>5</v>
      </c>
      <c r="D1056">
        <v>0</v>
      </c>
      <c r="E1056">
        <v>60326</v>
      </c>
      <c r="F1056" t="s">
        <v>63</v>
      </c>
      <c r="G1056" t="s">
        <v>55</v>
      </c>
      <c r="H1056" t="s">
        <v>65</v>
      </c>
      <c r="I1056" t="s">
        <v>46</v>
      </c>
      <c r="J1056">
        <v>1</v>
      </c>
      <c r="K1056">
        <v>6</v>
      </c>
      <c r="L1056">
        <v>11880000</v>
      </c>
      <c r="M1056">
        <v>18300000</v>
      </c>
      <c r="N1056" t="s">
        <v>41</v>
      </c>
      <c r="O1056" t="s">
        <v>151</v>
      </c>
      <c r="P1056">
        <v>1</v>
      </c>
      <c r="Q1056">
        <v>1</v>
      </c>
      <c r="R1056">
        <v>0</v>
      </c>
      <c r="S1056">
        <v>0</v>
      </c>
      <c r="T1056">
        <v>7</v>
      </c>
      <c r="U1056">
        <v>3</v>
      </c>
      <c r="V1056">
        <v>14</v>
      </c>
      <c r="W1056">
        <v>17</v>
      </c>
      <c r="X1056">
        <v>16</v>
      </c>
      <c r="Y1056">
        <v>12</v>
      </c>
      <c r="Z1056">
        <v>2</v>
      </c>
      <c r="AA1056">
        <v>1</v>
      </c>
      <c r="AB1056">
        <v>6</v>
      </c>
      <c r="AC1056">
        <v>2</v>
      </c>
      <c r="AD1056">
        <v>16</v>
      </c>
      <c r="AE1056">
        <v>4</v>
      </c>
      <c r="AF1056">
        <v>9</v>
      </c>
      <c r="AG1056">
        <v>1</v>
      </c>
      <c r="AH1056">
        <v>0</v>
      </c>
      <c r="AI1056">
        <v>0</v>
      </c>
    </row>
    <row r="1057" spans="1:35" hidden="1" x14ac:dyDescent="0.25">
      <c r="A1057">
        <v>2021</v>
      </c>
      <c r="B1057" s="1">
        <v>44377</v>
      </c>
      <c r="C1057">
        <v>8</v>
      </c>
      <c r="D1057">
        <v>0</v>
      </c>
      <c r="E1057">
        <v>60326</v>
      </c>
      <c r="F1057" t="s">
        <v>63</v>
      </c>
      <c r="G1057" t="s">
        <v>394</v>
      </c>
      <c r="H1057" t="s">
        <v>65</v>
      </c>
      <c r="I1057" t="s">
        <v>78</v>
      </c>
      <c r="J1057">
        <v>4</v>
      </c>
      <c r="K1057">
        <v>19</v>
      </c>
      <c r="L1057">
        <v>11700000</v>
      </c>
      <c r="M1057">
        <v>3750000</v>
      </c>
      <c r="N1057" t="s">
        <v>114</v>
      </c>
      <c r="O1057">
        <v>26</v>
      </c>
      <c r="P1057">
        <v>3</v>
      </c>
      <c r="Q1057">
        <v>2</v>
      </c>
      <c r="R1057">
        <v>0</v>
      </c>
      <c r="S1057">
        <v>1</v>
      </c>
      <c r="T1057">
        <v>2</v>
      </c>
      <c r="U1057">
        <v>7</v>
      </c>
      <c r="V1057">
        <v>17</v>
      </c>
      <c r="W1057">
        <v>24</v>
      </c>
      <c r="X1057">
        <v>23</v>
      </c>
      <c r="Y1057">
        <v>16</v>
      </c>
      <c r="Z1057">
        <v>3</v>
      </c>
      <c r="AA1057">
        <v>7</v>
      </c>
      <c r="AB1057">
        <v>2</v>
      </c>
      <c r="AC1057">
        <v>2</v>
      </c>
      <c r="AD1057">
        <v>22</v>
      </c>
      <c r="AE1057">
        <v>9</v>
      </c>
      <c r="AF1057">
        <v>8</v>
      </c>
      <c r="AG1057">
        <v>2</v>
      </c>
      <c r="AH1057">
        <v>1</v>
      </c>
      <c r="AI1057">
        <v>1</v>
      </c>
    </row>
    <row r="1058" spans="1:35" hidden="1" x14ac:dyDescent="0.25">
      <c r="A1058">
        <v>2021</v>
      </c>
      <c r="B1058" s="1">
        <v>44384</v>
      </c>
      <c r="C1058">
        <v>10</v>
      </c>
      <c r="D1058">
        <v>0</v>
      </c>
      <c r="E1058">
        <v>60326</v>
      </c>
      <c r="F1058" t="s">
        <v>63</v>
      </c>
      <c r="G1058" t="s">
        <v>310</v>
      </c>
      <c r="H1058" t="s">
        <v>65</v>
      </c>
      <c r="I1058" t="s">
        <v>312</v>
      </c>
      <c r="J1058">
        <v>5</v>
      </c>
      <c r="K1058">
        <v>15</v>
      </c>
      <c r="L1058">
        <v>11550000</v>
      </c>
      <c r="M1058">
        <v>6530000</v>
      </c>
      <c r="N1058" t="s">
        <v>98</v>
      </c>
      <c r="O1058">
        <v>31</v>
      </c>
      <c r="P1058">
        <v>4</v>
      </c>
      <c r="Q1058">
        <v>0</v>
      </c>
      <c r="R1058">
        <v>1</v>
      </c>
      <c r="S1058">
        <v>0</v>
      </c>
      <c r="T1058">
        <v>2</v>
      </c>
      <c r="U1058">
        <v>3</v>
      </c>
      <c r="V1058">
        <v>18</v>
      </c>
      <c r="W1058">
        <v>16</v>
      </c>
      <c r="X1058">
        <v>15</v>
      </c>
      <c r="Y1058">
        <v>17</v>
      </c>
      <c r="Z1058">
        <v>3</v>
      </c>
      <c r="AA1058">
        <v>1</v>
      </c>
      <c r="AB1058">
        <v>2</v>
      </c>
      <c r="AC1058">
        <v>1</v>
      </c>
      <c r="AD1058">
        <v>16</v>
      </c>
      <c r="AE1058">
        <v>11</v>
      </c>
      <c r="AF1058">
        <v>8</v>
      </c>
      <c r="AG1058">
        <v>7</v>
      </c>
      <c r="AH1058">
        <v>4</v>
      </c>
      <c r="AI1058">
        <v>1</v>
      </c>
    </row>
    <row r="1059" spans="1:35" hidden="1" x14ac:dyDescent="0.25">
      <c r="A1059">
        <v>2021</v>
      </c>
      <c r="B1059" s="1">
        <v>44389</v>
      </c>
      <c r="C1059">
        <v>11</v>
      </c>
      <c r="D1059">
        <v>0</v>
      </c>
      <c r="E1059">
        <v>60326</v>
      </c>
      <c r="F1059" t="s">
        <v>63</v>
      </c>
      <c r="G1059" t="s">
        <v>88</v>
      </c>
      <c r="H1059" t="s">
        <v>65</v>
      </c>
      <c r="I1059" t="s">
        <v>392</v>
      </c>
      <c r="J1059">
        <v>5</v>
      </c>
      <c r="K1059">
        <v>11</v>
      </c>
      <c r="L1059">
        <v>7950000</v>
      </c>
      <c r="M1059">
        <v>21950000</v>
      </c>
      <c r="N1059">
        <v>28</v>
      </c>
      <c r="O1059">
        <v>29</v>
      </c>
      <c r="P1059">
        <v>1</v>
      </c>
      <c r="Q1059">
        <v>0</v>
      </c>
      <c r="R1059">
        <v>1</v>
      </c>
      <c r="S1059">
        <v>0</v>
      </c>
      <c r="T1059">
        <v>7</v>
      </c>
      <c r="U1059">
        <v>6</v>
      </c>
      <c r="V1059">
        <v>13</v>
      </c>
      <c r="W1059">
        <v>14</v>
      </c>
      <c r="X1059">
        <v>14</v>
      </c>
      <c r="Y1059">
        <v>13</v>
      </c>
      <c r="Z1059">
        <v>1</v>
      </c>
      <c r="AA1059">
        <v>3</v>
      </c>
      <c r="AB1059">
        <v>1</v>
      </c>
      <c r="AC1059">
        <v>1</v>
      </c>
      <c r="AD1059">
        <v>16</v>
      </c>
      <c r="AE1059">
        <v>7</v>
      </c>
      <c r="AF1059">
        <v>6</v>
      </c>
      <c r="AG1059">
        <v>6</v>
      </c>
      <c r="AH1059">
        <v>1</v>
      </c>
      <c r="AI1059">
        <v>1</v>
      </c>
    </row>
    <row r="1060" spans="1:35" hidden="1" x14ac:dyDescent="0.25">
      <c r="A1060">
        <v>2021</v>
      </c>
      <c r="B1060" s="1">
        <v>44402</v>
      </c>
      <c r="C1060">
        <v>13</v>
      </c>
      <c r="D1060">
        <v>0</v>
      </c>
      <c r="E1060">
        <v>60326</v>
      </c>
      <c r="F1060" t="s">
        <v>63</v>
      </c>
      <c r="G1060" t="s">
        <v>56</v>
      </c>
      <c r="H1060" t="s">
        <v>65</v>
      </c>
      <c r="I1060" t="s">
        <v>341</v>
      </c>
      <c r="J1060">
        <v>3</v>
      </c>
      <c r="K1060">
        <v>4</v>
      </c>
      <c r="L1060">
        <v>10080000</v>
      </c>
      <c r="M1060">
        <v>25500000</v>
      </c>
      <c r="N1060" t="s">
        <v>163</v>
      </c>
      <c r="O1060" t="s">
        <v>149</v>
      </c>
      <c r="P1060">
        <v>1</v>
      </c>
      <c r="Q1060">
        <v>0</v>
      </c>
      <c r="R1060">
        <v>1</v>
      </c>
      <c r="S1060">
        <v>0</v>
      </c>
      <c r="T1060">
        <v>3</v>
      </c>
      <c r="U1060">
        <v>5</v>
      </c>
      <c r="V1060">
        <v>21</v>
      </c>
      <c r="W1060">
        <v>14</v>
      </c>
      <c r="X1060">
        <v>13</v>
      </c>
      <c r="Y1060">
        <v>18</v>
      </c>
      <c r="Z1060">
        <v>4</v>
      </c>
      <c r="AA1060">
        <v>3</v>
      </c>
      <c r="AB1060">
        <v>1</v>
      </c>
      <c r="AC1060">
        <v>0</v>
      </c>
      <c r="AD1060">
        <v>14</v>
      </c>
      <c r="AE1060">
        <v>13</v>
      </c>
      <c r="AF1060">
        <v>6</v>
      </c>
      <c r="AG1060">
        <v>6</v>
      </c>
      <c r="AH1060">
        <v>1</v>
      </c>
      <c r="AI1060">
        <v>1</v>
      </c>
    </row>
    <row r="1061" spans="1:35" hidden="1" x14ac:dyDescent="0.25">
      <c r="A1061">
        <v>2021</v>
      </c>
      <c r="B1061" s="1">
        <v>44423</v>
      </c>
      <c r="C1061">
        <v>16</v>
      </c>
      <c r="D1061">
        <v>0</v>
      </c>
      <c r="E1061">
        <v>60326</v>
      </c>
      <c r="F1061" t="s">
        <v>63</v>
      </c>
      <c r="G1061" t="s">
        <v>326</v>
      </c>
      <c r="H1061" t="s">
        <v>65</v>
      </c>
      <c r="I1061" t="s">
        <v>57</v>
      </c>
      <c r="J1061">
        <v>3</v>
      </c>
      <c r="K1061">
        <v>8</v>
      </c>
      <c r="L1061">
        <v>9900000</v>
      </c>
      <c r="M1061">
        <v>23100000</v>
      </c>
      <c r="N1061" t="s">
        <v>74</v>
      </c>
      <c r="O1061" t="s">
        <v>122</v>
      </c>
      <c r="P1061">
        <v>1</v>
      </c>
      <c r="Q1061">
        <v>1</v>
      </c>
      <c r="R1061">
        <v>1</v>
      </c>
      <c r="S1061">
        <v>1</v>
      </c>
      <c r="T1061">
        <v>6</v>
      </c>
      <c r="U1061">
        <v>2</v>
      </c>
      <c r="V1061">
        <v>17</v>
      </c>
      <c r="W1061">
        <v>13</v>
      </c>
      <c r="X1061">
        <v>11</v>
      </c>
      <c r="Y1061">
        <v>15</v>
      </c>
      <c r="Z1061">
        <v>1</v>
      </c>
      <c r="AA1061">
        <v>1</v>
      </c>
      <c r="AB1061">
        <v>4</v>
      </c>
      <c r="AC1061">
        <v>1</v>
      </c>
      <c r="AD1061">
        <v>13</v>
      </c>
      <c r="AE1061">
        <v>8</v>
      </c>
      <c r="AF1061">
        <v>9</v>
      </c>
      <c r="AG1061">
        <v>4</v>
      </c>
      <c r="AH1061">
        <v>0</v>
      </c>
      <c r="AI1061">
        <v>0</v>
      </c>
    </row>
    <row r="1062" spans="1:35" hidden="1" x14ac:dyDescent="0.25">
      <c r="A1062">
        <v>2021</v>
      </c>
      <c r="B1062" s="1">
        <v>44439</v>
      </c>
      <c r="C1062">
        <v>18</v>
      </c>
      <c r="D1062">
        <v>0</v>
      </c>
      <c r="E1062">
        <v>60326</v>
      </c>
      <c r="F1062" t="s">
        <v>63</v>
      </c>
      <c r="G1062" t="s">
        <v>70</v>
      </c>
      <c r="J1062">
        <v>3</v>
      </c>
      <c r="K1062">
        <v>14</v>
      </c>
      <c r="L1062">
        <v>10900000</v>
      </c>
      <c r="M1062">
        <v>7500000</v>
      </c>
      <c r="N1062" t="s">
        <v>123</v>
      </c>
      <c r="O1062">
        <v>29</v>
      </c>
      <c r="P1062">
        <v>0</v>
      </c>
      <c r="Q1062">
        <v>0</v>
      </c>
      <c r="R1062">
        <v>0</v>
      </c>
      <c r="S1062">
        <v>0</v>
      </c>
      <c r="T1062">
        <v>7</v>
      </c>
      <c r="U1062">
        <v>4</v>
      </c>
      <c r="V1062">
        <v>15</v>
      </c>
      <c r="W1062">
        <v>17</v>
      </c>
      <c r="X1062">
        <v>16</v>
      </c>
      <c r="Y1062">
        <v>15</v>
      </c>
      <c r="Z1062">
        <v>5</v>
      </c>
      <c r="AA1062">
        <v>4</v>
      </c>
      <c r="AB1062">
        <v>2</v>
      </c>
      <c r="AC1062">
        <v>2</v>
      </c>
      <c r="AD1062">
        <v>19</v>
      </c>
      <c r="AE1062">
        <v>11</v>
      </c>
      <c r="AF1062">
        <v>9</v>
      </c>
      <c r="AG1062">
        <v>5</v>
      </c>
      <c r="AH1062">
        <v>0</v>
      </c>
      <c r="AI1062">
        <v>0</v>
      </c>
    </row>
    <row r="1063" spans="1:35" hidden="1" x14ac:dyDescent="0.25">
      <c r="A1063">
        <v>2021</v>
      </c>
      <c r="B1063" s="1">
        <v>44451</v>
      </c>
      <c r="C1063">
        <v>20</v>
      </c>
      <c r="D1063">
        <v>0</v>
      </c>
      <c r="E1063">
        <v>60326</v>
      </c>
      <c r="F1063" t="s">
        <v>63</v>
      </c>
      <c r="G1063" t="s">
        <v>89</v>
      </c>
      <c r="H1063" t="s">
        <v>65</v>
      </c>
      <c r="I1063" t="s">
        <v>71</v>
      </c>
      <c r="J1063">
        <v>4</v>
      </c>
      <c r="K1063">
        <v>1</v>
      </c>
      <c r="L1063">
        <v>12950000</v>
      </c>
      <c r="M1063">
        <v>48200000</v>
      </c>
      <c r="N1063" t="s">
        <v>137</v>
      </c>
      <c r="O1063" t="s">
        <v>86</v>
      </c>
      <c r="P1063">
        <v>0</v>
      </c>
      <c r="Q1063">
        <v>2</v>
      </c>
      <c r="R1063">
        <v>0</v>
      </c>
      <c r="S1063">
        <v>0</v>
      </c>
      <c r="T1063">
        <v>5</v>
      </c>
      <c r="U1063">
        <v>4</v>
      </c>
      <c r="V1063">
        <v>14</v>
      </c>
      <c r="W1063">
        <v>18</v>
      </c>
      <c r="X1063">
        <v>18</v>
      </c>
      <c r="Y1063">
        <v>14</v>
      </c>
      <c r="Z1063">
        <v>2</v>
      </c>
      <c r="AA1063">
        <v>4</v>
      </c>
      <c r="AB1063">
        <v>1</v>
      </c>
      <c r="AC1063">
        <v>1</v>
      </c>
      <c r="AD1063">
        <v>13</v>
      </c>
      <c r="AE1063">
        <v>11</v>
      </c>
      <c r="AF1063">
        <v>4</v>
      </c>
      <c r="AG1063">
        <v>6</v>
      </c>
      <c r="AH1063">
        <v>-2</v>
      </c>
      <c r="AI1063">
        <v>0</v>
      </c>
    </row>
    <row r="1064" spans="1:35" hidden="1" x14ac:dyDescent="0.25">
      <c r="A1064">
        <v>2021</v>
      </c>
      <c r="B1064" s="1">
        <v>44471</v>
      </c>
      <c r="C1064">
        <v>23</v>
      </c>
      <c r="D1064">
        <v>2785</v>
      </c>
      <c r="E1064">
        <v>60326</v>
      </c>
      <c r="F1064" t="s">
        <v>63</v>
      </c>
      <c r="G1064" t="s">
        <v>76</v>
      </c>
      <c r="H1064" t="s">
        <v>65</v>
      </c>
      <c r="I1064" t="s">
        <v>375</v>
      </c>
      <c r="J1064">
        <v>4</v>
      </c>
      <c r="K1064">
        <v>13</v>
      </c>
      <c r="L1064">
        <v>12700000</v>
      </c>
      <c r="M1064">
        <v>6880000</v>
      </c>
      <c r="N1064" t="s">
        <v>111</v>
      </c>
      <c r="O1064" t="s">
        <v>41</v>
      </c>
      <c r="P1064">
        <v>0</v>
      </c>
      <c r="Q1064">
        <v>3</v>
      </c>
      <c r="R1064">
        <v>0</v>
      </c>
      <c r="S1064">
        <v>1</v>
      </c>
      <c r="T1064">
        <v>10</v>
      </c>
      <c r="U1064">
        <v>3</v>
      </c>
      <c r="V1064">
        <v>14</v>
      </c>
      <c r="W1064">
        <v>20</v>
      </c>
      <c r="X1064">
        <v>19</v>
      </c>
      <c r="Y1064">
        <v>14</v>
      </c>
      <c r="Z1064">
        <v>3</v>
      </c>
      <c r="AA1064">
        <v>4</v>
      </c>
      <c r="AB1064">
        <v>4</v>
      </c>
      <c r="AC1064">
        <v>1</v>
      </c>
      <c r="AD1064">
        <v>14</v>
      </c>
      <c r="AE1064">
        <v>6</v>
      </c>
      <c r="AF1064">
        <v>7</v>
      </c>
      <c r="AG1064">
        <v>1</v>
      </c>
      <c r="AH1064">
        <v>-3</v>
      </c>
      <c r="AI1064">
        <v>0</v>
      </c>
    </row>
    <row r="1065" spans="1:35" hidden="1" x14ac:dyDescent="0.25">
      <c r="A1065">
        <v>2021</v>
      </c>
      <c r="B1065" s="1">
        <v>44479</v>
      </c>
      <c r="C1065">
        <v>25</v>
      </c>
      <c r="D1065">
        <v>4052</v>
      </c>
      <c r="E1065">
        <v>60326</v>
      </c>
      <c r="F1065" t="s">
        <v>63</v>
      </c>
      <c r="G1065" t="s">
        <v>77</v>
      </c>
      <c r="H1065" t="s">
        <v>65</v>
      </c>
      <c r="I1065" t="s">
        <v>319</v>
      </c>
      <c r="J1065">
        <v>4</v>
      </c>
      <c r="K1065">
        <v>2</v>
      </c>
      <c r="L1065">
        <v>11380000</v>
      </c>
      <c r="M1065">
        <v>52500000</v>
      </c>
      <c r="N1065" t="s">
        <v>74</v>
      </c>
      <c r="O1065" t="s">
        <v>104</v>
      </c>
      <c r="P1065">
        <v>0</v>
      </c>
      <c r="Q1065">
        <v>3</v>
      </c>
      <c r="R1065">
        <v>0</v>
      </c>
      <c r="S1065">
        <v>0</v>
      </c>
      <c r="T1065">
        <v>3</v>
      </c>
      <c r="U1065">
        <v>5</v>
      </c>
      <c r="V1065">
        <v>9</v>
      </c>
      <c r="W1065">
        <v>15</v>
      </c>
      <c r="X1065">
        <v>15</v>
      </c>
      <c r="Y1065">
        <v>9</v>
      </c>
      <c r="Z1065">
        <v>4</v>
      </c>
      <c r="AA1065">
        <v>2</v>
      </c>
      <c r="AB1065">
        <v>3</v>
      </c>
      <c r="AC1065">
        <v>0</v>
      </c>
      <c r="AD1065">
        <v>6</v>
      </c>
      <c r="AE1065">
        <v>13</v>
      </c>
      <c r="AF1065">
        <v>2</v>
      </c>
      <c r="AG1065">
        <v>6</v>
      </c>
      <c r="AH1065">
        <v>-3</v>
      </c>
      <c r="AI1065">
        <v>0</v>
      </c>
    </row>
    <row r="1066" spans="1:35" hidden="1" x14ac:dyDescent="0.25">
      <c r="A1066">
        <v>2021</v>
      </c>
      <c r="B1066" s="1">
        <v>44483</v>
      </c>
      <c r="C1066">
        <v>26</v>
      </c>
      <c r="D1066">
        <v>3499</v>
      </c>
      <c r="E1066">
        <v>60326</v>
      </c>
      <c r="F1066" t="s">
        <v>63</v>
      </c>
      <c r="G1066" t="s">
        <v>83</v>
      </c>
      <c r="H1066" t="s">
        <v>65</v>
      </c>
      <c r="I1066" t="s">
        <v>403</v>
      </c>
      <c r="J1066">
        <v>4</v>
      </c>
      <c r="K1066">
        <v>19</v>
      </c>
      <c r="L1066">
        <v>12850000</v>
      </c>
      <c r="M1066">
        <v>45350000</v>
      </c>
      <c r="N1066" t="s">
        <v>128</v>
      </c>
      <c r="O1066" t="s">
        <v>171</v>
      </c>
      <c r="P1066">
        <v>1</v>
      </c>
      <c r="Q1066">
        <v>0</v>
      </c>
      <c r="R1066">
        <v>0</v>
      </c>
      <c r="S1066">
        <v>0</v>
      </c>
      <c r="T1066">
        <v>10</v>
      </c>
      <c r="U1066">
        <v>4</v>
      </c>
      <c r="V1066">
        <v>13</v>
      </c>
      <c r="W1066">
        <v>17</v>
      </c>
      <c r="X1066">
        <v>17</v>
      </c>
      <c r="Y1066">
        <v>13</v>
      </c>
      <c r="Z1066">
        <v>5</v>
      </c>
      <c r="AA1066">
        <v>7</v>
      </c>
      <c r="AB1066">
        <v>0</v>
      </c>
      <c r="AC1066">
        <v>2</v>
      </c>
      <c r="AD1066">
        <v>22</v>
      </c>
      <c r="AE1066">
        <v>13</v>
      </c>
      <c r="AF1066">
        <v>10</v>
      </c>
      <c r="AG1066">
        <v>5</v>
      </c>
      <c r="AH1066">
        <v>1</v>
      </c>
      <c r="AI1066">
        <v>1</v>
      </c>
    </row>
    <row r="1067" spans="1:35" hidden="1" x14ac:dyDescent="0.25">
      <c r="A1067">
        <v>2021</v>
      </c>
      <c r="B1067" s="1">
        <v>44493</v>
      </c>
      <c r="C1067">
        <v>28</v>
      </c>
      <c r="D1067">
        <v>7011</v>
      </c>
      <c r="E1067">
        <v>60326</v>
      </c>
      <c r="F1067" t="s">
        <v>63</v>
      </c>
      <c r="G1067" t="s">
        <v>69</v>
      </c>
      <c r="H1067" t="s">
        <v>65</v>
      </c>
      <c r="I1067" t="s">
        <v>378</v>
      </c>
      <c r="J1067">
        <v>4</v>
      </c>
      <c r="K1067">
        <v>9</v>
      </c>
      <c r="L1067">
        <v>11900000</v>
      </c>
      <c r="M1067">
        <v>18150000</v>
      </c>
      <c r="N1067" t="s">
        <v>134</v>
      </c>
      <c r="O1067" t="s">
        <v>401</v>
      </c>
      <c r="P1067">
        <v>3</v>
      </c>
      <c r="Q1067">
        <v>0</v>
      </c>
      <c r="R1067">
        <v>2</v>
      </c>
      <c r="S1067">
        <v>0</v>
      </c>
      <c r="T1067">
        <v>4</v>
      </c>
      <c r="U1067">
        <v>10</v>
      </c>
      <c r="V1067">
        <v>13</v>
      </c>
      <c r="W1067">
        <v>12</v>
      </c>
      <c r="X1067">
        <v>11</v>
      </c>
      <c r="Y1067">
        <v>13</v>
      </c>
      <c r="Z1067">
        <v>4</v>
      </c>
      <c r="AA1067">
        <v>4</v>
      </c>
      <c r="AB1067">
        <v>0</v>
      </c>
      <c r="AC1067">
        <v>0</v>
      </c>
      <c r="AD1067">
        <v>16</v>
      </c>
      <c r="AE1067">
        <v>13</v>
      </c>
      <c r="AF1067">
        <v>7</v>
      </c>
      <c r="AG1067">
        <v>5</v>
      </c>
      <c r="AH1067">
        <v>3</v>
      </c>
      <c r="AI1067">
        <v>1</v>
      </c>
    </row>
    <row r="1068" spans="1:35" hidden="1" x14ac:dyDescent="0.25">
      <c r="A1068">
        <v>2021</v>
      </c>
      <c r="B1068" s="1">
        <v>44511</v>
      </c>
      <c r="C1068">
        <v>31</v>
      </c>
      <c r="D1068">
        <v>16261</v>
      </c>
      <c r="E1068">
        <v>60326</v>
      </c>
      <c r="F1068" t="s">
        <v>63</v>
      </c>
      <c r="G1068" t="s">
        <v>62</v>
      </c>
      <c r="H1068" t="s">
        <v>65</v>
      </c>
      <c r="I1068" t="s">
        <v>40</v>
      </c>
      <c r="J1068">
        <v>4</v>
      </c>
      <c r="K1068">
        <v>14</v>
      </c>
      <c r="L1068">
        <v>10480000</v>
      </c>
      <c r="M1068">
        <v>41400000</v>
      </c>
      <c r="N1068" t="s">
        <v>128</v>
      </c>
      <c r="O1068" t="s">
        <v>73</v>
      </c>
      <c r="P1068">
        <v>1</v>
      </c>
      <c r="Q1068">
        <v>1</v>
      </c>
      <c r="R1068">
        <v>0</v>
      </c>
      <c r="S1068">
        <v>0</v>
      </c>
      <c r="T1068">
        <v>6</v>
      </c>
      <c r="U1068">
        <v>5</v>
      </c>
      <c r="V1068">
        <v>15</v>
      </c>
      <c r="W1068">
        <v>11</v>
      </c>
      <c r="X1068">
        <v>11</v>
      </c>
      <c r="Y1068">
        <v>14</v>
      </c>
      <c r="Z1068">
        <v>2</v>
      </c>
      <c r="AA1068">
        <v>2</v>
      </c>
      <c r="AB1068">
        <v>5</v>
      </c>
      <c r="AC1068">
        <v>3</v>
      </c>
      <c r="AD1068">
        <v>15</v>
      </c>
      <c r="AE1068">
        <v>11</v>
      </c>
      <c r="AF1068">
        <v>7</v>
      </c>
      <c r="AG1068">
        <v>6</v>
      </c>
      <c r="AH1068">
        <v>0</v>
      </c>
      <c r="AI1068">
        <v>0</v>
      </c>
    </row>
    <row r="1069" spans="1:35" hidden="1" x14ac:dyDescent="0.25">
      <c r="A1069">
        <v>2021</v>
      </c>
      <c r="B1069" s="1">
        <v>44518</v>
      </c>
      <c r="C1069">
        <v>33</v>
      </c>
      <c r="D1069">
        <v>28037</v>
      </c>
      <c r="E1069">
        <v>60326</v>
      </c>
      <c r="F1069" t="s">
        <v>63</v>
      </c>
      <c r="G1069" t="s">
        <v>361</v>
      </c>
      <c r="H1069" t="s">
        <v>65</v>
      </c>
      <c r="I1069" t="s">
        <v>333</v>
      </c>
      <c r="J1069">
        <v>5</v>
      </c>
      <c r="K1069">
        <v>10</v>
      </c>
      <c r="L1069">
        <v>10380000</v>
      </c>
      <c r="M1069">
        <v>10130000</v>
      </c>
      <c r="N1069" t="s">
        <v>135</v>
      </c>
      <c r="O1069" t="s">
        <v>193</v>
      </c>
      <c r="P1069">
        <v>0</v>
      </c>
      <c r="Q1069">
        <v>4</v>
      </c>
      <c r="R1069">
        <v>0</v>
      </c>
      <c r="S1069">
        <v>2</v>
      </c>
      <c r="T1069">
        <v>5</v>
      </c>
      <c r="U1069">
        <v>1</v>
      </c>
      <c r="V1069">
        <v>14</v>
      </c>
      <c r="W1069">
        <v>14</v>
      </c>
      <c r="X1069">
        <v>13</v>
      </c>
      <c r="Y1069">
        <v>13</v>
      </c>
      <c r="Z1069">
        <v>1</v>
      </c>
      <c r="AA1069">
        <v>8</v>
      </c>
      <c r="AB1069">
        <v>1</v>
      </c>
      <c r="AC1069">
        <v>2</v>
      </c>
      <c r="AD1069">
        <v>17</v>
      </c>
      <c r="AE1069">
        <v>13</v>
      </c>
      <c r="AF1069">
        <v>6</v>
      </c>
      <c r="AG1069">
        <v>6</v>
      </c>
      <c r="AH1069">
        <v>-4</v>
      </c>
      <c r="AI1069">
        <v>0</v>
      </c>
    </row>
    <row r="1070" spans="1:35" hidden="1" x14ac:dyDescent="0.25">
      <c r="A1070">
        <v>2021</v>
      </c>
      <c r="B1070" s="1">
        <v>44520</v>
      </c>
      <c r="C1070">
        <v>34</v>
      </c>
      <c r="D1070">
        <v>18139</v>
      </c>
      <c r="E1070">
        <v>60326</v>
      </c>
      <c r="F1070" t="s">
        <v>63</v>
      </c>
      <c r="G1070" t="s">
        <v>95</v>
      </c>
      <c r="H1070" t="s">
        <v>65</v>
      </c>
      <c r="I1070" t="s">
        <v>97</v>
      </c>
      <c r="J1070">
        <v>5</v>
      </c>
      <c r="K1070">
        <v>3</v>
      </c>
      <c r="L1070">
        <v>8100000</v>
      </c>
      <c r="M1070">
        <v>60100000</v>
      </c>
      <c r="N1070" t="s">
        <v>100</v>
      </c>
      <c r="O1070" t="s">
        <v>41</v>
      </c>
      <c r="P1070">
        <v>1</v>
      </c>
      <c r="Q1070">
        <v>0</v>
      </c>
      <c r="R1070">
        <v>1</v>
      </c>
      <c r="S1070">
        <v>0</v>
      </c>
      <c r="T1070">
        <v>2</v>
      </c>
      <c r="U1070">
        <v>6</v>
      </c>
      <c r="V1070">
        <v>22</v>
      </c>
      <c r="W1070">
        <v>12</v>
      </c>
      <c r="X1070">
        <v>11</v>
      </c>
      <c r="Y1070">
        <v>22</v>
      </c>
      <c r="Z1070">
        <v>3</v>
      </c>
      <c r="AA1070">
        <v>2</v>
      </c>
      <c r="AB1070">
        <v>2</v>
      </c>
      <c r="AC1070">
        <v>2</v>
      </c>
      <c r="AD1070">
        <v>8</v>
      </c>
      <c r="AE1070">
        <v>13</v>
      </c>
      <c r="AF1070">
        <v>5</v>
      </c>
      <c r="AG1070">
        <v>7</v>
      </c>
      <c r="AH1070">
        <v>1</v>
      </c>
      <c r="AI1070">
        <v>1</v>
      </c>
    </row>
    <row r="1071" spans="1:35" hidden="1" x14ac:dyDescent="0.25">
      <c r="A1071">
        <v>2021</v>
      </c>
      <c r="B1071" s="1">
        <v>44534</v>
      </c>
      <c r="C1071">
        <v>36</v>
      </c>
      <c r="D1071">
        <v>45398</v>
      </c>
      <c r="E1071">
        <v>60326</v>
      </c>
      <c r="F1071" t="s">
        <v>63</v>
      </c>
      <c r="G1071" t="s">
        <v>44</v>
      </c>
      <c r="H1071" t="s">
        <v>65</v>
      </c>
      <c r="I1071" t="s">
        <v>78</v>
      </c>
      <c r="J1071">
        <v>5</v>
      </c>
      <c r="K1071">
        <v>14</v>
      </c>
      <c r="L1071">
        <v>12100000</v>
      </c>
      <c r="M1071">
        <v>6750000</v>
      </c>
      <c r="N1071" t="s">
        <v>134</v>
      </c>
      <c r="O1071" t="s">
        <v>137</v>
      </c>
      <c r="P1071">
        <v>1</v>
      </c>
      <c r="Q1071">
        <v>0</v>
      </c>
      <c r="R1071">
        <v>0</v>
      </c>
      <c r="S1071">
        <v>0</v>
      </c>
      <c r="T1071">
        <v>5</v>
      </c>
      <c r="U1071">
        <v>4</v>
      </c>
      <c r="V1071">
        <v>20</v>
      </c>
      <c r="W1071">
        <v>14</v>
      </c>
      <c r="X1071">
        <v>13</v>
      </c>
      <c r="Y1071">
        <v>19</v>
      </c>
      <c r="Z1071">
        <v>3</v>
      </c>
      <c r="AA1071">
        <v>3</v>
      </c>
      <c r="AB1071">
        <v>2</v>
      </c>
      <c r="AC1071">
        <v>0</v>
      </c>
      <c r="AD1071">
        <v>15</v>
      </c>
      <c r="AE1071">
        <v>11</v>
      </c>
      <c r="AF1071">
        <v>6</v>
      </c>
      <c r="AG1071">
        <v>6</v>
      </c>
      <c r="AH1071">
        <v>1</v>
      </c>
      <c r="AI1071">
        <v>1</v>
      </c>
    </row>
    <row r="1072" spans="1:35" hidden="1" x14ac:dyDescent="0.25">
      <c r="A1072">
        <v>2021</v>
      </c>
      <c r="B1072" s="1">
        <v>44540</v>
      </c>
      <c r="C1072">
        <v>38</v>
      </c>
      <c r="D1072">
        <v>51125</v>
      </c>
      <c r="E1072">
        <v>60326</v>
      </c>
      <c r="F1072" t="s">
        <v>63</v>
      </c>
      <c r="G1072" t="s">
        <v>38</v>
      </c>
      <c r="H1072" t="s">
        <v>65</v>
      </c>
      <c r="I1072" t="s">
        <v>340</v>
      </c>
      <c r="J1072">
        <v>5</v>
      </c>
      <c r="K1072">
        <v>16</v>
      </c>
      <c r="L1072">
        <v>8050000</v>
      </c>
      <c r="M1072">
        <v>11350000</v>
      </c>
      <c r="N1072" t="s">
        <v>208</v>
      </c>
      <c r="O1072">
        <v>28</v>
      </c>
      <c r="P1072">
        <v>2</v>
      </c>
      <c r="Q1072">
        <v>1</v>
      </c>
      <c r="R1072">
        <v>1</v>
      </c>
      <c r="S1072">
        <v>1</v>
      </c>
      <c r="T1072">
        <v>6</v>
      </c>
      <c r="U1072">
        <v>3</v>
      </c>
      <c r="V1072">
        <v>15</v>
      </c>
      <c r="W1072">
        <v>17</v>
      </c>
      <c r="X1072">
        <v>16</v>
      </c>
      <c r="Y1072">
        <v>14</v>
      </c>
      <c r="Z1072">
        <v>5</v>
      </c>
      <c r="AA1072">
        <v>4</v>
      </c>
      <c r="AB1072">
        <v>3</v>
      </c>
      <c r="AC1072">
        <v>1</v>
      </c>
      <c r="AD1072">
        <v>14</v>
      </c>
      <c r="AE1072">
        <v>9</v>
      </c>
      <c r="AF1072">
        <v>5</v>
      </c>
      <c r="AG1072">
        <v>3</v>
      </c>
      <c r="AH1072">
        <v>1</v>
      </c>
      <c r="AI1072">
        <v>1</v>
      </c>
    </row>
    <row r="1073" spans="1:35" hidden="1" x14ac:dyDescent="0.25">
      <c r="A1073">
        <v>2021</v>
      </c>
      <c r="B1073" s="1">
        <v>44353</v>
      </c>
      <c r="C1073">
        <v>2</v>
      </c>
      <c r="D1073">
        <v>0</v>
      </c>
      <c r="E1073">
        <v>23726</v>
      </c>
      <c r="F1073" t="s">
        <v>44</v>
      </c>
      <c r="G1073" t="s">
        <v>69</v>
      </c>
      <c r="H1073" t="s">
        <v>368</v>
      </c>
      <c r="I1073" t="s">
        <v>90</v>
      </c>
      <c r="J1073">
        <v>10</v>
      </c>
      <c r="K1073">
        <v>5</v>
      </c>
      <c r="L1073">
        <v>5450000</v>
      </c>
      <c r="M1073">
        <v>15600000</v>
      </c>
      <c r="N1073" t="s">
        <v>128</v>
      </c>
      <c r="O1073" t="s">
        <v>120</v>
      </c>
      <c r="P1073">
        <v>0</v>
      </c>
      <c r="Q1073">
        <v>3</v>
      </c>
      <c r="R1073">
        <v>0</v>
      </c>
      <c r="S1073">
        <v>0</v>
      </c>
      <c r="T1073">
        <v>5</v>
      </c>
      <c r="U1073">
        <v>1</v>
      </c>
      <c r="V1073">
        <v>14</v>
      </c>
      <c r="W1073">
        <v>27</v>
      </c>
      <c r="X1073">
        <v>26</v>
      </c>
      <c r="Y1073">
        <v>14</v>
      </c>
      <c r="Z1073">
        <v>2</v>
      </c>
      <c r="AA1073">
        <v>1</v>
      </c>
      <c r="AB1073">
        <v>1</v>
      </c>
      <c r="AC1073">
        <v>3</v>
      </c>
      <c r="AD1073">
        <v>14</v>
      </c>
      <c r="AE1073">
        <v>11</v>
      </c>
      <c r="AF1073">
        <v>8</v>
      </c>
      <c r="AG1073">
        <v>4</v>
      </c>
      <c r="AH1073">
        <v>-3</v>
      </c>
      <c r="AI1073">
        <v>0</v>
      </c>
    </row>
    <row r="1074" spans="1:35" hidden="1" x14ac:dyDescent="0.25">
      <c r="A1074">
        <v>2021</v>
      </c>
      <c r="B1074" s="1">
        <v>44364</v>
      </c>
      <c r="C1074">
        <v>4</v>
      </c>
      <c r="D1074">
        <v>0</v>
      </c>
      <c r="E1074">
        <v>23726</v>
      </c>
      <c r="F1074" t="s">
        <v>44</v>
      </c>
      <c r="G1074" t="s">
        <v>95</v>
      </c>
      <c r="H1074" t="s">
        <v>368</v>
      </c>
      <c r="I1074" t="s">
        <v>97</v>
      </c>
      <c r="J1074">
        <v>15</v>
      </c>
      <c r="K1074">
        <v>9</v>
      </c>
      <c r="L1074">
        <v>5150000</v>
      </c>
      <c r="M1074">
        <v>39850000</v>
      </c>
      <c r="N1074" t="s">
        <v>168</v>
      </c>
      <c r="O1074" t="s">
        <v>111</v>
      </c>
      <c r="P1074">
        <v>0</v>
      </c>
      <c r="Q1074">
        <v>3</v>
      </c>
      <c r="R1074">
        <v>0</v>
      </c>
      <c r="S1074">
        <v>0</v>
      </c>
      <c r="T1074">
        <v>7</v>
      </c>
      <c r="U1074">
        <v>4</v>
      </c>
      <c r="V1074">
        <v>11</v>
      </c>
      <c r="W1074">
        <v>24</v>
      </c>
      <c r="X1074">
        <v>24</v>
      </c>
      <c r="Y1074">
        <v>10</v>
      </c>
      <c r="Z1074">
        <v>3</v>
      </c>
      <c r="AA1074">
        <v>2</v>
      </c>
      <c r="AB1074">
        <v>0</v>
      </c>
      <c r="AC1074">
        <v>1</v>
      </c>
      <c r="AD1074">
        <v>11</v>
      </c>
      <c r="AE1074">
        <v>13</v>
      </c>
      <c r="AF1074">
        <v>6</v>
      </c>
      <c r="AG1074">
        <v>7</v>
      </c>
      <c r="AH1074">
        <v>-3</v>
      </c>
      <c r="AI1074">
        <v>0</v>
      </c>
    </row>
    <row r="1075" spans="1:35" hidden="1" x14ac:dyDescent="0.25">
      <c r="A1075">
        <v>2021</v>
      </c>
      <c r="B1075" s="1">
        <v>44368</v>
      </c>
      <c r="C1075">
        <v>5</v>
      </c>
      <c r="D1075">
        <v>0</v>
      </c>
      <c r="E1075">
        <v>23726</v>
      </c>
      <c r="F1075" t="s">
        <v>44</v>
      </c>
      <c r="G1075" t="s">
        <v>391</v>
      </c>
      <c r="H1075" t="s">
        <v>368</v>
      </c>
      <c r="I1075" t="s">
        <v>238</v>
      </c>
      <c r="J1075">
        <v>18</v>
      </c>
      <c r="K1075">
        <v>12</v>
      </c>
      <c r="L1075">
        <v>6800000</v>
      </c>
      <c r="M1075">
        <v>6500000</v>
      </c>
      <c r="N1075" t="s">
        <v>128</v>
      </c>
      <c r="O1075">
        <v>27</v>
      </c>
      <c r="P1075">
        <v>1</v>
      </c>
      <c r="Q1075">
        <v>0</v>
      </c>
      <c r="R1075">
        <v>0</v>
      </c>
      <c r="S1075">
        <v>0</v>
      </c>
      <c r="T1075">
        <v>3</v>
      </c>
      <c r="U1075">
        <v>5</v>
      </c>
      <c r="V1075">
        <v>16</v>
      </c>
      <c r="W1075">
        <v>9</v>
      </c>
      <c r="X1075">
        <v>9</v>
      </c>
      <c r="Y1075">
        <v>16</v>
      </c>
      <c r="Z1075">
        <v>2</v>
      </c>
      <c r="AA1075">
        <v>3</v>
      </c>
      <c r="AB1075">
        <v>2</v>
      </c>
      <c r="AC1075">
        <v>1</v>
      </c>
      <c r="AD1075">
        <v>8</v>
      </c>
      <c r="AE1075">
        <v>13</v>
      </c>
      <c r="AF1075">
        <v>2</v>
      </c>
      <c r="AG1075">
        <v>6</v>
      </c>
      <c r="AH1075">
        <v>1</v>
      </c>
      <c r="AI1075">
        <v>1</v>
      </c>
    </row>
    <row r="1076" spans="1:35" hidden="1" x14ac:dyDescent="0.25">
      <c r="A1076">
        <v>2021</v>
      </c>
      <c r="B1076" s="1">
        <v>44374</v>
      </c>
      <c r="C1076">
        <v>7</v>
      </c>
      <c r="D1076">
        <v>0</v>
      </c>
      <c r="E1076">
        <v>23726</v>
      </c>
      <c r="F1076" t="s">
        <v>44</v>
      </c>
      <c r="G1076" t="s">
        <v>77</v>
      </c>
      <c r="H1076" t="s">
        <v>368</v>
      </c>
      <c r="I1076" t="s">
        <v>40</v>
      </c>
      <c r="J1076">
        <v>15</v>
      </c>
      <c r="K1076">
        <v>5</v>
      </c>
      <c r="L1076">
        <v>7150000</v>
      </c>
      <c r="M1076">
        <v>41800000</v>
      </c>
      <c r="N1076" t="s">
        <v>41</v>
      </c>
      <c r="O1076" t="s">
        <v>134</v>
      </c>
      <c r="P1076">
        <v>1</v>
      </c>
      <c r="Q1076">
        <v>0</v>
      </c>
      <c r="R1076">
        <v>1</v>
      </c>
      <c r="S1076">
        <v>0</v>
      </c>
      <c r="T1076">
        <v>5</v>
      </c>
      <c r="U1076">
        <v>10</v>
      </c>
      <c r="V1076">
        <v>17</v>
      </c>
      <c r="W1076">
        <v>12</v>
      </c>
      <c r="X1076">
        <v>12</v>
      </c>
      <c r="Y1076">
        <v>17</v>
      </c>
      <c r="Z1076">
        <v>2</v>
      </c>
      <c r="AA1076">
        <v>3</v>
      </c>
      <c r="AB1076">
        <v>4</v>
      </c>
      <c r="AC1076">
        <v>1</v>
      </c>
      <c r="AD1076">
        <v>8</v>
      </c>
      <c r="AE1076">
        <v>13</v>
      </c>
      <c r="AF1076">
        <v>2</v>
      </c>
      <c r="AG1076">
        <v>8</v>
      </c>
      <c r="AH1076">
        <v>1</v>
      </c>
      <c r="AI1076">
        <v>1</v>
      </c>
    </row>
    <row r="1077" spans="1:35" hidden="1" x14ac:dyDescent="0.25">
      <c r="A1077">
        <v>2021</v>
      </c>
      <c r="B1077" s="1">
        <v>44378</v>
      </c>
      <c r="C1077">
        <v>8</v>
      </c>
      <c r="D1077">
        <v>0</v>
      </c>
      <c r="E1077">
        <v>23726</v>
      </c>
      <c r="F1077" t="s">
        <v>44</v>
      </c>
      <c r="G1077" t="s">
        <v>83</v>
      </c>
      <c r="H1077" t="s">
        <v>368</v>
      </c>
      <c r="I1077" t="s">
        <v>333</v>
      </c>
      <c r="J1077">
        <v>14</v>
      </c>
      <c r="K1077">
        <v>16</v>
      </c>
      <c r="L1077">
        <v>7150000</v>
      </c>
      <c r="M1077">
        <v>38950000</v>
      </c>
      <c r="N1077" t="s">
        <v>41</v>
      </c>
      <c r="O1077" t="s">
        <v>129</v>
      </c>
      <c r="P1077">
        <v>2</v>
      </c>
      <c r="Q1077">
        <v>0</v>
      </c>
      <c r="R1077">
        <v>1</v>
      </c>
      <c r="S1077">
        <v>0</v>
      </c>
      <c r="T1077">
        <v>3</v>
      </c>
      <c r="U1077">
        <v>6</v>
      </c>
      <c r="V1077">
        <v>15</v>
      </c>
      <c r="W1077">
        <v>12</v>
      </c>
      <c r="X1077">
        <v>11</v>
      </c>
      <c r="Y1077">
        <v>15</v>
      </c>
      <c r="Z1077">
        <v>3</v>
      </c>
      <c r="AA1077">
        <v>3</v>
      </c>
      <c r="AB1077">
        <v>0</v>
      </c>
      <c r="AC1077">
        <v>1</v>
      </c>
      <c r="AD1077">
        <v>11</v>
      </c>
      <c r="AE1077">
        <v>13</v>
      </c>
      <c r="AF1077">
        <v>6</v>
      </c>
      <c r="AG1077">
        <v>6</v>
      </c>
      <c r="AH1077">
        <v>2</v>
      </c>
      <c r="AI1077">
        <v>1</v>
      </c>
    </row>
    <row r="1078" spans="1:35" hidden="1" x14ac:dyDescent="0.25">
      <c r="A1078">
        <v>2021</v>
      </c>
      <c r="B1078" s="1">
        <v>44388</v>
      </c>
      <c r="C1078">
        <v>11</v>
      </c>
      <c r="D1078">
        <v>0</v>
      </c>
      <c r="E1078">
        <v>23726</v>
      </c>
      <c r="F1078" t="s">
        <v>44</v>
      </c>
      <c r="G1078" t="s">
        <v>76</v>
      </c>
      <c r="H1078" t="s">
        <v>368</v>
      </c>
      <c r="I1078" t="s">
        <v>367</v>
      </c>
      <c r="J1078">
        <v>13</v>
      </c>
      <c r="K1078">
        <v>9</v>
      </c>
      <c r="L1078">
        <v>6250000</v>
      </c>
      <c r="M1078">
        <v>8780000</v>
      </c>
      <c r="N1078" t="s">
        <v>73</v>
      </c>
      <c r="O1078" t="s">
        <v>122</v>
      </c>
      <c r="P1078">
        <v>1</v>
      </c>
      <c r="Q1078">
        <v>1</v>
      </c>
      <c r="R1078">
        <v>0</v>
      </c>
      <c r="S1078">
        <v>0</v>
      </c>
      <c r="T1078">
        <v>4</v>
      </c>
      <c r="U1078">
        <v>3</v>
      </c>
      <c r="V1078">
        <v>17</v>
      </c>
      <c r="W1078">
        <v>23</v>
      </c>
      <c r="X1078">
        <v>19</v>
      </c>
      <c r="Y1078">
        <v>16</v>
      </c>
      <c r="Z1078">
        <v>3</v>
      </c>
      <c r="AA1078">
        <v>2</v>
      </c>
      <c r="AB1078">
        <v>1</v>
      </c>
      <c r="AC1078">
        <v>0</v>
      </c>
      <c r="AD1078">
        <v>15</v>
      </c>
      <c r="AE1078">
        <v>8</v>
      </c>
      <c r="AF1078">
        <v>9</v>
      </c>
      <c r="AG1078">
        <v>1</v>
      </c>
      <c r="AH1078">
        <v>0</v>
      </c>
      <c r="AI1078">
        <v>0</v>
      </c>
    </row>
    <row r="1079" spans="1:35" hidden="1" x14ac:dyDescent="0.25">
      <c r="A1079">
        <v>2021</v>
      </c>
      <c r="B1079" s="1">
        <v>44403</v>
      </c>
      <c r="C1079">
        <v>13</v>
      </c>
      <c r="D1079">
        <v>0</v>
      </c>
      <c r="E1079">
        <v>23726</v>
      </c>
      <c r="F1079" t="s">
        <v>44</v>
      </c>
      <c r="G1079" t="s">
        <v>394</v>
      </c>
      <c r="H1079" t="s">
        <v>368</v>
      </c>
      <c r="I1079" t="s">
        <v>78</v>
      </c>
      <c r="J1079">
        <v>14</v>
      </c>
      <c r="K1079">
        <v>20</v>
      </c>
      <c r="L1079">
        <v>5150000</v>
      </c>
      <c r="M1079">
        <v>4400000</v>
      </c>
      <c r="N1079" t="s">
        <v>151</v>
      </c>
      <c r="O1079" t="s">
        <v>239</v>
      </c>
      <c r="P1079">
        <v>1</v>
      </c>
      <c r="Q1079">
        <v>0</v>
      </c>
      <c r="R1079">
        <v>1</v>
      </c>
      <c r="S1079">
        <v>0</v>
      </c>
      <c r="T1079">
        <v>3</v>
      </c>
      <c r="U1079">
        <v>1</v>
      </c>
      <c r="V1079">
        <v>16</v>
      </c>
      <c r="W1079">
        <v>15</v>
      </c>
      <c r="X1079">
        <v>15</v>
      </c>
      <c r="Y1079">
        <v>13</v>
      </c>
      <c r="Z1079">
        <v>3</v>
      </c>
      <c r="AA1079">
        <v>1</v>
      </c>
      <c r="AB1079">
        <v>1</v>
      </c>
      <c r="AC1079">
        <v>1</v>
      </c>
      <c r="AD1079">
        <v>13</v>
      </c>
      <c r="AE1079">
        <v>7</v>
      </c>
      <c r="AF1079">
        <v>5</v>
      </c>
      <c r="AG1079">
        <v>4</v>
      </c>
      <c r="AH1079">
        <v>1</v>
      </c>
      <c r="AI1079">
        <v>1</v>
      </c>
    </row>
    <row r="1080" spans="1:35" hidden="1" x14ac:dyDescent="0.25">
      <c r="A1080">
        <v>2021</v>
      </c>
      <c r="B1080" s="1">
        <v>44416</v>
      </c>
      <c r="C1080">
        <v>15</v>
      </c>
      <c r="D1080">
        <v>0</v>
      </c>
      <c r="E1080">
        <v>23726</v>
      </c>
      <c r="F1080" t="s">
        <v>44</v>
      </c>
      <c r="G1080" t="s">
        <v>89</v>
      </c>
      <c r="H1080" t="s">
        <v>368</v>
      </c>
      <c r="I1080" t="s">
        <v>71</v>
      </c>
      <c r="J1080">
        <v>13</v>
      </c>
      <c r="K1080">
        <v>2</v>
      </c>
      <c r="L1080">
        <v>5850000</v>
      </c>
      <c r="M1080">
        <v>32700000</v>
      </c>
      <c r="N1080">
        <v>27</v>
      </c>
      <c r="O1080" t="s">
        <v>120</v>
      </c>
      <c r="P1080">
        <v>1</v>
      </c>
      <c r="Q1080">
        <v>2</v>
      </c>
      <c r="R1080">
        <v>1</v>
      </c>
      <c r="S1080">
        <v>0</v>
      </c>
      <c r="T1080">
        <v>4</v>
      </c>
      <c r="U1080">
        <v>5</v>
      </c>
      <c r="V1080">
        <v>17</v>
      </c>
      <c r="W1080">
        <v>14</v>
      </c>
      <c r="X1080">
        <v>13</v>
      </c>
      <c r="Y1080">
        <v>16</v>
      </c>
      <c r="Z1080">
        <v>2</v>
      </c>
      <c r="AA1080">
        <v>0</v>
      </c>
      <c r="AB1080">
        <v>1</v>
      </c>
      <c r="AC1080">
        <v>2</v>
      </c>
      <c r="AD1080">
        <v>6</v>
      </c>
      <c r="AE1080">
        <v>20</v>
      </c>
      <c r="AF1080">
        <v>1</v>
      </c>
      <c r="AG1080">
        <v>7</v>
      </c>
      <c r="AH1080">
        <v>-1</v>
      </c>
      <c r="AI1080">
        <v>0</v>
      </c>
    </row>
    <row r="1081" spans="1:35" hidden="1" x14ac:dyDescent="0.25">
      <c r="A1081">
        <v>2021</v>
      </c>
      <c r="B1081" s="1">
        <v>44430</v>
      </c>
      <c r="C1081">
        <v>17</v>
      </c>
      <c r="D1081">
        <v>0</v>
      </c>
      <c r="E1081">
        <v>23726</v>
      </c>
      <c r="F1081" t="s">
        <v>44</v>
      </c>
      <c r="G1081" t="s">
        <v>63</v>
      </c>
      <c r="H1081" t="s">
        <v>368</v>
      </c>
      <c r="I1081" t="s">
        <v>65</v>
      </c>
      <c r="J1081">
        <v>12</v>
      </c>
      <c r="K1081">
        <v>3</v>
      </c>
      <c r="L1081">
        <v>5550000</v>
      </c>
      <c r="M1081">
        <v>11200000</v>
      </c>
      <c r="N1081" t="s">
        <v>137</v>
      </c>
      <c r="O1081" t="s">
        <v>73</v>
      </c>
      <c r="P1081">
        <v>1</v>
      </c>
      <c r="Q1081">
        <v>1</v>
      </c>
      <c r="R1081">
        <v>0</v>
      </c>
      <c r="S1081">
        <v>1</v>
      </c>
      <c r="T1081">
        <v>5</v>
      </c>
      <c r="U1081">
        <v>9</v>
      </c>
      <c r="V1081">
        <v>8</v>
      </c>
      <c r="W1081">
        <v>9</v>
      </c>
      <c r="X1081">
        <v>8</v>
      </c>
      <c r="Y1081">
        <v>7</v>
      </c>
      <c r="Z1081">
        <v>3</v>
      </c>
      <c r="AA1081">
        <v>3</v>
      </c>
      <c r="AB1081">
        <v>0</v>
      </c>
      <c r="AC1081">
        <v>2</v>
      </c>
      <c r="AD1081">
        <v>19</v>
      </c>
      <c r="AE1081">
        <v>16</v>
      </c>
      <c r="AF1081">
        <v>12</v>
      </c>
      <c r="AG1081">
        <v>7</v>
      </c>
      <c r="AH1081">
        <v>0</v>
      </c>
      <c r="AI1081">
        <v>0</v>
      </c>
    </row>
    <row r="1082" spans="1:35" hidden="1" x14ac:dyDescent="0.25">
      <c r="A1082">
        <v>2021</v>
      </c>
      <c r="B1082" s="1">
        <v>44437</v>
      </c>
      <c r="C1082">
        <v>18</v>
      </c>
      <c r="D1082">
        <v>0</v>
      </c>
      <c r="E1082">
        <v>23726</v>
      </c>
      <c r="F1082" t="s">
        <v>44</v>
      </c>
      <c r="G1082" t="s">
        <v>62</v>
      </c>
      <c r="H1082" t="s">
        <v>368</v>
      </c>
      <c r="I1082" t="s">
        <v>390</v>
      </c>
      <c r="J1082">
        <v>12</v>
      </c>
      <c r="K1082">
        <v>13</v>
      </c>
      <c r="L1082">
        <v>6050000</v>
      </c>
      <c r="M1082">
        <v>32900000</v>
      </c>
      <c r="N1082" t="s">
        <v>137</v>
      </c>
      <c r="O1082">
        <v>28</v>
      </c>
      <c r="P1082">
        <v>1</v>
      </c>
      <c r="Q1082">
        <v>1</v>
      </c>
      <c r="R1082">
        <v>0</v>
      </c>
      <c r="S1082">
        <v>0</v>
      </c>
      <c r="T1082">
        <v>3</v>
      </c>
      <c r="U1082">
        <v>8</v>
      </c>
      <c r="V1082">
        <v>15</v>
      </c>
      <c r="W1082">
        <v>21</v>
      </c>
      <c r="X1082">
        <v>21</v>
      </c>
      <c r="Y1082">
        <v>15</v>
      </c>
      <c r="Z1082">
        <v>3</v>
      </c>
      <c r="AA1082">
        <v>1</v>
      </c>
      <c r="AB1082">
        <v>0</v>
      </c>
      <c r="AC1082">
        <v>3</v>
      </c>
      <c r="AD1082">
        <v>9</v>
      </c>
      <c r="AE1082">
        <v>7</v>
      </c>
      <c r="AF1082">
        <v>6</v>
      </c>
      <c r="AG1082">
        <v>2</v>
      </c>
      <c r="AH1082">
        <v>0</v>
      </c>
      <c r="AI1082">
        <v>0</v>
      </c>
    </row>
    <row r="1083" spans="1:35" hidden="1" x14ac:dyDescent="0.25">
      <c r="A1083">
        <v>2021</v>
      </c>
      <c r="B1083" s="1">
        <v>44450</v>
      </c>
      <c r="C1083">
        <v>20</v>
      </c>
      <c r="D1083">
        <v>0</v>
      </c>
      <c r="E1083">
        <v>23726</v>
      </c>
      <c r="F1083" t="s">
        <v>44</v>
      </c>
      <c r="G1083" t="s">
        <v>70</v>
      </c>
      <c r="J1083">
        <v>13</v>
      </c>
      <c r="K1083">
        <v>11</v>
      </c>
      <c r="L1083">
        <v>5450000</v>
      </c>
      <c r="M1083">
        <v>8200000</v>
      </c>
      <c r="N1083" t="s">
        <v>135</v>
      </c>
      <c r="O1083" t="s">
        <v>200</v>
      </c>
      <c r="P1083">
        <v>1</v>
      </c>
      <c r="Q1083">
        <v>2</v>
      </c>
      <c r="R1083">
        <v>0</v>
      </c>
      <c r="S1083">
        <v>1</v>
      </c>
      <c r="T1083">
        <v>5</v>
      </c>
      <c r="U1083">
        <v>0</v>
      </c>
      <c r="V1083">
        <v>12</v>
      </c>
      <c r="W1083">
        <v>13</v>
      </c>
      <c r="X1083">
        <v>12</v>
      </c>
      <c r="Y1083">
        <v>11</v>
      </c>
      <c r="Z1083">
        <v>0</v>
      </c>
      <c r="AA1083">
        <v>5</v>
      </c>
      <c r="AB1083">
        <v>4</v>
      </c>
      <c r="AC1083">
        <v>1</v>
      </c>
      <c r="AD1083">
        <v>17</v>
      </c>
      <c r="AE1083">
        <v>3</v>
      </c>
      <c r="AF1083">
        <v>4</v>
      </c>
      <c r="AG1083">
        <v>1</v>
      </c>
      <c r="AH1083">
        <v>-1</v>
      </c>
      <c r="AI1083">
        <v>0</v>
      </c>
    </row>
    <row r="1084" spans="1:35" hidden="1" x14ac:dyDescent="0.25">
      <c r="A1084">
        <v>2021</v>
      </c>
      <c r="B1084" s="1">
        <v>44465</v>
      </c>
      <c r="C1084">
        <v>22</v>
      </c>
      <c r="D1084">
        <v>0</v>
      </c>
      <c r="E1084">
        <v>23726</v>
      </c>
      <c r="F1084" t="s">
        <v>44</v>
      </c>
      <c r="G1084" t="s">
        <v>326</v>
      </c>
      <c r="H1084" t="s">
        <v>368</v>
      </c>
      <c r="I1084" t="s">
        <v>379</v>
      </c>
      <c r="J1084">
        <v>18</v>
      </c>
      <c r="K1084">
        <v>14</v>
      </c>
      <c r="L1084">
        <v>6650000</v>
      </c>
      <c r="M1084">
        <v>18150000</v>
      </c>
      <c r="N1084" t="s">
        <v>98</v>
      </c>
      <c r="O1084" t="s">
        <v>100</v>
      </c>
      <c r="P1084">
        <v>3</v>
      </c>
      <c r="Q1084">
        <v>0</v>
      </c>
      <c r="R1084">
        <v>1</v>
      </c>
      <c r="S1084">
        <v>0</v>
      </c>
      <c r="T1084">
        <v>2</v>
      </c>
      <c r="U1084">
        <v>5</v>
      </c>
      <c r="V1084">
        <v>15</v>
      </c>
      <c r="W1084">
        <v>16</v>
      </c>
      <c r="X1084">
        <v>16</v>
      </c>
      <c r="Y1084">
        <v>15</v>
      </c>
      <c r="Z1084">
        <v>3</v>
      </c>
      <c r="AA1084">
        <v>1</v>
      </c>
      <c r="AB1084">
        <v>2</v>
      </c>
      <c r="AC1084">
        <v>1</v>
      </c>
      <c r="AD1084">
        <v>6</v>
      </c>
      <c r="AE1084">
        <v>19</v>
      </c>
      <c r="AF1084">
        <v>0</v>
      </c>
      <c r="AG1084">
        <v>9</v>
      </c>
      <c r="AH1084">
        <v>3</v>
      </c>
      <c r="AI1084">
        <v>1</v>
      </c>
    </row>
    <row r="1085" spans="1:35" hidden="1" x14ac:dyDescent="0.25">
      <c r="A1085">
        <v>2021</v>
      </c>
      <c r="B1085" s="1">
        <v>44479</v>
      </c>
      <c r="C1085">
        <v>25</v>
      </c>
      <c r="D1085">
        <v>1457</v>
      </c>
      <c r="E1085">
        <v>23726</v>
      </c>
      <c r="F1085" t="s">
        <v>44</v>
      </c>
      <c r="G1085" t="s">
        <v>310</v>
      </c>
      <c r="H1085" t="s">
        <v>368</v>
      </c>
      <c r="I1085" t="s">
        <v>312</v>
      </c>
      <c r="J1085">
        <v>16</v>
      </c>
      <c r="K1085">
        <v>10</v>
      </c>
      <c r="L1085">
        <v>7350000</v>
      </c>
      <c r="M1085">
        <v>4400000</v>
      </c>
      <c r="N1085" t="s">
        <v>41</v>
      </c>
      <c r="O1085" t="s">
        <v>105</v>
      </c>
      <c r="P1085">
        <v>1</v>
      </c>
      <c r="Q1085">
        <v>1</v>
      </c>
      <c r="R1085">
        <v>1</v>
      </c>
      <c r="S1085">
        <v>1</v>
      </c>
      <c r="T1085">
        <v>3</v>
      </c>
      <c r="U1085">
        <v>4</v>
      </c>
      <c r="V1085">
        <v>24</v>
      </c>
      <c r="W1085">
        <v>26</v>
      </c>
      <c r="X1085">
        <v>25</v>
      </c>
      <c r="Y1085">
        <v>23</v>
      </c>
      <c r="Z1085">
        <v>1</v>
      </c>
      <c r="AA1085">
        <v>4</v>
      </c>
      <c r="AB1085">
        <v>0</v>
      </c>
      <c r="AC1085">
        <v>0</v>
      </c>
      <c r="AD1085">
        <v>14</v>
      </c>
      <c r="AE1085">
        <v>10</v>
      </c>
      <c r="AF1085">
        <v>4</v>
      </c>
      <c r="AG1085">
        <v>3</v>
      </c>
      <c r="AH1085">
        <v>0</v>
      </c>
      <c r="AI1085">
        <v>0</v>
      </c>
    </row>
    <row r="1086" spans="1:35" hidden="1" x14ac:dyDescent="0.25">
      <c r="A1086">
        <v>2021</v>
      </c>
      <c r="B1086" s="1">
        <v>44492</v>
      </c>
      <c r="C1086">
        <v>28</v>
      </c>
      <c r="D1086">
        <v>3680</v>
      </c>
      <c r="E1086">
        <v>23726</v>
      </c>
      <c r="F1086" t="s">
        <v>44</v>
      </c>
      <c r="G1086" t="s">
        <v>361</v>
      </c>
      <c r="H1086" t="s">
        <v>78</v>
      </c>
      <c r="I1086" t="s">
        <v>333</v>
      </c>
      <c r="J1086">
        <v>17</v>
      </c>
      <c r="K1086">
        <v>15</v>
      </c>
      <c r="L1086">
        <v>6500000</v>
      </c>
      <c r="M1086">
        <v>7350000</v>
      </c>
      <c r="N1086" t="s">
        <v>41</v>
      </c>
      <c r="O1086" t="s">
        <v>134</v>
      </c>
      <c r="P1086">
        <v>0</v>
      </c>
      <c r="Q1086">
        <v>0</v>
      </c>
      <c r="R1086">
        <v>0</v>
      </c>
      <c r="S1086">
        <v>0</v>
      </c>
      <c r="T1086">
        <v>9</v>
      </c>
      <c r="U1086">
        <v>3</v>
      </c>
      <c r="V1086">
        <v>15</v>
      </c>
      <c r="W1086">
        <v>20</v>
      </c>
      <c r="X1086">
        <v>19</v>
      </c>
      <c r="Y1086">
        <v>14</v>
      </c>
      <c r="Z1086">
        <v>2</v>
      </c>
      <c r="AA1086">
        <v>8</v>
      </c>
      <c r="AB1086">
        <v>0</v>
      </c>
      <c r="AC1086">
        <v>2</v>
      </c>
      <c r="AD1086">
        <v>26</v>
      </c>
      <c r="AE1086">
        <v>4</v>
      </c>
      <c r="AF1086">
        <v>12</v>
      </c>
      <c r="AG1086">
        <v>2</v>
      </c>
      <c r="AH1086">
        <v>0</v>
      </c>
      <c r="AI1086">
        <v>0</v>
      </c>
    </row>
    <row r="1087" spans="1:35" hidden="1" x14ac:dyDescent="0.25">
      <c r="A1087">
        <v>2021</v>
      </c>
      <c r="B1087" s="1">
        <v>44500</v>
      </c>
      <c r="C1087">
        <v>29</v>
      </c>
      <c r="D1087">
        <v>3738</v>
      </c>
      <c r="E1087">
        <v>23726</v>
      </c>
      <c r="F1087" t="s">
        <v>44</v>
      </c>
      <c r="G1087" t="s">
        <v>38</v>
      </c>
      <c r="H1087" t="s">
        <v>78</v>
      </c>
      <c r="I1087" t="s">
        <v>340</v>
      </c>
      <c r="J1087">
        <v>17</v>
      </c>
      <c r="K1087">
        <v>15</v>
      </c>
      <c r="L1087">
        <v>5900000</v>
      </c>
      <c r="M1087">
        <v>8530000</v>
      </c>
      <c r="N1087" t="s">
        <v>73</v>
      </c>
      <c r="O1087">
        <v>27</v>
      </c>
      <c r="P1087">
        <v>0</v>
      </c>
      <c r="Q1087">
        <v>0</v>
      </c>
      <c r="R1087">
        <v>0</v>
      </c>
      <c r="S1087">
        <v>0</v>
      </c>
      <c r="T1087">
        <v>7</v>
      </c>
      <c r="U1087">
        <v>3</v>
      </c>
      <c r="V1087">
        <v>13</v>
      </c>
      <c r="W1087">
        <v>17</v>
      </c>
      <c r="X1087">
        <v>17</v>
      </c>
      <c r="Y1087">
        <v>9</v>
      </c>
      <c r="Z1087">
        <v>0</v>
      </c>
      <c r="AA1087">
        <v>3</v>
      </c>
      <c r="AB1087">
        <v>2</v>
      </c>
      <c r="AC1087">
        <v>0</v>
      </c>
      <c r="AD1087">
        <v>18</v>
      </c>
      <c r="AE1087">
        <v>9</v>
      </c>
      <c r="AF1087">
        <v>8</v>
      </c>
      <c r="AG1087">
        <v>5</v>
      </c>
      <c r="AH1087">
        <v>0</v>
      </c>
      <c r="AI1087">
        <v>0</v>
      </c>
    </row>
    <row r="1088" spans="1:35" hidden="1" x14ac:dyDescent="0.25">
      <c r="A1088">
        <v>2021</v>
      </c>
      <c r="B1088" s="1">
        <v>44511</v>
      </c>
      <c r="C1088">
        <v>31</v>
      </c>
      <c r="D1088">
        <v>6877</v>
      </c>
      <c r="E1088">
        <v>23726</v>
      </c>
      <c r="F1088" t="s">
        <v>44</v>
      </c>
      <c r="G1088" t="s">
        <v>37</v>
      </c>
      <c r="H1088" t="s">
        <v>78</v>
      </c>
      <c r="I1088" t="s">
        <v>342</v>
      </c>
      <c r="J1088">
        <v>17</v>
      </c>
      <c r="K1088">
        <v>7</v>
      </c>
      <c r="L1088">
        <v>7000000</v>
      </c>
      <c r="M1088">
        <v>26300000</v>
      </c>
      <c r="N1088" t="s">
        <v>235</v>
      </c>
      <c r="O1088" t="s">
        <v>168</v>
      </c>
      <c r="P1088">
        <v>2</v>
      </c>
      <c r="Q1088">
        <v>1</v>
      </c>
      <c r="R1088">
        <v>0</v>
      </c>
      <c r="S1088">
        <v>0</v>
      </c>
      <c r="T1088">
        <v>2</v>
      </c>
      <c r="U1088">
        <v>3</v>
      </c>
      <c r="V1088">
        <v>19</v>
      </c>
      <c r="W1088">
        <v>15</v>
      </c>
      <c r="X1088">
        <v>15</v>
      </c>
      <c r="Y1088">
        <v>18</v>
      </c>
      <c r="Z1088">
        <v>1</v>
      </c>
      <c r="AA1088">
        <v>2</v>
      </c>
      <c r="AB1088">
        <v>1</v>
      </c>
      <c r="AC1088">
        <v>0</v>
      </c>
      <c r="AD1088">
        <v>14</v>
      </c>
      <c r="AE1088">
        <v>14</v>
      </c>
      <c r="AF1088">
        <v>6</v>
      </c>
      <c r="AG1088">
        <v>5</v>
      </c>
      <c r="AH1088">
        <v>1</v>
      </c>
      <c r="AI1088">
        <v>1</v>
      </c>
    </row>
    <row r="1089" spans="1:35" hidden="1" x14ac:dyDescent="0.25">
      <c r="A1089">
        <v>2021</v>
      </c>
      <c r="B1089" s="1">
        <v>44518</v>
      </c>
      <c r="C1089">
        <v>33</v>
      </c>
      <c r="D1089">
        <v>5247</v>
      </c>
      <c r="E1089">
        <v>23726</v>
      </c>
      <c r="F1089" t="s">
        <v>44</v>
      </c>
      <c r="G1089" t="s">
        <v>55</v>
      </c>
      <c r="H1089" t="s">
        <v>78</v>
      </c>
      <c r="I1089" t="s">
        <v>223</v>
      </c>
      <c r="J1089">
        <v>16</v>
      </c>
      <c r="K1089">
        <v>8</v>
      </c>
      <c r="L1089">
        <v>5900000</v>
      </c>
      <c r="M1089">
        <v>22100000</v>
      </c>
      <c r="N1089" t="s">
        <v>128</v>
      </c>
      <c r="O1089">
        <v>25</v>
      </c>
      <c r="P1089">
        <v>1</v>
      </c>
      <c r="Q1089">
        <v>0</v>
      </c>
      <c r="R1089">
        <v>1</v>
      </c>
      <c r="S1089">
        <v>0</v>
      </c>
      <c r="T1089">
        <v>2</v>
      </c>
      <c r="U1089">
        <v>5</v>
      </c>
      <c r="V1089">
        <v>20</v>
      </c>
      <c r="W1089">
        <v>19</v>
      </c>
      <c r="X1089">
        <v>17</v>
      </c>
      <c r="Y1089">
        <v>19</v>
      </c>
      <c r="Z1089">
        <v>1</v>
      </c>
      <c r="AA1089">
        <v>5</v>
      </c>
      <c r="AB1089">
        <v>1</v>
      </c>
      <c r="AC1089">
        <v>1</v>
      </c>
      <c r="AD1089">
        <v>15</v>
      </c>
      <c r="AE1089">
        <v>7</v>
      </c>
      <c r="AF1089">
        <v>4</v>
      </c>
      <c r="AG1089">
        <v>4</v>
      </c>
      <c r="AH1089">
        <v>1</v>
      </c>
      <c r="AI1089">
        <v>1</v>
      </c>
    </row>
    <row r="1090" spans="1:35" hidden="1" x14ac:dyDescent="0.25">
      <c r="A1090">
        <v>2021</v>
      </c>
      <c r="B1090" s="1">
        <v>44530</v>
      </c>
      <c r="C1090">
        <v>35</v>
      </c>
      <c r="D1090">
        <v>18413</v>
      </c>
      <c r="E1090">
        <v>23726</v>
      </c>
      <c r="F1090" t="s">
        <v>44</v>
      </c>
      <c r="G1090" t="s">
        <v>56</v>
      </c>
      <c r="H1090" t="s">
        <v>78</v>
      </c>
      <c r="I1090" t="s">
        <v>341</v>
      </c>
      <c r="J1090">
        <v>16</v>
      </c>
      <c r="K1090">
        <v>6</v>
      </c>
      <c r="L1090">
        <v>6750000</v>
      </c>
      <c r="M1090">
        <v>30100000</v>
      </c>
      <c r="N1090" t="s">
        <v>137</v>
      </c>
      <c r="O1090" t="s">
        <v>171</v>
      </c>
      <c r="P1090">
        <v>1</v>
      </c>
      <c r="Q1090">
        <v>0</v>
      </c>
      <c r="R1090">
        <v>1</v>
      </c>
      <c r="S1090">
        <v>0</v>
      </c>
      <c r="T1090">
        <v>0</v>
      </c>
      <c r="U1090">
        <v>4</v>
      </c>
      <c r="V1090">
        <v>15</v>
      </c>
      <c r="W1090">
        <v>25</v>
      </c>
      <c r="X1090">
        <v>23</v>
      </c>
      <c r="Y1090">
        <v>15</v>
      </c>
      <c r="Z1090">
        <v>0</v>
      </c>
      <c r="AA1090">
        <v>1</v>
      </c>
      <c r="AB1090">
        <v>2</v>
      </c>
      <c r="AC1090">
        <v>2</v>
      </c>
      <c r="AD1090">
        <v>9</v>
      </c>
      <c r="AE1090">
        <v>13</v>
      </c>
      <c r="AF1090">
        <v>6</v>
      </c>
      <c r="AG1090">
        <v>8</v>
      </c>
      <c r="AH1090">
        <v>1</v>
      </c>
      <c r="AI1090">
        <v>1</v>
      </c>
    </row>
    <row r="1091" spans="1:35" hidden="1" x14ac:dyDescent="0.25">
      <c r="A1091">
        <v>2021</v>
      </c>
      <c r="B1091" s="1">
        <v>44540</v>
      </c>
      <c r="C1091">
        <v>38</v>
      </c>
      <c r="D1091">
        <v>17056</v>
      </c>
      <c r="E1091">
        <v>23726</v>
      </c>
      <c r="F1091" t="s">
        <v>44</v>
      </c>
      <c r="G1091" t="s">
        <v>88</v>
      </c>
      <c r="H1091" t="s">
        <v>78</v>
      </c>
      <c r="I1091" t="s">
        <v>392</v>
      </c>
      <c r="J1091">
        <v>17</v>
      </c>
      <c r="K1091">
        <v>4</v>
      </c>
      <c r="L1091">
        <v>6000000</v>
      </c>
      <c r="M1091">
        <v>26500000</v>
      </c>
      <c r="N1091" t="s">
        <v>122</v>
      </c>
      <c r="O1091">
        <v>28</v>
      </c>
      <c r="P1091">
        <v>1</v>
      </c>
      <c r="Q1091">
        <v>0</v>
      </c>
      <c r="R1091">
        <v>0</v>
      </c>
      <c r="S1091">
        <v>0</v>
      </c>
      <c r="T1091">
        <v>11</v>
      </c>
      <c r="U1091">
        <v>4</v>
      </c>
      <c r="V1091">
        <v>10</v>
      </c>
      <c r="W1091">
        <v>22</v>
      </c>
      <c r="X1091">
        <v>21</v>
      </c>
      <c r="Y1091">
        <v>10</v>
      </c>
      <c r="Z1091">
        <v>1</v>
      </c>
      <c r="AA1091">
        <v>5</v>
      </c>
      <c r="AB1091">
        <v>0</v>
      </c>
      <c r="AC1091">
        <v>0</v>
      </c>
      <c r="AD1091">
        <v>17</v>
      </c>
      <c r="AE1091">
        <v>1</v>
      </c>
      <c r="AF1091">
        <v>7</v>
      </c>
      <c r="AG1091">
        <v>0</v>
      </c>
      <c r="AH1091">
        <v>1</v>
      </c>
      <c r="AI1091">
        <v>1</v>
      </c>
    </row>
    <row r="1092" spans="1:35" hidden="1" x14ac:dyDescent="0.25">
      <c r="A1092">
        <v>2021</v>
      </c>
      <c r="B1092" s="1">
        <v>44353</v>
      </c>
      <c r="C1092">
        <v>2</v>
      </c>
      <c r="D1092">
        <v>0</v>
      </c>
      <c r="E1092">
        <v>43600</v>
      </c>
      <c r="F1092" t="s">
        <v>95</v>
      </c>
      <c r="G1092" t="s">
        <v>394</v>
      </c>
      <c r="H1092" t="s">
        <v>97</v>
      </c>
      <c r="I1092" t="s">
        <v>78</v>
      </c>
      <c r="J1092">
        <v>18</v>
      </c>
      <c r="K1092">
        <v>19</v>
      </c>
      <c r="L1092">
        <v>46650000</v>
      </c>
      <c r="M1092">
        <v>5450000</v>
      </c>
      <c r="N1092" t="s">
        <v>114</v>
      </c>
      <c r="O1092">
        <v>26</v>
      </c>
      <c r="P1092">
        <v>3</v>
      </c>
      <c r="Q1092">
        <v>1</v>
      </c>
      <c r="R1092">
        <v>3</v>
      </c>
      <c r="S1092">
        <v>0</v>
      </c>
      <c r="T1092">
        <v>5</v>
      </c>
      <c r="U1092">
        <v>3</v>
      </c>
      <c r="V1092">
        <v>10</v>
      </c>
      <c r="W1092">
        <v>11</v>
      </c>
      <c r="X1092">
        <v>10</v>
      </c>
      <c r="Y1092">
        <v>9</v>
      </c>
      <c r="Z1092">
        <v>3</v>
      </c>
      <c r="AA1092">
        <v>1</v>
      </c>
      <c r="AB1092">
        <v>1</v>
      </c>
      <c r="AC1092">
        <v>2</v>
      </c>
      <c r="AD1092">
        <v>17</v>
      </c>
      <c r="AE1092">
        <v>6</v>
      </c>
      <c r="AF1092">
        <v>10</v>
      </c>
      <c r="AG1092">
        <v>2</v>
      </c>
      <c r="AH1092">
        <v>2</v>
      </c>
      <c r="AI1092">
        <v>1</v>
      </c>
    </row>
    <row r="1093" spans="1:35" hidden="1" x14ac:dyDescent="0.25">
      <c r="A1093">
        <v>2021</v>
      </c>
      <c r="B1093" s="1">
        <v>44360</v>
      </c>
      <c r="C1093">
        <v>3</v>
      </c>
      <c r="D1093">
        <v>0</v>
      </c>
      <c r="E1093">
        <v>43600</v>
      </c>
      <c r="F1093" t="s">
        <v>95</v>
      </c>
      <c r="G1093" t="s">
        <v>88</v>
      </c>
      <c r="H1093" t="s">
        <v>97</v>
      </c>
      <c r="I1093" t="s">
        <v>392</v>
      </c>
      <c r="J1093">
        <v>8</v>
      </c>
      <c r="K1093">
        <v>10</v>
      </c>
      <c r="L1093">
        <v>35250000</v>
      </c>
      <c r="M1093">
        <v>24450000</v>
      </c>
      <c r="N1093" t="s">
        <v>86</v>
      </c>
      <c r="O1093" t="s">
        <v>129</v>
      </c>
      <c r="P1093">
        <v>1</v>
      </c>
      <c r="Q1093">
        <v>1</v>
      </c>
      <c r="R1093">
        <v>1</v>
      </c>
      <c r="S1093">
        <v>0</v>
      </c>
      <c r="T1093">
        <v>4</v>
      </c>
      <c r="U1093">
        <v>4</v>
      </c>
      <c r="V1093">
        <v>14</v>
      </c>
      <c r="W1093">
        <v>14</v>
      </c>
      <c r="X1093">
        <v>13</v>
      </c>
      <c r="Y1093">
        <v>14</v>
      </c>
      <c r="Z1093">
        <v>3</v>
      </c>
      <c r="AA1093">
        <v>2</v>
      </c>
      <c r="AB1093">
        <v>4</v>
      </c>
      <c r="AC1093">
        <v>2</v>
      </c>
      <c r="AD1093">
        <v>12</v>
      </c>
      <c r="AE1093">
        <v>9</v>
      </c>
      <c r="AF1093">
        <v>6</v>
      </c>
      <c r="AG1093">
        <v>3</v>
      </c>
      <c r="AH1093">
        <v>0</v>
      </c>
      <c r="AI1093">
        <v>0</v>
      </c>
    </row>
    <row r="1094" spans="1:35" hidden="1" x14ac:dyDescent="0.25">
      <c r="A1094">
        <v>2021</v>
      </c>
      <c r="B1094" s="1">
        <v>44367</v>
      </c>
      <c r="C1094">
        <v>5</v>
      </c>
      <c r="D1094">
        <v>0</v>
      </c>
      <c r="E1094">
        <v>43600</v>
      </c>
      <c r="F1094" t="s">
        <v>95</v>
      </c>
      <c r="G1094" t="s">
        <v>310</v>
      </c>
      <c r="H1094" t="s">
        <v>97</v>
      </c>
      <c r="I1094" t="s">
        <v>377</v>
      </c>
      <c r="J1094">
        <v>7</v>
      </c>
      <c r="K1094">
        <v>20</v>
      </c>
      <c r="L1094">
        <v>48850000</v>
      </c>
      <c r="M1094">
        <v>5280000</v>
      </c>
      <c r="N1094" t="s">
        <v>86</v>
      </c>
      <c r="O1094" t="s">
        <v>129</v>
      </c>
      <c r="P1094">
        <v>2</v>
      </c>
      <c r="Q1094">
        <v>1</v>
      </c>
      <c r="R1094">
        <v>1</v>
      </c>
      <c r="S1094">
        <v>1</v>
      </c>
      <c r="T1094">
        <v>7</v>
      </c>
      <c r="U1094">
        <v>5</v>
      </c>
      <c r="V1094">
        <v>15</v>
      </c>
      <c r="W1094">
        <v>10</v>
      </c>
      <c r="X1094">
        <v>10</v>
      </c>
      <c r="Y1094">
        <v>12</v>
      </c>
      <c r="Z1094">
        <v>4</v>
      </c>
      <c r="AA1094">
        <v>4</v>
      </c>
      <c r="AB1094">
        <v>0</v>
      </c>
      <c r="AC1094">
        <v>3</v>
      </c>
      <c r="AD1094">
        <v>15</v>
      </c>
      <c r="AE1094">
        <v>12</v>
      </c>
      <c r="AF1094">
        <v>6</v>
      </c>
      <c r="AG1094">
        <v>2</v>
      </c>
      <c r="AH1094">
        <v>1</v>
      </c>
      <c r="AI1094">
        <v>1</v>
      </c>
    </row>
    <row r="1095" spans="1:35" hidden="1" x14ac:dyDescent="0.25">
      <c r="A1095">
        <v>2021</v>
      </c>
      <c r="B1095" s="1">
        <v>44375</v>
      </c>
      <c r="C1095">
        <v>7</v>
      </c>
      <c r="D1095">
        <v>0</v>
      </c>
      <c r="E1095">
        <v>43600</v>
      </c>
      <c r="F1095" t="s">
        <v>95</v>
      </c>
      <c r="G1095" t="s">
        <v>38</v>
      </c>
      <c r="H1095" t="s">
        <v>97</v>
      </c>
      <c r="I1095" t="s">
        <v>398</v>
      </c>
      <c r="J1095">
        <v>6</v>
      </c>
      <c r="K1095">
        <v>4</v>
      </c>
      <c r="L1095">
        <v>38550000</v>
      </c>
      <c r="M1095">
        <v>9850000</v>
      </c>
      <c r="N1095" t="s">
        <v>137</v>
      </c>
      <c r="O1095" t="s">
        <v>114</v>
      </c>
      <c r="P1095">
        <v>3</v>
      </c>
      <c r="Q1095">
        <v>2</v>
      </c>
      <c r="R1095">
        <v>1</v>
      </c>
      <c r="S1095">
        <v>1</v>
      </c>
      <c r="T1095">
        <v>7</v>
      </c>
      <c r="U1095">
        <v>7</v>
      </c>
      <c r="V1095">
        <v>10</v>
      </c>
      <c r="W1095">
        <v>16</v>
      </c>
      <c r="X1095">
        <v>15</v>
      </c>
      <c r="Y1095">
        <v>9</v>
      </c>
      <c r="Z1095">
        <v>2</v>
      </c>
      <c r="AA1095">
        <v>5</v>
      </c>
      <c r="AB1095">
        <v>6</v>
      </c>
      <c r="AC1095">
        <v>1</v>
      </c>
      <c r="AD1095">
        <v>19</v>
      </c>
      <c r="AE1095">
        <v>18</v>
      </c>
      <c r="AF1095">
        <v>7</v>
      </c>
      <c r="AG1095">
        <v>9</v>
      </c>
      <c r="AH1095">
        <v>1</v>
      </c>
      <c r="AI1095">
        <v>1</v>
      </c>
    </row>
    <row r="1096" spans="1:35" hidden="1" x14ac:dyDescent="0.25">
      <c r="A1096">
        <v>2021</v>
      </c>
      <c r="B1096" s="1">
        <v>44385</v>
      </c>
      <c r="C1096">
        <v>10</v>
      </c>
      <c r="D1096">
        <v>0</v>
      </c>
      <c r="E1096">
        <v>43600</v>
      </c>
      <c r="F1096" t="s">
        <v>95</v>
      </c>
      <c r="G1096" t="s">
        <v>83</v>
      </c>
      <c r="H1096" t="s">
        <v>97</v>
      </c>
      <c r="I1096" t="s">
        <v>403</v>
      </c>
      <c r="J1096">
        <v>3</v>
      </c>
      <c r="K1096">
        <v>18</v>
      </c>
      <c r="L1096">
        <v>58550000</v>
      </c>
      <c r="M1096">
        <v>44600000</v>
      </c>
      <c r="N1096" t="s">
        <v>122</v>
      </c>
      <c r="O1096" t="s">
        <v>128</v>
      </c>
      <c r="P1096">
        <v>2</v>
      </c>
      <c r="Q1096">
        <v>0</v>
      </c>
      <c r="R1096">
        <v>2</v>
      </c>
      <c r="S1096">
        <v>0</v>
      </c>
      <c r="T1096">
        <v>4</v>
      </c>
      <c r="U1096">
        <v>5</v>
      </c>
      <c r="V1096">
        <v>15</v>
      </c>
      <c r="W1096">
        <v>16</v>
      </c>
      <c r="X1096">
        <v>15</v>
      </c>
      <c r="Y1096">
        <v>15</v>
      </c>
      <c r="Z1096">
        <v>4</v>
      </c>
      <c r="AA1096">
        <v>4</v>
      </c>
      <c r="AB1096">
        <v>2</v>
      </c>
      <c r="AC1096">
        <v>0</v>
      </c>
      <c r="AD1096">
        <v>18</v>
      </c>
      <c r="AE1096">
        <v>12</v>
      </c>
      <c r="AF1096">
        <v>8</v>
      </c>
      <c r="AG1096">
        <v>5</v>
      </c>
      <c r="AH1096">
        <v>2</v>
      </c>
      <c r="AI1096">
        <v>1</v>
      </c>
    </row>
    <row r="1097" spans="1:35" hidden="1" x14ac:dyDescent="0.25">
      <c r="A1097">
        <v>2021</v>
      </c>
      <c r="B1097" s="1">
        <v>44387</v>
      </c>
      <c r="C1097">
        <v>11</v>
      </c>
      <c r="D1097">
        <v>0</v>
      </c>
      <c r="E1097">
        <v>43600</v>
      </c>
      <c r="F1097" t="s">
        <v>95</v>
      </c>
      <c r="G1097" t="s">
        <v>326</v>
      </c>
      <c r="H1097" t="s">
        <v>404</v>
      </c>
      <c r="I1097" t="s">
        <v>57</v>
      </c>
      <c r="J1097">
        <v>1</v>
      </c>
      <c r="K1097">
        <v>7</v>
      </c>
      <c r="L1097">
        <v>36650000</v>
      </c>
      <c r="M1097">
        <v>21850000</v>
      </c>
      <c r="N1097" t="s">
        <v>105</v>
      </c>
      <c r="O1097">
        <v>26</v>
      </c>
      <c r="P1097">
        <v>3</v>
      </c>
      <c r="Q1097">
        <v>2</v>
      </c>
      <c r="R1097">
        <v>2</v>
      </c>
      <c r="S1097">
        <v>0</v>
      </c>
      <c r="T1097">
        <v>6</v>
      </c>
      <c r="U1097">
        <v>5</v>
      </c>
      <c r="V1097">
        <v>19</v>
      </c>
      <c r="W1097">
        <v>21</v>
      </c>
      <c r="X1097">
        <v>20</v>
      </c>
      <c r="Y1097">
        <v>18</v>
      </c>
      <c r="Z1097">
        <v>0</v>
      </c>
      <c r="AA1097">
        <v>4</v>
      </c>
      <c r="AB1097">
        <v>3</v>
      </c>
      <c r="AC1097">
        <v>0</v>
      </c>
      <c r="AD1097">
        <v>14</v>
      </c>
      <c r="AE1097">
        <v>12</v>
      </c>
      <c r="AF1097">
        <v>4</v>
      </c>
      <c r="AG1097">
        <v>4</v>
      </c>
      <c r="AH1097">
        <v>1</v>
      </c>
      <c r="AI1097">
        <v>1</v>
      </c>
    </row>
    <row r="1098" spans="1:35" hidden="1" x14ac:dyDescent="0.25">
      <c r="A1098">
        <v>2021</v>
      </c>
      <c r="B1098" s="1">
        <v>44402</v>
      </c>
      <c r="C1098">
        <v>13</v>
      </c>
      <c r="D1098">
        <v>0</v>
      </c>
      <c r="E1098">
        <v>43600</v>
      </c>
      <c r="F1098" t="s">
        <v>95</v>
      </c>
      <c r="G1098" t="s">
        <v>55</v>
      </c>
      <c r="H1098" t="s">
        <v>404</v>
      </c>
      <c r="I1098" t="s">
        <v>46</v>
      </c>
      <c r="J1098">
        <v>1</v>
      </c>
      <c r="K1098">
        <v>9</v>
      </c>
      <c r="L1098">
        <v>45200000</v>
      </c>
      <c r="M1098">
        <v>12200000</v>
      </c>
      <c r="N1098" t="s">
        <v>135</v>
      </c>
      <c r="O1098" t="s">
        <v>111</v>
      </c>
      <c r="P1098">
        <v>1</v>
      </c>
      <c r="Q1098">
        <v>0</v>
      </c>
      <c r="R1098">
        <v>0</v>
      </c>
      <c r="S1098">
        <v>0</v>
      </c>
      <c r="T1098">
        <v>7</v>
      </c>
      <c r="U1098">
        <v>5</v>
      </c>
      <c r="V1098">
        <v>13</v>
      </c>
      <c r="W1098">
        <v>9</v>
      </c>
      <c r="X1098">
        <v>9</v>
      </c>
      <c r="Y1098">
        <v>13</v>
      </c>
      <c r="Z1098">
        <v>2</v>
      </c>
      <c r="AA1098">
        <v>1</v>
      </c>
      <c r="AB1098">
        <v>2</v>
      </c>
      <c r="AC1098">
        <v>1</v>
      </c>
      <c r="AD1098">
        <v>10</v>
      </c>
      <c r="AE1098">
        <v>9</v>
      </c>
      <c r="AF1098">
        <v>5</v>
      </c>
      <c r="AG1098">
        <v>3</v>
      </c>
      <c r="AH1098">
        <v>1</v>
      </c>
      <c r="AI1098">
        <v>1</v>
      </c>
    </row>
    <row r="1099" spans="1:35" hidden="1" x14ac:dyDescent="0.25">
      <c r="A1099">
        <v>2021</v>
      </c>
      <c r="B1099" s="1">
        <v>44416</v>
      </c>
      <c r="C1099">
        <v>15</v>
      </c>
      <c r="D1099">
        <v>0</v>
      </c>
      <c r="E1099">
        <v>43600</v>
      </c>
      <c r="F1099" t="s">
        <v>95</v>
      </c>
      <c r="G1099" t="s">
        <v>63</v>
      </c>
      <c r="H1099" t="s">
        <v>97</v>
      </c>
      <c r="I1099" t="s">
        <v>65</v>
      </c>
      <c r="J1099">
        <v>1</v>
      </c>
      <c r="K1099">
        <v>3</v>
      </c>
      <c r="L1099">
        <v>49600000</v>
      </c>
      <c r="M1099">
        <v>7250000</v>
      </c>
      <c r="N1099" t="s">
        <v>168</v>
      </c>
      <c r="O1099" t="s">
        <v>100</v>
      </c>
      <c r="P1099">
        <v>2</v>
      </c>
      <c r="Q1099">
        <v>3</v>
      </c>
      <c r="R1099">
        <v>2</v>
      </c>
      <c r="S1099">
        <v>2</v>
      </c>
      <c r="T1099">
        <v>6</v>
      </c>
      <c r="U1099">
        <v>2</v>
      </c>
      <c r="V1099">
        <v>22</v>
      </c>
      <c r="W1099">
        <v>13</v>
      </c>
      <c r="X1099">
        <v>12</v>
      </c>
      <c r="Y1099">
        <v>22</v>
      </c>
      <c r="Z1099">
        <v>3</v>
      </c>
      <c r="AA1099">
        <v>1</v>
      </c>
      <c r="AB1099">
        <v>1</v>
      </c>
      <c r="AC1099">
        <v>2</v>
      </c>
      <c r="AD1099">
        <v>20</v>
      </c>
      <c r="AE1099">
        <v>15</v>
      </c>
      <c r="AF1099">
        <v>10</v>
      </c>
      <c r="AG1099">
        <v>6</v>
      </c>
      <c r="AH1099">
        <v>-1</v>
      </c>
      <c r="AI1099">
        <v>0</v>
      </c>
    </row>
    <row r="1100" spans="1:35" hidden="1" x14ac:dyDescent="0.25">
      <c r="A1100">
        <v>2021</v>
      </c>
      <c r="B1100" s="1">
        <v>44430</v>
      </c>
      <c r="C1100">
        <v>17</v>
      </c>
      <c r="D1100">
        <v>0</v>
      </c>
      <c r="E1100">
        <v>43600</v>
      </c>
      <c r="F1100" t="s">
        <v>95</v>
      </c>
      <c r="G1100" t="s">
        <v>70</v>
      </c>
      <c r="J1100">
        <v>2</v>
      </c>
      <c r="K1100">
        <v>16</v>
      </c>
      <c r="L1100">
        <v>62300000</v>
      </c>
      <c r="M1100">
        <v>6500000</v>
      </c>
      <c r="N1100" t="s">
        <v>116</v>
      </c>
      <c r="O1100" t="s">
        <v>200</v>
      </c>
      <c r="P1100">
        <v>0</v>
      </c>
      <c r="Q1100">
        <v>2</v>
      </c>
      <c r="R1100">
        <v>0</v>
      </c>
      <c r="S1100">
        <v>1</v>
      </c>
      <c r="T1100">
        <v>13</v>
      </c>
      <c r="U1100">
        <v>3</v>
      </c>
      <c r="V1100">
        <v>8</v>
      </c>
      <c r="W1100">
        <v>14</v>
      </c>
      <c r="X1100">
        <v>13</v>
      </c>
      <c r="Y1100">
        <v>8</v>
      </c>
      <c r="Z1100">
        <v>2</v>
      </c>
      <c r="AA1100">
        <v>7</v>
      </c>
      <c r="AB1100">
        <v>4</v>
      </c>
      <c r="AC1100">
        <v>3</v>
      </c>
      <c r="AD1100">
        <v>31</v>
      </c>
      <c r="AE1100">
        <v>9</v>
      </c>
      <c r="AF1100">
        <v>12</v>
      </c>
      <c r="AG1100">
        <v>5</v>
      </c>
      <c r="AH1100">
        <v>-2</v>
      </c>
      <c r="AI1100">
        <v>0</v>
      </c>
    </row>
    <row r="1101" spans="1:35" hidden="1" x14ac:dyDescent="0.25">
      <c r="A1101">
        <v>2021</v>
      </c>
      <c r="B1101" s="1">
        <v>44437</v>
      </c>
      <c r="C1101">
        <v>18</v>
      </c>
      <c r="D1101">
        <v>0</v>
      </c>
      <c r="E1101">
        <v>43600</v>
      </c>
      <c r="F1101" t="s">
        <v>95</v>
      </c>
      <c r="G1101" t="s">
        <v>69</v>
      </c>
      <c r="H1101" t="s">
        <v>97</v>
      </c>
      <c r="I1101" t="s">
        <v>90</v>
      </c>
      <c r="J1101">
        <v>2</v>
      </c>
      <c r="K1101">
        <v>6</v>
      </c>
      <c r="L1101">
        <v>64200000</v>
      </c>
      <c r="M1101">
        <v>24350000</v>
      </c>
      <c r="N1101" t="s">
        <v>73</v>
      </c>
      <c r="O1101" t="s">
        <v>202</v>
      </c>
      <c r="P1101">
        <v>2</v>
      </c>
      <c r="Q1101">
        <v>1</v>
      </c>
      <c r="R1101">
        <v>1</v>
      </c>
      <c r="S1101">
        <v>0</v>
      </c>
      <c r="T1101">
        <v>8</v>
      </c>
      <c r="U1101">
        <v>3</v>
      </c>
      <c r="V1101">
        <v>10</v>
      </c>
      <c r="W1101">
        <v>16</v>
      </c>
      <c r="X1101">
        <v>14</v>
      </c>
      <c r="Y1101">
        <v>10</v>
      </c>
      <c r="Z1101">
        <v>3</v>
      </c>
      <c r="AA1101">
        <v>1</v>
      </c>
      <c r="AB1101">
        <v>4</v>
      </c>
      <c r="AC1101">
        <v>1</v>
      </c>
      <c r="AD1101">
        <v>16</v>
      </c>
      <c r="AE1101">
        <v>11</v>
      </c>
      <c r="AF1101">
        <v>9</v>
      </c>
      <c r="AG1101">
        <v>5</v>
      </c>
      <c r="AH1101">
        <v>1</v>
      </c>
      <c r="AI1101">
        <v>1</v>
      </c>
    </row>
    <row r="1102" spans="1:35" hidden="1" x14ac:dyDescent="0.25">
      <c r="A1102">
        <v>2021</v>
      </c>
      <c r="B1102" s="1">
        <v>44451</v>
      </c>
      <c r="C1102">
        <v>20</v>
      </c>
      <c r="D1102">
        <v>0</v>
      </c>
      <c r="E1102">
        <v>43600</v>
      </c>
      <c r="F1102" t="s">
        <v>95</v>
      </c>
      <c r="G1102" t="s">
        <v>77</v>
      </c>
      <c r="H1102" t="s">
        <v>97</v>
      </c>
      <c r="I1102" t="s">
        <v>319</v>
      </c>
      <c r="J1102">
        <v>2</v>
      </c>
      <c r="K1102">
        <v>3</v>
      </c>
      <c r="L1102">
        <v>61000000</v>
      </c>
      <c r="M1102">
        <v>65350000</v>
      </c>
      <c r="N1102" t="s">
        <v>209</v>
      </c>
      <c r="O1102" t="s">
        <v>107</v>
      </c>
      <c r="P1102">
        <v>1</v>
      </c>
      <c r="Q1102">
        <v>3</v>
      </c>
      <c r="R1102">
        <v>1</v>
      </c>
      <c r="S1102">
        <v>1</v>
      </c>
      <c r="T1102">
        <v>7</v>
      </c>
      <c r="U1102">
        <v>4</v>
      </c>
      <c r="V1102">
        <v>14</v>
      </c>
      <c r="W1102">
        <v>15</v>
      </c>
      <c r="X1102">
        <v>15</v>
      </c>
      <c r="Y1102">
        <v>13</v>
      </c>
      <c r="Z1102">
        <v>1</v>
      </c>
      <c r="AA1102">
        <v>4</v>
      </c>
      <c r="AB1102">
        <v>2</v>
      </c>
      <c r="AC1102">
        <v>1</v>
      </c>
      <c r="AD1102">
        <v>12</v>
      </c>
      <c r="AE1102">
        <v>11</v>
      </c>
      <c r="AF1102">
        <v>5</v>
      </c>
      <c r="AG1102">
        <v>3</v>
      </c>
      <c r="AH1102">
        <v>-2</v>
      </c>
      <c r="AI1102">
        <v>0</v>
      </c>
    </row>
    <row r="1103" spans="1:35" hidden="1" x14ac:dyDescent="0.25">
      <c r="A1103">
        <v>2021</v>
      </c>
      <c r="B1103" s="1">
        <v>44472</v>
      </c>
      <c r="C1103">
        <v>23</v>
      </c>
      <c r="D1103">
        <v>0</v>
      </c>
      <c r="E1103">
        <v>43600</v>
      </c>
      <c r="F1103" t="s">
        <v>95</v>
      </c>
      <c r="G1103" t="s">
        <v>44</v>
      </c>
      <c r="H1103" t="s">
        <v>97</v>
      </c>
      <c r="I1103" t="s">
        <v>368</v>
      </c>
      <c r="J1103">
        <v>2</v>
      </c>
      <c r="K1103">
        <v>14</v>
      </c>
      <c r="L1103">
        <v>62500000</v>
      </c>
      <c r="M1103">
        <v>6400000</v>
      </c>
      <c r="N1103" t="s">
        <v>151</v>
      </c>
      <c r="O1103" t="s">
        <v>163</v>
      </c>
      <c r="P1103">
        <v>1</v>
      </c>
      <c r="Q1103">
        <v>1</v>
      </c>
      <c r="R1103">
        <v>1</v>
      </c>
      <c r="S1103">
        <v>1</v>
      </c>
      <c r="T1103">
        <v>8</v>
      </c>
      <c r="U1103">
        <v>2</v>
      </c>
      <c r="V1103">
        <v>19</v>
      </c>
      <c r="W1103">
        <v>13</v>
      </c>
      <c r="X1103">
        <v>12</v>
      </c>
      <c r="Y1103">
        <v>19</v>
      </c>
      <c r="Z1103">
        <v>3</v>
      </c>
      <c r="AA1103">
        <v>2</v>
      </c>
      <c r="AB1103">
        <v>3</v>
      </c>
      <c r="AC1103">
        <v>1</v>
      </c>
      <c r="AD1103">
        <v>15</v>
      </c>
      <c r="AE1103">
        <v>10</v>
      </c>
      <c r="AF1103">
        <v>7</v>
      </c>
      <c r="AG1103">
        <v>3</v>
      </c>
      <c r="AH1103">
        <v>0</v>
      </c>
      <c r="AI1103">
        <v>0</v>
      </c>
    </row>
    <row r="1104" spans="1:35" hidden="1" x14ac:dyDescent="0.25">
      <c r="A1104">
        <v>2021</v>
      </c>
      <c r="B1104" s="1">
        <v>44479</v>
      </c>
      <c r="C1104">
        <v>25</v>
      </c>
      <c r="D1104">
        <v>8884</v>
      </c>
      <c r="E1104">
        <v>43600</v>
      </c>
      <c r="F1104" t="s">
        <v>95</v>
      </c>
      <c r="G1104" t="s">
        <v>56</v>
      </c>
      <c r="H1104" t="s">
        <v>97</v>
      </c>
      <c r="I1104" t="s">
        <v>341</v>
      </c>
      <c r="J1104">
        <v>3</v>
      </c>
      <c r="K1104">
        <v>6</v>
      </c>
      <c r="L1104">
        <v>64250000</v>
      </c>
      <c r="M1104">
        <v>29600000</v>
      </c>
      <c r="N1104" t="s">
        <v>122</v>
      </c>
      <c r="O1104" t="s">
        <v>348</v>
      </c>
      <c r="P1104">
        <v>2</v>
      </c>
      <c r="Q1104">
        <v>4</v>
      </c>
      <c r="R1104">
        <v>1</v>
      </c>
      <c r="S1104">
        <v>3</v>
      </c>
      <c r="T1104">
        <v>8</v>
      </c>
      <c r="U1104">
        <v>3</v>
      </c>
      <c r="V1104">
        <v>14</v>
      </c>
      <c r="W1104">
        <v>15</v>
      </c>
      <c r="X1104">
        <v>15</v>
      </c>
      <c r="Y1104">
        <v>13</v>
      </c>
      <c r="Z1104">
        <v>2</v>
      </c>
      <c r="AA1104">
        <v>4</v>
      </c>
      <c r="AB1104">
        <v>4</v>
      </c>
      <c r="AC1104">
        <v>0</v>
      </c>
      <c r="AD1104">
        <v>20</v>
      </c>
      <c r="AE1104">
        <v>12</v>
      </c>
      <c r="AF1104">
        <v>8</v>
      </c>
      <c r="AG1104">
        <v>3</v>
      </c>
      <c r="AH1104">
        <v>-2</v>
      </c>
      <c r="AI1104">
        <v>0</v>
      </c>
    </row>
    <row r="1105" spans="1:35" hidden="1" x14ac:dyDescent="0.25">
      <c r="A1105">
        <v>2021</v>
      </c>
      <c r="B1105" s="1">
        <v>44486</v>
      </c>
      <c r="C1105">
        <v>27</v>
      </c>
      <c r="D1105">
        <v>11111</v>
      </c>
      <c r="E1105">
        <v>43600</v>
      </c>
      <c r="F1105" t="s">
        <v>95</v>
      </c>
      <c r="G1105" t="s">
        <v>37</v>
      </c>
      <c r="H1105" t="s">
        <v>97</v>
      </c>
      <c r="I1105" t="s">
        <v>342</v>
      </c>
      <c r="J1105">
        <v>3</v>
      </c>
      <c r="K1105">
        <v>6</v>
      </c>
      <c r="L1105">
        <v>49600000</v>
      </c>
      <c r="M1105">
        <v>36200000</v>
      </c>
      <c r="N1105" t="s">
        <v>193</v>
      </c>
      <c r="O1105" t="s">
        <v>105</v>
      </c>
      <c r="P1105">
        <v>1</v>
      </c>
      <c r="Q1105">
        <v>0</v>
      </c>
      <c r="R1105">
        <v>0</v>
      </c>
      <c r="S1105">
        <v>0</v>
      </c>
      <c r="T1105">
        <v>5</v>
      </c>
      <c r="U1105">
        <v>6</v>
      </c>
      <c r="V1105">
        <v>12</v>
      </c>
      <c r="W1105">
        <v>21</v>
      </c>
      <c r="X1105">
        <v>19</v>
      </c>
      <c r="Y1105">
        <v>13</v>
      </c>
      <c r="Z1105">
        <v>4</v>
      </c>
      <c r="AA1105">
        <v>2</v>
      </c>
      <c r="AB1105">
        <v>5</v>
      </c>
      <c r="AC1105">
        <v>0</v>
      </c>
      <c r="AD1105">
        <v>16</v>
      </c>
      <c r="AE1105">
        <v>14</v>
      </c>
      <c r="AF1105">
        <v>11</v>
      </c>
      <c r="AG1105">
        <v>5</v>
      </c>
      <c r="AH1105">
        <v>1</v>
      </c>
      <c r="AI1105">
        <v>1</v>
      </c>
    </row>
    <row r="1106" spans="1:35" hidden="1" x14ac:dyDescent="0.25">
      <c r="A1106">
        <v>2021</v>
      </c>
      <c r="B1106" s="1">
        <v>44495</v>
      </c>
      <c r="C1106">
        <v>28</v>
      </c>
      <c r="D1106">
        <v>13367</v>
      </c>
      <c r="E1106">
        <v>43600</v>
      </c>
      <c r="F1106" t="s">
        <v>95</v>
      </c>
      <c r="G1106" t="s">
        <v>391</v>
      </c>
      <c r="H1106" t="s">
        <v>97</v>
      </c>
      <c r="I1106" t="s">
        <v>397</v>
      </c>
      <c r="J1106">
        <v>3</v>
      </c>
      <c r="K1106">
        <v>19</v>
      </c>
      <c r="L1106">
        <v>53600000</v>
      </c>
      <c r="M1106">
        <v>6850000</v>
      </c>
      <c r="N1106" t="s">
        <v>174</v>
      </c>
      <c r="O1106" t="s">
        <v>202</v>
      </c>
      <c r="P1106">
        <v>2</v>
      </c>
      <c r="Q1106">
        <v>1</v>
      </c>
      <c r="R1106">
        <v>0</v>
      </c>
      <c r="S1106">
        <v>1</v>
      </c>
      <c r="T1106">
        <v>23</v>
      </c>
      <c r="U1106">
        <v>0</v>
      </c>
      <c r="V1106">
        <v>10</v>
      </c>
      <c r="W1106">
        <v>20</v>
      </c>
      <c r="X1106">
        <v>19</v>
      </c>
      <c r="Y1106">
        <v>9</v>
      </c>
      <c r="Z1106">
        <v>0</v>
      </c>
      <c r="AA1106">
        <v>13</v>
      </c>
      <c r="AB1106">
        <v>1</v>
      </c>
      <c r="AC1106">
        <v>0</v>
      </c>
      <c r="AD1106">
        <v>37</v>
      </c>
      <c r="AE1106">
        <v>6</v>
      </c>
      <c r="AF1106">
        <v>16</v>
      </c>
      <c r="AG1106">
        <v>2</v>
      </c>
      <c r="AH1106">
        <v>1</v>
      </c>
      <c r="AI1106">
        <v>1</v>
      </c>
    </row>
    <row r="1107" spans="1:35" hidden="1" x14ac:dyDescent="0.25">
      <c r="A1107">
        <v>2021</v>
      </c>
      <c r="B1107" s="1">
        <v>44511</v>
      </c>
      <c r="C1107">
        <v>31</v>
      </c>
      <c r="D1107">
        <v>19165</v>
      </c>
      <c r="E1107">
        <v>43600</v>
      </c>
      <c r="F1107" t="s">
        <v>95</v>
      </c>
      <c r="G1107" t="s">
        <v>76</v>
      </c>
      <c r="H1107" t="s">
        <v>97</v>
      </c>
      <c r="I1107" t="s">
        <v>375</v>
      </c>
      <c r="J1107">
        <v>2</v>
      </c>
      <c r="K1107">
        <v>12</v>
      </c>
      <c r="L1107">
        <v>54800000</v>
      </c>
      <c r="M1107">
        <v>7380000</v>
      </c>
      <c r="N1107" t="s">
        <v>128</v>
      </c>
      <c r="O1107" t="s">
        <v>168</v>
      </c>
      <c r="P1107">
        <v>4</v>
      </c>
      <c r="Q1107">
        <v>0</v>
      </c>
      <c r="R1107">
        <v>2</v>
      </c>
      <c r="S1107">
        <v>0</v>
      </c>
      <c r="T1107">
        <v>5</v>
      </c>
      <c r="U1107">
        <v>8</v>
      </c>
      <c r="V1107">
        <v>10</v>
      </c>
      <c r="W1107">
        <v>13</v>
      </c>
      <c r="X1107">
        <v>12</v>
      </c>
      <c r="Y1107">
        <v>10</v>
      </c>
      <c r="Z1107">
        <v>0</v>
      </c>
      <c r="AA1107">
        <v>3</v>
      </c>
      <c r="AB1107">
        <v>1</v>
      </c>
      <c r="AC1107">
        <v>0</v>
      </c>
      <c r="AD1107">
        <v>14</v>
      </c>
      <c r="AE1107">
        <v>10</v>
      </c>
      <c r="AF1107">
        <v>5</v>
      </c>
      <c r="AG1107">
        <v>7</v>
      </c>
      <c r="AH1107">
        <v>4</v>
      </c>
      <c r="AI1107">
        <v>1</v>
      </c>
    </row>
    <row r="1108" spans="1:35" hidden="1" x14ac:dyDescent="0.25">
      <c r="A1108">
        <v>2021</v>
      </c>
      <c r="B1108" s="1">
        <v>44518</v>
      </c>
      <c r="C1108">
        <v>33</v>
      </c>
      <c r="D1108">
        <v>35570</v>
      </c>
      <c r="E1108">
        <v>43600</v>
      </c>
      <c r="F1108" t="s">
        <v>95</v>
      </c>
      <c r="G1108" t="s">
        <v>62</v>
      </c>
      <c r="H1108" t="s">
        <v>97</v>
      </c>
      <c r="I1108" t="s">
        <v>40</v>
      </c>
      <c r="J1108">
        <v>3</v>
      </c>
      <c r="K1108">
        <v>15</v>
      </c>
      <c r="L1108">
        <v>43700000</v>
      </c>
      <c r="M1108">
        <v>39400000</v>
      </c>
      <c r="N1108" t="s">
        <v>168</v>
      </c>
      <c r="O1108" t="s">
        <v>98</v>
      </c>
      <c r="P1108">
        <v>0</v>
      </c>
      <c r="Q1108">
        <v>2</v>
      </c>
      <c r="R1108">
        <v>0</v>
      </c>
      <c r="S1108">
        <v>1</v>
      </c>
      <c r="T1108">
        <v>7</v>
      </c>
      <c r="U1108">
        <v>3</v>
      </c>
      <c r="V1108">
        <v>12</v>
      </c>
      <c r="W1108">
        <v>19</v>
      </c>
      <c r="X1108">
        <v>17</v>
      </c>
      <c r="Y1108">
        <v>12</v>
      </c>
      <c r="Z1108">
        <v>4</v>
      </c>
      <c r="AA1108">
        <v>4</v>
      </c>
      <c r="AB1108">
        <v>1</v>
      </c>
      <c r="AC1108">
        <v>3</v>
      </c>
      <c r="AD1108">
        <v>16</v>
      </c>
      <c r="AE1108">
        <v>16</v>
      </c>
      <c r="AF1108">
        <v>8</v>
      </c>
      <c r="AG1108">
        <v>8</v>
      </c>
      <c r="AH1108">
        <v>-2</v>
      </c>
      <c r="AI1108">
        <v>0</v>
      </c>
    </row>
    <row r="1109" spans="1:35" hidden="1" x14ac:dyDescent="0.25">
      <c r="A1109">
        <v>2021</v>
      </c>
      <c r="B1109" s="1">
        <v>44524</v>
      </c>
      <c r="C1109">
        <v>35</v>
      </c>
      <c r="D1109">
        <v>17774</v>
      </c>
      <c r="E1109">
        <v>43600</v>
      </c>
      <c r="F1109" t="s">
        <v>95</v>
      </c>
      <c r="G1109" t="s">
        <v>89</v>
      </c>
      <c r="H1109" t="s">
        <v>404</v>
      </c>
      <c r="I1109" t="s">
        <v>71</v>
      </c>
      <c r="J1109">
        <v>3</v>
      </c>
      <c r="K1109">
        <v>1</v>
      </c>
      <c r="L1109">
        <v>70050000</v>
      </c>
      <c r="M1109">
        <v>57500000</v>
      </c>
      <c r="N1109">
        <v>26</v>
      </c>
      <c r="O1109" t="s">
        <v>128</v>
      </c>
      <c r="P1109">
        <v>2</v>
      </c>
      <c r="Q1109">
        <v>2</v>
      </c>
      <c r="R1109">
        <v>1</v>
      </c>
      <c r="S1109">
        <v>1</v>
      </c>
      <c r="T1109">
        <v>2</v>
      </c>
      <c r="U1109">
        <v>6</v>
      </c>
      <c r="V1109">
        <v>16</v>
      </c>
      <c r="W1109">
        <v>22</v>
      </c>
      <c r="X1109">
        <v>21</v>
      </c>
      <c r="Y1109">
        <v>16</v>
      </c>
      <c r="Z1109">
        <v>3</v>
      </c>
      <c r="AA1109">
        <v>5</v>
      </c>
      <c r="AB1109">
        <v>0</v>
      </c>
      <c r="AC1109">
        <v>0</v>
      </c>
      <c r="AD1109">
        <v>11</v>
      </c>
      <c r="AE1109">
        <v>15</v>
      </c>
      <c r="AF1109">
        <v>3</v>
      </c>
      <c r="AG1109">
        <v>8</v>
      </c>
      <c r="AH1109">
        <v>0</v>
      </c>
      <c r="AI1109">
        <v>0</v>
      </c>
    </row>
    <row r="1110" spans="1:35" hidden="1" x14ac:dyDescent="0.25">
      <c r="A1110">
        <v>2021</v>
      </c>
      <c r="B1110" s="1">
        <v>44540</v>
      </c>
      <c r="C1110">
        <v>38</v>
      </c>
      <c r="D1110">
        <v>5304</v>
      </c>
      <c r="E1110">
        <v>32600</v>
      </c>
      <c r="F1110" t="s">
        <v>95</v>
      </c>
      <c r="G1110" t="s">
        <v>361</v>
      </c>
      <c r="H1110" t="s">
        <v>97</v>
      </c>
      <c r="I1110" t="s">
        <v>333</v>
      </c>
      <c r="J1110">
        <v>3</v>
      </c>
      <c r="K1110">
        <v>10</v>
      </c>
      <c r="L1110">
        <v>6750000</v>
      </c>
      <c r="M1110">
        <v>10080000</v>
      </c>
      <c r="N1110" t="s">
        <v>405</v>
      </c>
      <c r="O1110" t="s">
        <v>107</v>
      </c>
      <c r="P1110">
        <v>1</v>
      </c>
      <c r="Q1110">
        <v>0</v>
      </c>
      <c r="R1110">
        <v>1</v>
      </c>
      <c r="S1110">
        <v>0</v>
      </c>
      <c r="T1110">
        <v>5</v>
      </c>
      <c r="U1110">
        <v>8</v>
      </c>
      <c r="V1110">
        <v>18</v>
      </c>
      <c r="W1110">
        <v>4</v>
      </c>
      <c r="X1110">
        <v>3</v>
      </c>
      <c r="Y1110">
        <v>15</v>
      </c>
      <c r="Z1110">
        <v>7</v>
      </c>
      <c r="AA1110">
        <v>1</v>
      </c>
      <c r="AB1110">
        <v>2</v>
      </c>
      <c r="AC1110">
        <v>0</v>
      </c>
      <c r="AD1110">
        <v>12</v>
      </c>
      <c r="AE1110">
        <v>30</v>
      </c>
      <c r="AF1110">
        <v>7</v>
      </c>
      <c r="AG1110">
        <v>13</v>
      </c>
      <c r="AH1110">
        <v>1</v>
      </c>
      <c r="AI1110">
        <v>1</v>
      </c>
    </row>
    <row r="1111" spans="1:35" hidden="1" x14ac:dyDescent="0.25">
      <c r="A1111">
        <v>2021</v>
      </c>
      <c r="B1111" s="1">
        <v>44346</v>
      </c>
      <c r="C1111">
        <v>1</v>
      </c>
      <c r="D1111">
        <v>0</v>
      </c>
      <c r="E1111">
        <v>42968</v>
      </c>
      <c r="F1111" t="s">
        <v>70</v>
      </c>
      <c r="G1111" t="s">
        <v>44</v>
      </c>
      <c r="H1111" t="s">
        <v>378</v>
      </c>
      <c r="I1111" t="s">
        <v>368</v>
      </c>
      <c r="J1111">
        <v>8</v>
      </c>
      <c r="K1111">
        <v>10</v>
      </c>
      <c r="L1111">
        <v>6750000</v>
      </c>
      <c r="M1111">
        <v>5450000</v>
      </c>
      <c r="N1111" t="s">
        <v>105</v>
      </c>
      <c r="O1111" t="s">
        <v>128</v>
      </c>
      <c r="P1111">
        <v>2</v>
      </c>
      <c r="Q1111">
        <v>2</v>
      </c>
      <c r="R1111">
        <v>1</v>
      </c>
      <c r="S1111">
        <v>2</v>
      </c>
      <c r="T1111">
        <v>9</v>
      </c>
      <c r="U1111">
        <v>1</v>
      </c>
      <c r="V1111">
        <v>14</v>
      </c>
      <c r="W1111">
        <v>14</v>
      </c>
      <c r="X1111">
        <v>11</v>
      </c>
      <c r="Y1111">
        <v>13</v>
      </c>
      <c r="Z1111">
        <v>1</v>
      </c>
      <c r="AA1111">
        <v>0</v>
      </c>
      <c r="AB1111">
        <v>0</v>
      </c>
      <c r="AC1111">
        <v>1</v>
      </c>
      <c r="AD1111">
        <v>14</v>
      </c>
      <c r="AE1111">
        <v>7</v>
      </c>
      <c r="AF1111">
        <v>8</v>
      </c>
      <c r="AG1111">
        <v>3</v>
      </c>
      <c r="AH1111">
        <v>0</v>
      </c>
      <c r="AI1111">
        <v>0</v>
      </c>
    </row>
    <row r="1112" spans="1:35" hidden="1" x14ac:dyDescent="0.25">
      <c r="A1112">
        <v>2021</v>
      </c>
      <c r="B1112" s="1">
        <v>44399</v>
      </c>
      <c r="C1112">
        <v>3</v>
      </c>
      <c r="D1112">
        <v>0</v>
      </c>
      <c r="E1112">
        <v>42968</v>
      </c>
      <c r="F1112" t="s">
        <v>70</v>
      </c>
      <c r="G1112" t="s">
        <v>76</v>
      </c>
      <c r="J1112">
        <v>14</v>
      </c>
      <c r="K1112">
        <v>3</v>
      </c>
      <c r="L1112">
        <v>5450000</v>
      </c>
      <c r="M1112">
        <v>9430000</v>
      </c>
      <c r="N1112" t="s">
        <v>105</v>
      </c>
      <c r="O1112" t="s">
        <v>99</v>
      </c>
      <c r="P1112">
        <v>2</v>
      </c>
      <c r="Q1112">
        <v>1</v>
      </c>
      <c r="R1112">
        <v>1</v>
      </c>
      <c r="S1112">
        <v>0</v>
      </c>
      <c r="T1112">
        <v>0</v>
      </c>
      <c r="U1112">
        <v>4</v>
      </c>
      <c r="V1112">
        <v>17</v>
      </c>
      <c r="W1112">
        <v>14</v>
      </c>
      <c r="X1112">
        <v>11</v>
      </c>
      <c r="Y1112">
        <v>16</v>
      </c>
      <c r="Z1112">
        <v>2</v>
      </c>
      <c r="AA1112">
        <v>5</v>
      </c>
      <c r="AB1112">
        <v>0</v>
      </c>
      <c r="AC1112">
        <v>0</v>
      </c>
      <c r="AD1112">
        <v>20</v>
      </c>
      <c r="AE1112">
        <v>9</v>
      </c>
      <c r="AF1112">
        <v>7</v>
      </c>
      <c r="AG1112">
        <v>1</v>
      </c>
      <c r="AH1112">
        <v>1</v>
      </c>
      <c r="AI1112">
        <v>1</v>
      </c>
    </row>
    <row r="1113" spans="1:35" hidden="1" x14ac:dyDescent="0.25">
      <c r="A1113">
        <v>2021</v>
      </c>
      <c r="B1113" s="1">
        <v>44427</v>
      </c>
      <c r="C1113">
        <v>5</v>
      </c>
      <c r="D1113">
        <v>0</v>
      </c>
      <c r="E1113">
        <v>42968</v>
      </c>
      <c r="F1113" t="s">
        <v>70</v>
      </c>
      <c r="G1113" t="s">
        <v>83</v>
      </c>
      <c r="J1113">
        <v>10</v>
      </c>
      <c r="K1113">
        <v>19</v>
      </c>
      <c r="L1113">
        <v>5450000</v>
      </c>
      <c r="M1113">
        <v>26100000</v>
      </c>
      <c r="N1113" t="s">
        <v>123</v>
      </c>
      <c r="O1113" t="s">
        <v>41</v>
      </c>
      <c r="P1113">
        <v>0</v>
      </c>
      <c r="Q1113">
        <v>1</v>
      </c>
      <c r="R1113">
        <v>0</v>
      </c>
      <c r="S1113">
        <v>1</v>
      </c>
      <c r="T1113">
        <v>2</v>
      </c>
      <c r="U1113">
        <v>7</v>
      </c>
      <c r="V1113">
        <v>12</v>
      </c>
      <c r="W1113">
        <v>10</v>
      </c>
      <c r="X1113">
        <v>10</v>
      </c>
      <c r="Y1113">
        <v>9</v>
      </c>
      <c r="Z1113">
        <v>2</v>
      </c>
      <c r="AA1113">
        <v>2</v>
      </c>
      <c r="AB1113">
        <v>0</v>
      </c>
      <c r="AC1113">
        <v>2</v>
      </c>
      <c r="AD1113">
        <v>10</v>
      </c>
      <c r="AE1113">
        <v>7</v>
      </c>
      <c r="AF1113">
        <v>4</v>
      </c>
      <c r="AG1113">
        <v>4</v>
      </c>
      <c r="AH1113">
        <v>-1</v>
      </c>
      <c r="AI1113">
        <v>0</v>
      </c>
    </row>
    <row r="1114" spans="1:35" hidden="1" x14ac:dyDescent="0.25">
      <c r="A1114">
        <v>2021</v>
      </c>
      <c r="B1114" s="1">
        <v>44379</v>
      </c>
      <c r="C1114">
        <v>8</v>
      </c>
      <c r="D1114">
        <v>0</v>
      </c>
      <c r="E1114">
        <v>42968</v>
      </c>
      <c r="F1114" t="s">
        <v>70</v>
      </c>
      <c r="G1114" t="s">
        <v>77</v>
      </c>
      <c r="H1114" t="s">
        <v>72</v>
      </c>
      <c r="I1114" t="s">
        <v>40</v>
      </c>
      <c r="J1114">
        <v>15</v>
      </c>
      <c r="K1114">
        <v>6</v>
      </c>
      <c r="L1114">
        <v>6300000</v>
      </c>
      <c r="M1114">
        <v>44700000</v>
      </c>
      <c r="N1114" t="s">
        <v>296</v>
      </c>
      <c r="O1114" t="s">
        <v>114</v>
      </c>
      <c r="P1114">
        <v>0</v>
      </c>
      <c r="Q1114">
        <v>2</v>
      </c>
      <c r="R1114">
        <v>0</v>
      </c>
      <c r="S1114">
        <v>1</v>
      </c>
      <c r="T1114">
        <v>1</v>
      </c>
      <c r="U1114">
        <v>5</v>
      </c>
      <c r="V1114">
        <v>18</v>
      </c>
      <c r="W1114">
        <v>26</v>
      </c>
      <c r="X1114">
        <v>26</v>
      </c>
      <c r="Y1114">
        <v>16</v>
      </c>
      <c r="Z1114">
        <v>3</v>
      </c>
      <c r="AA1114">
        <v>2</v>
      </c>
      <c r="AB1114">
        <v>2</v>
      </c>
      <c r="AC1114">
        <v>3</v>
      </c>
      <c r="AD1114">
        <v>9</v>
      </c>
      <c r="AE1114">
        <v>12</v>
      </c>
      <c r="AF1114">
        <v>7</v>
      </c>
      <c r="AG1114">
        <v>4</v>
      </c>
      <c r="AH1114">
        <v>-2</v>
      </c>
      <c r="AI1114">
        <v>0</v>
      </c>
    </row>
    <row r="1115" spans="1:35" hidden="1" x14ac:dyDescent="0.25">
      <c r="A1115">
        <v>2021</v>
      </c>
      <c r="B1115" s="1">
        <v>44381</v>
      </c>
      <c r="C1115">
        <v>9</v>
      </c>
      <c r="D1115">
        <v>0</v>
      </c>
      <c r="E1115">
        <v>42968</v>
      </c>
      <c r="F1115" t="s">
        <v>70</v>
      </c>
      <c r="G1115" t="s">
        <v>89</v>
      </c>
      <c r="H1115" t="s">
        <v>72</v>
      </c>
      <c r="I1115" t="s">
        <v>71</v>
      </c>
      <c r="J1115">
        <v>15</v>
      </c>
      <c r="K1115">
        <v>6</v>
      </c>
      <c r="L1115">
        <v>6000000</v>
      </c>
      <c r="M1115">
        <v>42300000</v>
      </c>
      <c r="N1115" t="s">
        <v>105</v>
      </c>
      <c r="O1115" t="s">
        <v>74</v>
      </c>
      <c r="P1115">
        <v>0</v>
      </c>
      <c r="Q1115">
        <v>1</v>
      </c>
      <c r="R1115">
        <v>0</v>
      </c>
      <c r="S1115">
        <v>1</v>
      </c>
      <c r="T1115">
        <v>5</v>
      </c>
      <c r="U1115">
        <v>1</v>
      </c>
      <c r="V1115">
        <v>14</v>
      </c>
      <c r="W1115">
        <v>15</v>
      </c>
      <c r="X1115">
        <v>15</v>
      </c>
      <c r="Y1115">
        <v>14</v>
      </c>
      <c r="Z1115">
        <v>0</v>
      </c>
      <c r="AA1115">
        <v>4</v>
      </c>
      <c r="AB1115">
        <v>2</v>
      </c>
      <c r="AC1115">
        <v>2</v>
      </c>
      <c r="AD1115">
        <v>11</v>
      </c>
      <c r="AE1115">
        <v>4</v>
      </c>
      <c r="AF1115">
        <v>4</v>
      </c>
      <c r="AG1115">
        <v>3</v>
      </c>
      <c r="AH1115">
        <v>-1</v>
      </c>
      <c r="AI1115">
        <v>0</v>
      </c>
    </row>
    <row r="1116" spans="1:35" hidden="1" x14ac:dyDescent="0.25">
      <c r="A1116">
        <v>2021</v>
      </c>
      <c r="B1116" s="1">
        <v>44388</v>
      </c>
      <c r="C1116">
        <v>11</v>
      </c>
      <c r="D1116">
        <v>0</v>
      </c>
      <c r="E1116">
        <v>42968</v>
      </c>
      <c r="F1116" t="s">
        <v>70</v>
      </c>
      <c r="G1116" t="s">
        <v>361</v>
      </c>
      <c r="J1116">
        <v>16</v>
      </c>
      <c r="K1116">
        <v>10</v>
      </c>
      <c r="L1116">
        <v>5450000</v>
      </c>
      <c r="M1116">
        <v>6780000</v>
      </c>
      <c r="N1116" t="s">
        <v>296</v>
      </c>
      <c r="O1116" t="s">
        <v>98</v>
      </c>
      <c r="P1116">
        <v>2</v>
      </c>
      <c r="Q1116">
        <v>2</v>
      </c>
      <c r="R1116">
        <v>1</v>
      </c>
      <c r="S1116">
        <v>0</v>
      </c>
      <c r="T1116">
        <v>4</v>
      </c>
      <c r="U1116">
        <v>7</v>
      </c>
      <c r="V1116">
        <v>9</v>
      </c>
      <c r="W1116">
        <v>13</v>
      </c>
      <c r="X1116">
        <v>13</v>
      </c>
      <c r="Y1116">
        <v>9</v>
      </c>
      <c r="Z1116">
        <v>5</v>
      </c>
      <c r="AA1116">
        <v>1</v>
      </c>
      <c r="AB1116">
        <v>1</v>
      </c>
      <c r="AC1116">
        <v>2</v>
      </c>
      <c r="AD1116">
        <v>11</v>
      </c>
      <c r="AE1116">
        <v>20</v>
      </c>
      <c r="AF1116">
        <v>4</v>
      </c>
      <c r="AG1116">
        <v>6</v>
      </c>
      <c r="AH1116">
        <v>0</v>
      </c>
      <c r="AI1116">
        <v>0</v>
      </c>
    </row>
    <row r="1117" spans="1:35" hidden="1" x14ac:dyDescent="0.25">
      <c r="A1117">
        <v>2021</v>
      </c>
      <c r="B1117" s="1">
        <v>44404</v>
      </c>
      <c r="C1117">
        <v>13</v>
      </c>
      <c r="D1117">
        <v>0</v>
      </c>
      <c r="E1117">
        <v>42968</v>
      </c>
      <c r="F1117" t="s">
        <v>70</v>
      </c>
      <c r="G1117" t="s">
        <v>88</v>
      </c>
      <c r="J1117">
        <v>15</v>
      </c>
      <c r="K1117">
        <v>12</v>
      </c>
      <c r="L1117">
        <v>5400000</v>
      </c>
      <c r="M1117">
        <v>19250000</v>
      </c>
      <c r="N1117" t="s">
        <v>235</v>
      </c>
      <c r="O1117" t="s">
        <v>86</v>
      </c>
      <c r="P1117">
        <v>1</v>
      </c>
      <c r="Q1117">
        <v>2</v>
      </c>
      <c r="R1117">
        <v>0</v>
      </c>
      <c r="S1117">
        <v>2</v>
      </c>
      <c r="T1117">
        <v>5</v>
      </c>
      <c r="U1117">
        <v>5</v>
      </c>
      <c r="V1117">
        <v>16</v>
      </c>
      <c r="W1117">
        <v>12</v>
      </c>
      <c r="X1117">
        <v>11</v>
      </c>
      <c r="Y1117">
        <v>15</v>
      </c>
      <c r="Z1117">
        <v>0</v>
      </c>
      <c r="AA1117">
        <v>6</v>
      </c>
      <c r="AB1117">
        <v>4</v>
      </c>
      <c r="AC1117">
        <v>2</v>
      </c>
      <c r="AD1117">
        <v>16</v>
      </c>
      <c r="AE1117">
        <v>4</v>
      </c>
      <c r="AF1117">
        <v>3</v>
      </c>
      <c r="AG1117">
        <v>0</v>
      </c>
      <c r="AH1117">
        <v>-1</v>
      </c>
      <c r="AI1117">
        <v>0</v>
      </c>
    </row>
    <row r="1118" spans="1:35" hidden="1" x14ac:dyDescent="0.25">
      <c r="A1118">
        <v>2021</v>
      </c>
      <c r="B1118" s="1">
        <v>44416</v>
      </c>
      <c r="C1118">
        <v>15</v>
      </c>
      <c r="D1118">
        <v>0</v>
      </c>
      <c r="E1118">
        <v>42968</v>
      </c>
      <c r="F1118" t="s">
        <v>70</v>
      </c>
      <c r="G1118" t="s">
        <v>38</v>
      </c>
      <c r="J1118">
        <v>16</v>
      </c>
      <c r="K1118">
        <v>11</v>
      </c>
      <c r="L1118">
        <v>6500000</v>
      </c>
      <c r="M1118">
        <v>9600000</v>
      </c>
      <c r="N1118" t="s">
        <v>74</v>
      </c>
      <c r="O1118" t="s">
        <v>128</v>
      </c>
      <c r="P1118">
        <v>1</v>
      </c>
      <c r="Q1118">
        <v>1</v>
      </c>
      <c r="R1118">
        <v>1</v>
      </c>
      <c r="S1118">
        <v>1</v>
      </c>
      <c r="T1118">
        <v>3</v>
      </c>
      <c r="U1118">
        <v>11</v>
      </c>
      <c r="V1118">
        <v>15</v>
      </c>
      <c r="W1118">
        <v>17</v>
      </c>
      <c r="X1118">
        <v>16</v>
      </c>
      <c r="Y1118">
        <v>15</v>
      </c>
      <c r="Z1118">
        <v>3</v>
      </c>
      <c r="AA1118">
        <v>1</v>
      </c>
      <c r="AB1118">
        <v>2</v>
      </c>
      <c r="AC1118">
        <v>4</v>
      </c>
      <c r="AD1118">
        <v>11</v>
      </c>
      <c r="AE1118">
        <v>9</v>
      </c>
      <c r="AF1118">
        <v>5</v>
      </c>
      <c r="AG1118">
        <v>2</v>
      </c>
      <c r="AH1118">
        <v>0</v>
      </c>
      <c r="AI1118">
        <v>0</v>
      </c>
    </row>
    <row r="1119" spans="1:35" hidden="1" x14ac:dyDescent="0.25">
      <c r="A1119">
        <v>2021</v>
      </c>
      <c r="B1119" s="1">
        <v>44423</v>
      </c>
      <c r="C1119">
        <v>16</v>
      </c>
      <c r="D1119">
        <v>0</v>
      </c>
      <c r="E1119">
        <v>42968</v>
      </c>
      <c r="F1119" t="s">
        <v>70</v>
      </c>
      <c r="G1119" t="s">
        <v>69</v>
      </c>
      <c r="J1119">
        <v>19</v>
      </c>
      <c r="K1119">
        <v>6</v>
      </c>
      <c r="L1119">
        <v>5450000</v>
      </c>
      <c r="M1119">
        <v>18300000</v>
      </c>
      <c r="N1119" t="s">
        <v>100</v>
      </c>
      <c r="O1119" t="s">
        <v>202</v>
      </c>
      <c r="P1119">
        <v>1</v>
      </c>
      <c r="Q1119">
        <v>0</v>
      </c>
      <c r="R1119">
        <v>0</v>
      </c>
      <c r="S1119">
        <v>0</v>
      </c>
      <c r="T1119">
        <v>3</v>
      </c>
      <c r="U1119">
        <v>5</v>
      </c>
      <c r="V1119">
        <v>15</v>
      </c>
      <c r="W1119">
        <v>20</v>
      </c>
      <c r="X1119">
        <v>20</v>
      </c>
      <c r="Y1119">
        <v>15</v>
      </c>
      <c r="Z1119">
        <v>1</v>
      </c>
      <c r="AA1119">
        <v>1</v>
      </c>
      <c r="AB1119">
        <v>2</v>
      </c>
      <c r="AC1119">
        <v>1</v>
      </c>
      <c r="AD1119">
        <v>12</v>
      </c>
      <c r="AE1119">
        <v>9</v>
      </c>
      <c r="AF1119">
        <v>5</v>
      </c>
      <c r="AG1119">
        <v>5</v>
      </c>
      <c r="AH1119">
        <v>1</v>
      </c>
      <c r="AI1119">
        <v>1</v>
      </c>
    </row>
    <row r="1120" spans="1:35" hidden="1" x14ac:dyDescent="0.25">
      <c r="A1120">
        <v>2021</v>
      </c>
      <c r="B1120" s="1">
        <v>44444</v>
      </c>
      <c r="C1120">
        <v>19</v>
      </c>
      <c r="D1120">
        <v>0</v>
      </c>
      <c r="E1120">
        <v>42968</v>
      </c>
      <c r="F1120" t="s">
        <v>70</v>
      </c>
      <c r="G1120" t="s">
        <v>326</v>
      </c>
      <c r="J1120">
        <v>15</v>
      </c>
      <c r="K1120">
        <v>12</v>
      </c>
      <c r="L1120">
        <v>8200000</v>
      </c>
      <c r="M1120">
        <v>17500000</v>
      </c>
      <c r="N1120" t="s">
        <v>296</v>
      </c>
      <c r="O1120" t="s">
        <v>168</v>
      </c>
      <c r="P1120">
        <v>2</v>
      </c>
      <c r="Q1120">
        <v>1</v>
      </c>
      <c r="R1120">
        <v>1</v>
      </c>
      <c r="S1120">
        <v>0</v>
      </c>
      <c r="T1120">
        <v>3</v>
      </c>
      <c r="U1120">
        <v>5</v>
      </c>
      <c r="V1120">
        <v>11</v>
      </c>
      <c r="W1120">
        <v>11</v>
      </c>
      <c r="X1120">
        <v>11</v>
      </c>
      <c r="Y1120">
        <v>11</v>
      </c>
      <c r="Z1120">
        <v>4</v>
      </c>
      <c r="AA1120">
        <v>3</v>
      </c>
      <c r="AB1120">
        <v>0</v>
      </c>
      <c r="AC1120">
        <v>1</v>
      </c>
      <c r="AD1120">
        <v>14</v>
      </c>
      <c r="AE1120">
        <v>18</v>
      </c>
      <c r="AF1120">
        <v>5</v>
      </c>
      <c r="AG1120">
        <v>10</v>
      </c>
      <c r="AH1120">
        <v>1</v>
      </c>
      <c r="AI1120">
        <v>1</v>
      </c>
    </row>
    <row r="1121" spans="1:35" hidden="1" x14ac:dyDescent="0.25">
      <c r="A1121">
        <v>2021</v>
      </c>
      <c r="B1121" s="1">
        <v>44460</v>
      </c>
      <c r="C1121">
        <v>21</v>
      </c>
      <c r="D1121">
        <v>0</v>
      </c>
      <c r="E1121">
        <v>42968</v>
      </c>
      <c r="F1121" t="s">
        <v>70</v>
      </c>
      <c r="G1121" t="s">
        <v>55</v>
      </c>
      <c r="J1121">
        <v>9</v>
      </c>
      <c r="K1121">
        <v>7</v>
      </c>
      <c r="L1121">
        <v>6630000</v>
      </c>
      <c r="M1121">
        <v>20700000</v>
      </c>
      <c r="N1121" t="s">
        <v>111</v>
      </c>
      <c r="O1121" t="s">
        <v>149</v>
      </c>
      <c r="P1121">
        <v>2</v>
      </c>
      <c r="Q1121">
        <v>2</v>
      </c>
      <c r="R1121">
        <v>1</v>
      </c>
      <c r="S1121">
        <v>2</v>
      </c>
      <c r="T1121">
        <v>1</v>
      </c>
      <c r="U1121">
        <v>5</v>
      </c>
      <c r="V1121">
        <v>15</v>
      </c>
      <c r="W1121">
        <v>16</v>
      </c>
      <c r="X1121">
        <v>15</v>
      </c>
      <c r="Y1121">
        <v>14</v>
      </c>
      <c r="Z1121">
        <v>3</v>
      </c>
      <c r="AA1121">
        <v>1</v>
      </c>
      <c r="AB1121">
        <v>1</v>
      </c>
      <c r="AC1121">
        <v>2</v>
      </c>
      <c r="AD1121">
        <v>7</v>
      </c>
      <c r="AE1121">
        <v>12</v>
      </c>
      <c r="AF1121">
        <v>2</v>
      </c>
      <c r="AG1121">
        <v>5</v>
      </c>
      <c r="AH1121">
        <v>0</v>
      </c>
      <c r="AI1121">
        <v>0</v>
      </c>
    </row>
    <row r="1122" spans="1:35" hidden="1" x14ac:dyDescent="0.25">
      <c r="A1122">
        <v>2021</v>
      </c>
      <c r="B1122" s="1">
        <v>44471</v>
      </c>
      <c r="C1122">
        <v>23</v>
      </c>
      <c r="D1122">
        <v>2426</v>
      </c>
      <c r="E1122">
        <v>42968</v>
      </c>
      <c r="F1122" t="s">
        <v>70</v>
      </c>
      <c r="G1122" t="s">
        <v>310</v>
      </c>
      <c r="J1122">
        <v>10</v>
      </c>
      <c r="K1122">
        <v>15</v>
      </c>
      <c r="L1122">
        <v>7330000</v>
      </c>
      <c r="M1122">
        <v>4650000</v>
      </c>
      <c r="N1122" t="s">
        <v>296</v>
      </c>
      <c r="O1122" t="s">
        <v>166</v>
      </c>
      <c r="P1122">
        <v>0</v>
      </c>
      <c r="Q1122">
        <v>2</v>
      </c>
      <c r="R1122">
        <v>0</v>
      </c>
      <c r="S1122">
        <v>1</v>
      </c>
      <c r="T1122">
        <v>4</v>
      </c>
      <c r="U1122">
        <v>3</v>
      </c>
      <c r="V1122">
        <v>13</v>
      </c>
      <c r="W1122">
        <v>20</v>
      </c>
      <c r="X1122">
        <v>18</v>
      </c>
      <c r="Y1122">
        <v>13</v>
      </c>
      <c r="Z1122">
        <v>0</v>
      </c>
      <c r="AA1122">
        <v>3</v>
      </c>
      <c r="AB1122">
        <v>0</v>
      </c>
      <c r="AC1122">
        <v>2</v>
      </c>
      <c r="AD1122">
        <v>14</v>
      </c>
      <c r="AE1122">
        <v>9</v>
      </c>
      <c r="AF1122">
        <v>7</v>
      </c>
      <c r="AG1122">
        <v>4</v>
      </c>
      <c r="AH1122">
        <v>-2</v>
      </c>
      <c r="AI1122">
        <v>0</v>
      </c>
    </row>
    <row r="1123" spans="1:35" hidden="1" x14ac:dyDescent="0.25">
      <c r="A1123">
        <v>2021</v>
      </c>
      <c r="B1123" s="1">
        <v>44481</v>
      </c>
      <c r="C1123">
        <v>25</v>
      </c>
      <c r="D1123">
        <v>13007</v>
      </c>
      <c r="E1123">
        <v>42968</v>
      </c>
      <c r="F1123" t="s">
        <v>70</v>
      </c>
      <c r="G1123" t="s">
        <v>62</v>
      </c>
      <c r="J1123">
        <v>12</v>
      </c>
      <c r="K1123">
        <v>14</v>
      </c>
      <c r="L1123">
        <v>7700000</v>
      </c>
      <c r="M1123">
        <v>43800000</v>
      </c>
      <c r="N1123">
        <v>28</v>
      </c>
      <c r="O1123" t="s">
        <v>80</v>
      </c>
      <c r="P1123">
        <v>0</v>
      </c>
      <c r="Q1123">
        <v>0</v>
      </c>
      <c r="R1123">
        <v>0</v>
      </c>
      <c r="S1123">
        <v>0</v>
      </c>
      <c r="T1123">
        <v>4</v>
      </c>
      <c r="U1123">
        <v>2</v>
      </c>
      <c r="V1123">
        <v>14</v>
      </c>
      <c r="W1123">
        <v>16</v>
      </c>
      <c r="X1123">
        <v>13</v>
      </c>
      <c r="Y1123">
        <v>13</v>
      </c>
      <c r="Z1123">
        <v>2</v>
      </c>
      <c r="AA1123">
        <v>6</v>
      </c>
      <c r="AB1123">
        <v>1</v>
      </c>
      <c r="AC1123">
        <v>0</v>
      </c>
      <c r="AD1123">
        <v>15</v>
      </c>
      <c r="AE1123">
        <v>9</v>
      </c>
      <c r="AF1123">
        <v>8</v>
      </c>
      <c r="AG1123">
        <v>5</v>
      </c>
      <c r="AH1123">
        <v>0</v>
      </c>
      <c r="AI1123">
        <v>0</v>
      </c>
    </row>
    <row r="1124" spans="1:35" hidden="1" x14ac:dyDescent="0.25">
      <c r="A1124">
        <v>2021</v>
      </c>
      <c r="B1124" s="1">
        <v>44484</v>
      </c>
      <c r="C1124">
        <v>26</v>
      </c>
      <c r="D1124">
        <v>3054</v>
      </c>
      <c r="E1124">
        <v>42968</v>
      </c>
      <c r="F1124" t="s">
        <v>70</v>
      </c>
      <c r="G1124" t="s">
        <v>391</v>
      </c>
      <c r="J1124">
        <v>13</v>
      </c>
      <c r="K1124">
        <v>18</v>
      </c>
      <c r="L1124">
        <v>7700000</v>
      </c>
      <c r="M1124">
        <v>7100000</v>
      </c>
      <c r="N1124">
        <v>28</v>
      </c>
      <c r="O1124" t="s">
        <v>80</v>
      </c>
      <c r="P1124">
        <v>1</v>
      </c>
      <c r="Q1124">
        <v>0</v>
      </c>
      <c r="R1124">
        <v>0</v>
      </c>
      <c r="S1124">
        <v>0</v>
      </c>
      <c r="T1124">
        <v>2</v>
      </c>
      <c r="U1124">
        <v>5</v>
      </c>
      <c r="V1124">
        <v>14</v>
      </c>
      <c r="W1124">
        <v>8</v>
      </c>
      <c r="X1124">
        <v>8</v>
      </c>
      <c r="Y1124">
        <v>13</v>
      </c>
      <c r="Z1124">
        <v>3</v>
      </c>
      <c r="AA1124">
        <v>6</v>
      </c>
      <c r="AB1124">
        <v>2</v>
      </c>
      <c r="AC1124">
        <v>1</v>
      </c>
      <c r="AD1124">
        <v>16</v>
      </c>
      <c r="AE1124">
        <v>12</v>
      </c>
      <c r="AF1124">
        <v>5</v>
      </c>
      <c r="AG1124">
        <v>8</v>
      </c>
      <c r="AH1124">
        <v>1</v>
      </c>
      <c r="AI1124">
        <v>1</v>
      </c>
    </row>
    <row r="1125" spans="1:35" hidden="1" x14ac:dyDescent="0.25">
      <c r="A1125">
        <v>2021</v>
      </c>
      <c r="B1125" s="1">
        <v>44502</v>
      </c>
      <c r="C1125">
        <v>29</v>
      </c>
      <c r="D1125">
        <v>6428</v>
      </c>
      <c r="E1125">
        <v>42968</v>
      </c>
      <c r="F1125" t="s">
        <v>70</v>
      </c>
      <c r="G1125" t="s">
        <v>56</v>
      </c>
      <c r="J1125">
        <v>12</v>
      </c>
      <c r="K1125">
        <v>5</v>
      </c>
      <c r="L1125">
        <v>7700000</v>
      </c>
      <c r="M1125">
        <v>24700000</v>
      </c>
      <c r="N1125" t="s">
        <v>98</v>
      </c>
      <c r="O1125" t="s">
        <v>318</v>
      </c>
      <c r="P1125">
        <v>1</v>
      </c>
      <c r="Q1125">
        <v>0</v>
      </c>
      <c r="R1125">
        <v>0</v>
      </c>
      <c r="S1125">
        <v>0</v>
      </c>
      <c r="T1125">
        <v>7</v>
      </c>
      <c r="U1125">
        <v>2</v>
      </c>
      <c r="V1125">
        <v>8</v>
      </c>
      <c r="W1125">
        <v>16</v>
      </c>
      <c r="X1125">
        <v>13</v>
      </c>
      <c r="Y1125">
        <v>7</v>
      </c>
      <c r="Z1125">
        <v>8</v>
      </c>
      <c r="AA1125">
        <v>5</v>
      </c>
      <c r="AB1125">
        <v>1</v>
      </c>
      <c r="AC1125">
        <v>1</v>
      </c>
      <c r="AD1125">
        <v>20</v>
      </c>
      <c r="AE1125">
        <v>13</v>
      </c>
      <c r="AF1125">
        <v>9</v>
      </c>
      <c r="AG1125">
        <v>4</v>
      </c>
      <c r="AH1125">
        <v>1</v>
      </c>
      <c r="AI1125">
        <v>1</v>
      </c>
    </row>
    <row r="1126" spans="1:35" hidden="1" x14ac:dyDescent="0.25">
      <c r="A1126">
        <v>2021</v>
      </c>
      <c r="B1126" s="1">
        <v>44505</v>
      </c>
      <c r="C1126">
        <v>31</v>
      </c>
      <c r="D1126">
        <v>6336</v>
      </c>
      <c r="E1126">
        <v>42968</v>
      </c>
      <c r="F1126" t="s">
        <v>70</v>
      </c>
      <c r="G1126" t="s">
        <v>394</v>
      </c>
      <c r="J1126">
        <v>13</v>
      </c>
      <c r="K1126">
        <v>20</v>
      </c>
      <c r="L1126">
        <v>6100000</v>
      </c>
      <c r="M1126">
        <v>4030000</v>
      </c>
      <c r="N1126" t="s">
        <v>235</v>
      </c>
      <c r="O1126" t="s">
        <v>163</v>
      </c>
      <c r="P1126">
        <v>0</v>
      </c>
      <c r="Q1126">
        <v>0</v>
      </c>
      <c r="R1126">
        <v>0</v>
      </c>
      <c r="S1126">
        <v>0</v>
      </c>
      <c r="T1126">
        <v>6</v>
      </c>
      <c r="U1126">
        <v>2</v>
      </c>
      <c r="V1126">
        <v>13</v>
      </c>
      <c r="W1126">
        <v>15</v>
      </c>
      <c r="X1126">
        <v>14</v>
      </c>
      <c r="Y1126">
        <v>13</v>
      </c>
      <c r="Z1126">
        <v>2</v>
      </c>
      <c r="AA1126">
        <v>3</v>
      </c>
      <c r="AB1126">
        <v>3</v>
      </c>
      <c r="AC1126">
        <v>0</v>
      </c>
      <c r="AD1126">
        <v>16</v>
      </c>
      <c r="AE1126">
        <v>7</v>
      </c>
      <c r="AF1126">
        <v>7</v>
      </c>
      <c r="AG1126">
        <v>3</v>
      </c>
      <c r="AH1126">
        <v>0</v>
      </c>
      <c r="AI1126">
        <v>0</v>
      </c>
    </row>
    <row r="1127" spans="1:35" hidden="1" x14ac:dyDescent="0.25">
      <c r="A1127">
        <v>2021</v>
      </c>
      <c r="B1127" s="1">
        <v>44517</v>
      </c>
      <c r="C1127">
        <v>33</v>
      </c>
      <c r="D1127">
        <v>7750</v>
      </c>
      <c r="E1127">
        <v>42968</v>
      </c>
      <c r="F1127" t="s">
        <v>70</v>
      </c>
      <c r="G1127" t="s">
        <v>37</v>
      </c>
      <c r="J1127">
        <v>14</v>
      </c>
      <c r="K1127">
        <v>7</v>
      </c>
      <c r="L1127">
        <v>7400000</v>
      </c>
      <c r="M1127">
        <v>25800000</v>
      </c>
      <c r="N1127" t="s">
        <v>135</v>
      </c>
      <c r="O1127" t="s">
        <v>189</v>
      </c>
      <c r="P1127">
        <v>1</v>
      </c>
      <c r="Q1127">
        <v>0</v>
      </c>
      <c r="R1127">
        <v>0</v>
      </c>
      <c r="S1127">
        <v>0</v>
      </c>
      <c r="T1127">
        <v>6</v>
      </c>
      <c r="U1127">
        <v>4</v>
      </c>
      <c r="V1127">
        <v>14</v>
      </c>
      <c r="W1127">
        <v>17</v>
      </c>
      <c r="X1127">
        <v>15</v>
      </c>
      <c r="Y1127">
        <v>11</v>
      </c>
      <c r="Z1127">
        <v>4</v>
      </c>
      <c r="AA1127">
        <v>4</v>
      </c>
      <c r="AB1127">
        <v>1</v>
      </c>
      <c r="AC1127">
        <v>1</v>
      </c>
      <c r="AD1127">
        <v>21</v>
      </c>
      <c r="AE1127">
        <v>11</v>
      </c>
      <c r="AF1127">
        <v>7</v>
      </c>
      <c r="AG1127">
        <v>6</v>
      </c>
      <c r="AH1127">
        <v>1</v>
      </c>
      <c r="AI1127">
        <v>1</v>
      </c>
    </row>
    <row r="1128" spans="1:35" hidden="1" x14ac:dyDescent="0.25">
      <c r="A1128">
        <v>2021</v>
      </c>
      <c r="B1128" s="1">
        <v>44531</v>
      </c>
      <c r="C1128">
        <v>36</v>
      </c>
      <c r="D1128">
        <v>27500</v>
      </c>
      <c r="E1128">
        <v>42968</v>
      </c>
      <c r="F1128" t="s">
        <v>70</v>
      </c>
      <c r="G1128" t="s">
        <v>95</v>
      </c>
      <c r="J1128">
        <v>15</v>
      </c>
      <c r="K1128">
        <v>3</v>
      </c>
      <c r="L1128">
        <v>7400000</v>
      </c>
      <c r="M1128">
        <v>47350000</v>
      </c>
      <c r="N1128">
        <v>28</v>
      </c>
      <c r="O1128" t="s">
        <v>406</v>
      </c>
      <c r="P1128">
        <v>1</v>
      </c>
      <c r="Q1128">
        <v>3</v>
      </c>
      <c r="R1128">
        <v>1</v>
      </c>
      <c r="S1128">
        <v>2</v>
      </c>
      <c r="T1128">
        <v>12</v>
      </c>
      <c r="U1128">
        <v>4</v>
      </c>
      <c r="V1128">
        <v>15</v>
      </c>
      <c r="W1128">
        <v>10</v>
      </c>
      <c r="X1128">
        <v>10</v>
      </c>
      <c r="Y1128">
        <v>15</v>
      </c>
      <c r="Z1128">
        <v>2</v>
      </c>
      <c r="AA1128">
        <v>6</v>
      </c>
      <c r="AB1128">
        <v>3</v>
      </c>
      <c r="AC1128">
        <v>0</v>
      </c>
      <c r="AD1128">
        <v>21</v>
      </c>
      <c r="AE1128">
        <v>13</v>
      </c>
      <c r="AF1128">
        <v>7</v>
      </c>
      <c r="AG1128">
        <v>7</v>
      </c>
      <c r="AH1128">
        <v>-2</v>
      </c>
      <c r="AI1128">
        <v>0</v>
      </c>
    </row>
    <row r="1129" spans="1:35" hidden="1" x14ac:dyDescent="0.25">
      <c r="A1129">
        <v>2021</v>
      </c>
      <c r="B1129" s="1">
        <v>44537</v>
      </c>
      <c r="C1129">
        <v>37</v>
      </c>
      <c r="D1129">
        <v>15923</v>
      </c>
      <c r="E1129">
        <v>42968</v>
      </c>
      <c r="F1129" t="s">
        <v>70</v>
      </c>
      <c r="G1129" t="s">
        <v>63</v>
      </c>
      <c r="J1129">
        <v>16</v>
      </c>
      <c r="K1129">
        <v>5</v>
      </c>
      <c r="L1129">
        <v>6400000</v>
      </c>
      <c r="M1129">
        <v>7430000</v>
      </c>
      <c r="N1129" t="s">
        <v>111</v>
      </c>
      <c r="O1129" t="s">
        <v>200</v>
      </c>
      <c r="P1129">
        <v>1</v>
      </c>
      <c r="Q1129">
        <v>0</v>
      </c>
      <c r="R1129">
        <v>1</v>
      </c>
      <c r="S1129">
        <v>0</v>
      </c>
      <c r="T1129">
        <v>1</v>
      </c>
      <c r="U1129">
        <v>2</v>
      </c>
      <c r="V1129">
        <v>22</v>
      </c>
      <c r="W1129">
        <v>23</v>
      </c>
      <c r="X1129">
        <v>22</v>
      </c>
      <c r="Y1129">
        <v>19</v>
      </c>
      <c r="Z1129">
        <v>3</v>
      </c>
      <c r="AA1129">
        <v>0</v>
      </c>
      <c r="AB1129">
        <v>4</v>
      </c>
      <c r="AC1129">
        <v>1</v>
      </c>
      <c r="AD1129">
        <v>8</v>
      </c>
      <c r="AE1129">
        <v>13</v>
      </c>
      <c r="AF1129">
        <v>6</v>
      </c>
      <c r="AG1129">
        <v>8</v>
      </c>
      <c r="AH1129">
        <v>1</v>
      </c>
      <c r="AI1129">
        <v>1</v>
      </c>
    </row>
    <row r="1130" spans="1:35" hidden="1" x14ac:dyDescent="0.25">
      <c r="A1130">
        <v>2021</v>
      </c>
      <c r="B1130" s="1">
        <v>44353</v>
      </c>
      <c r="C1130">
        <v>2</v>
      </c>
      <c r="D1130">
        <v>0</v>
      </c>
      <c r="E1130">
        <v>24238</v>
      </c>
      <c r="F1130" t="s">
        <v>55</v>
      </c>
      <c r="G1130" t="s">
        <v>70</v>
      </c>
      <c r="H1130" t="s">
        <v>46</v>
      </c>
      <c r="I1130" t="s">
        <v>72</v>
      </c>
      <c r="J1130">
        <v>12</v>
      </c>
      <c r="K1130">
        <v>8</v>
      </c>
      <c r="L1130">
        <v>12500000</v>
      </c>
      <c r="M1130">
        <v>6330000</v>
      </c>
      <c r="N1130">
        <v>29</v>
      </c>
      <c r="O1130" t="s">
        <v>129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22</v>
      </c>
      <c r="W1130">
        <v>15</v>
      </c>
      <c r="X1130">
        <v>13</v>
      </c>
      <c r="Y1130">
        <v>22</v>
      </c>
      <c r="Z1130">
        <v>4</v>
      </c>
      <c r="AA1130">
        <v>2</v>
      </c>
      <c r="AB1130">
        <v>0</v>
      </c>
      <c r="AC1130">
        <v>4</v>
      </c>
      <c r="AD1130">
        <v>8</v>
      </c>
      <c r="AE1130">
        <v>10</v>
      </c>
      <c r="AF1130">
        <v>2</v>
      </c>
      <c r="AG1130">
        <v>5</v>
      </c>
      <c r="AH1130">
        <v>1</v>
      </c>
      <c r="AI1130">
        <v>1</v>
      </c>
    </row>
    <row r="1131" spans="1:35" hidden="1" x14ac:dyDescent="0.25">
      <c r="A1131">
        <v>2021</v>
      </c>
      <c r="B1131" s="1">
        <v>44365</v>
      </c>
      <c r="C1131">
        <v>4</v>
      </c>
      <c r="D1131">
        <v>0</v>
      </c>
      <c r="E1131">
        <v>82238</v>
      </c>
      <c r="F1131" t="s">
        <v>55</v>
      </c>
      <c r="G1131" t="s">
        <v>326</v>
      </c>
      <c r="H1131" t="s">
        <v>46</v>
      </c>
      <c r="I1131" t="s">
        <v>57</v>
      </c>
      <c r="J1131">
        <v>7</v>
      </c>
      <c r="K1131">
        <v>13</v>
      </c>
      <c r="L1131">
        <v>15750000</v>
      </c>
      <c r="M1131">
        <v>30150000</v>
      </c>
      <c r="N1131">
        <v>28</v>
      </c>
      <c r="O1131" t="s">
        <v>99</v>
      </c>
      <c r="P1131">
        <v>1</v>
      </c>
      <c r="Q1131">
        <v>0</v>
      </c>
      <c r="R1131">
        <v>0</v>
      </c>
      <c r="S1131">
        <v>0</v>
      </c>
      <c r="T1131">
        <v>2</v>
      </c>
      <c r="U1131">
        <v>9</v>
      </c>
      <c r="V1131">
        <v>14</v>
      </c>
      <c r="W1131">
        <v>9</v>
      </c>
      <c r="X1131">
        <v>8</v>
      </c>
      <c r="Y1131">
        <v>13</v>
      </c>
      <c r="Z1131">
        <v>8</v>
      </c>
      <c r="AA1131">
        <v>3</v>
      </c>
      <c r="AB1131">
        <v>1</v>
      </c>
      <c r="AC1131">
        <v>1</v>
      </c>
      <c r="AD1131">
        <v>9</v>
      </c>
      <c r="AE1131">
        <v>18</v>
      </c>
      <c r="AF1131">
        <v>3</v>
      </c>
      <c r="AG1131">
        <v>4</v>
      </c>
      <c r="AH1131">
        <v>1</v>
      </c>
      <c r="AI1131">
        <v>1</v>
      </c>
    </row>
    <row r="1132" spans="1:35" hidden="1" x14ac:dyDescent="0.25">
      <c r="A1132">
        <v>2021</v>
      </c>
      <c r="B1132" s="1">
        <v>44374</v>
      </c>
      <c r="C1132">
        <v>7</v>
      </c>
      <c r="D1132">
        <v>0</v>
      </c>
      <c r="E1132">
        <v>24238</v>
      </c>
      <c r="F1132" t="s">
        <v>55</v>
      </c>
      <c r="G1132" t="s">
        <v>88</v>
      </c>
      <c r="H1132" t="s">
        <v>46</v>
      </c>
      <c r="I1132" t="s">
        <v>392</v>
      </c>
      <c r="J1132">
        <v>9</v>
      </c>
      <c r="K1132">
        <v>11</v>
      </c>
      <c r="L1132">
        <v>21900000</v>
      </c>
      <c r="M1132">
        <v>24100000</v>
      </c>
      <c r="N1132" t="s">
        <v>122</v>
      </c>
      <c r="O1132" t="s">
        <v>163</v>
      </c>
      <c r="P1132">
        <v>1</v>
      </c>
      <c r="Q1132">
        <v>1</v>
      </c>
      <c r="R1132">
        <v>0</v>
      </c>
      <c r="S1132">
        <v>1</v>
      </c>
      <c r="T1132">
        <v>8</v>
      </c>
      <c r="U1132">
        <v>5</v>
      </c>
      <c r="V1132">
        <v>14</v>
      </c>
      <c r="W1132">
        <v>11</v>
      </c>
      <c r="X1132">
        <v>11</v>
      </c>
      <c r="Y1132">
        <v>13</v>
      </c>
      <c r="Z1132">
        <v>3</v>
      </c>
      <c r="AA1132">
        <v>4</v>
      </c>
      <c r="AB1132">
        <v>1</v>
      </c>
      <c r="AC1132">
        <v>0</v>
      </c>
      <c r="AD1132">
        <v>15</v>
      </c>
      <c r="AE1132">
        <v>10</v>
      </c>
      <c r="AF1132">
        <v>6</v>
      </c>
      <c r="AG1132">
        <v>4</v>
      </c>
      <c r="AH1132">
        <v>0</v>
      </c>
      <c r="AI1132">
        <v>0</v>
      </c>
    </row>
    <row r="1133" spans="1:35" hidden="1" x14ac:dyDescent="0.25">
      <c r="A1133">
        <v>2021</v>
      </c>
      <c r="B1133" s="1">
        <v>44377</v>
      </c>
      <c r="C1133">
        <v>8</v>
      </c>
      <c r="D1133">
        <v>0</v>
      </c>
      <c r="E1133">
        <v>6000</v>
      </c>
      <c r="F1133" t="s">
        <v>55</v>
      </c>
      <c r="G1133" t="s">
        <v>69</v>
      </c>
      <c r="H1133" t="s">
        <v>46</v>
      </c>
      <c r="I1133" t="s">
        <v>90</v>
      </c>
      <c r="J1133">
        <v>10</v>
      </c>
      <c r="K1133">
        <v>2</v>
      </c>
      <c r="L1133">
        <v>20200000</v>
      </c>
      <c r="M1133">
        <v>24350000</v>
      </c>
      <c r="N1133" t="s">
        <v>135</v>
      </c>
      <c r="O1133" t="s">
        <v>117</v>
      </c>
      <c r="P1133">
        <v>1</v>
      </c>
      <c r="Q1133">
        <v>4</v>
      </c>
      <c r="R1133">
        <v>1</v>
      </c>
      <c r="S1133">
        <v>1</v>
      </c>
      <c r="T1133">
        <v>9</v>
      </c>
      <c r="U1133">
        <v>2</v>
      </c>
      <c r="V1133">
        <v>16</v>
      </c>
      <c r="W1133">
        <v>15</v>
      </c>
      <c r="X1133">
        <v>15</v>
      </c>
      <c r="Y1133">
        <v>15</v>
      </c>
      <c r="Z1133">
        <v>1</v>
      </c>
      <c r="AA1133">
        <v>3</v>
      </c>
      <c r="AB1133">
        <v>1</v>
      </c>
      <c r="AC1133">
        <v>1</v>
      </c>
      <c r="AD1133">
        <v>12</v>
      </c>
      <c r="AE1133">
        <v>11</v>
      </c>
      <c r="AF1133">
        <v>7</v>
      </c>
      <c r="AG1133">
        <v>2</v>
      </c>
      <c r="AH1133">
        <v>-3</v>
      </c>
      <c r="AI1133">
        <v>0</v>
      </c>
    </row>
    <row r="1134" spans="1:35" hidden="1" x14ac:dyDescent="0.25">
      <c r="A1134">
        <v>2021</v>
      </c>
      <c r="B1134" s="1">
        <v>44385</v>
      </c>
      <c r="C1134">
        <v>10</v>
      </c>
      <c r="D1134">
        <v>0</v>
      </c>
      <c r="E1134">
        <v>5000</v>
      </c>
      <c r="F1134" t="s">
        <v>55</v>
      </c>
      <c r="G1134" t="s">
        <v>361</v>
      </c>
      <c r="H1134" t="s">
        <v>46</v>
      </c>
      <c r="I1134" t="s">
        <v>340</v>
      </c>
      <c r="J1134">
        <v>10</v>
      </c>
      <c r="K1134">
        <v>9</v>
      </c>
      <c r="L1134">
        <v>16900000</v>
      </c>
      <c r="M1134">
        <v>9080000</v>
      </c>
      <c r="N1134" t="s">
        <v>151</v>
      </c>
      <c r="O1134" t="s">
        <v>209</v>
      </c>
      <c r="P1134">
        <v>0</v>
      </c>
      <c r="Q1134">
        <v>0</v>
      </c>
      <c r="R1134">
        <v>0</v>
      </c>
      <c r="S1134">
        <v>0</v>
      </c>
      <c r="T1134">
        <v>4</v>
      </c>
      <c r="U1134">
        <v>0</v>
      </c>
      <c r="V1134">
        <v>24</v>
      </c>
      <c r="W1134">
        <v>21</v>
      </c>
      <c r="X1134">
        <v>21</v>
      </c>
      <c r="Y1134">
        <v>23</v>
      </c>
      <c r="Z1134">
        <v>2</v>
      </c>
      <c r="AA1134">
        <v>5</v>
      </c>
      <c r="AB1134">
        <v>2</v>
      </c>
      <c r="AC1134">
        <v>0</v>
      </c>
      <c r="AD1134">
        <v>16</v>
      </c>
      <c r="AE1134">
        <v>7</v>
      </c>
      <c r="AF1134">
        <v>9</v>
      </c>
      <c r="AG1134">
        <v>3</v>
      </c>
      <c r="AH1134">
        <v>0</v>
      </c>
      <c r="AI1134">
        <v>0</v>
      </c>
    </row>
    <row r="1135" spans="1:35" hidden="1" x14ac:dyDescent="0.25">
      <c r="A1135">
        <v>2021</v>
      </c>
      <c r="B1135" s="1">
        <v>44395</v>
      </c>
      <c r="C1135">
        <v>12</v>
      </c>
      <c r="D1135">
        <v>0</v>
      </c>
      <c r="E1135">
        <v>82238</v>
      </c>
      <c r="F1135" t="s">
        <v>55</v>
      </c>
      <c r="G1135" t="s">
        <v>83</v>
      </c>
      <c r="H1135" t="s">
        <v>46</v>
      </c>
      <c r="I1135" t="s">
        <v>336</v>
      </c>
      <c r="J1135">
        <v>8</v>
      </c>
      <c r="K1135">
        <v>19</v>
      </c>
      <c r="L1135">
        <v>18950000</v>
      </c>
      <c r="M1135">
        <v>24200000</v>
      </c>
      <c r="N1135" t="s">
        <v>41</v>
      </c>
      <c r="O1135" t="s">
        <v>104</v>
      </c>
      <c r="P1135">
        <v>0</v>
      </c>
      <c r="Q1135">
        <v>1</v>
      </c>
      <c r="R1135">
        <v>0</v>
      </c>
      <c r="S1135">
        <v>0</v>
      </c>
      <c r="T1135">
        <v>3</v>
      </c>
      <c r="U1135">
        <v>4</v>
      </c>
      <c r="V1135">
        <v>13</v>
      </c>
      <c r="W1135">
        <v>12</v>
      </c>
      <c r="X1135">
        <v>12</v>
      </c>
      <c r="Y1135">
        <v>13</v>
      </c>
      <c r="Z1135">
        <v>0</v>
      </c>
      <c r="AA1135">
        <v>2</v>
      </c>
      <c r="AB1135">
        <v>0</v>
      </c>
      <c r="AC1135">
        <v>0</v>
      </c>
      <c r="AD1135">
        <v>10</v>
      </c>
      <c r="AE1135">
        <v>8</v>
      </c>
      <c r="AF1135">
        <v>6</v>
      </c>
      <c r="AG1135">
        <v>5</v>
      </c>
      <c r="AH1135">
        <v>-1</v>
      </c>
      <c r="AI1135">
        <v>0</v>
      </c>
    </row>
    <row r="1136" spans="1:35" hidden="1" x14ac:dyDescent="0.25">
      <c r="A1136">
        <v>2021</v>
      </c>
      <c r="B1136" s="1">
        <v>44442</v>
      </c>
      <c r="C1136">
        <v>14</v>
      </c>
      <c r="D1136">
        <v>0</v>
      </c>
      <c r="E1136">
        <v>82238</v>
      </c>
      <c r="F1136" t="s">
        <v>55</v>
      </c>
      <c r="G1136" t="s">
        <v>44</v>
      </c>
      <c r="H1136" t="s">
        <v>223</v>
      </c>
      <c r="I1136" t="s">
        <v>368</v>
      </c>
      <c r="J1136">
        <v>11</v>
      </c>
      <c r="K1136">
        <v>13</v>
      </c>
      <c r="L1136">
        <v>13900000</v>
      </c>
      <c r="M1136">
        <v>6800000</v>
      </c>
      <c r="N1136" t="s">
        <v>107</v>
      </c>
      <c r="O1136" t="s">
        <v>135</v>
      </c>
      <c r="P1136">
        <v>1</v>
      </c>
      <c r="Q1136">
        <v>1</v>
      </c>
      <c r="R1136">
        <v>0</v>
      </c>
      <c r="S1136">
        <v>0</v>
      </c>
      <c r="T1136">
        <v>7</v>
      </c>
      <c r="U1136">
        <v>2</v>
      </c>
      <c r="V1136">
        <v>23</v>
      </c>
      <c r="W1136">
        <v>18</v>
      </c>
      <c r="X1136">
        <v>17</v>
      </c>
      <c r="Y1136">
        <v>22</v>
      </c>
      <c r="Z1136">
        <v>2</v>
      </c>
      <c r="AA1136">
        <v>5</v>
      </c>
      <c r="AB1136">
        <v>1</v>
      </c>
      <c r="AC1136">
        <v>1</v>
      </c>
      <c r="AD1136">
        <v>12</v>
      </c>
      <c r="AE1136">
        <v>7</v>
      </c>
      <c r="AF1136">
        <v>4</v>
      </c>
      <c r="AG1136">
        <v>5</v>
      </c>
      <c r="AH1136">
        <v>0</v>
      </c>
      <c r="AI1136">
        <v>0</v>
      </c>
    </row>
    <row r="1137" spans="1:35" hidden="1" x14ac:dyDescent="0.25">
      <c r="A1137">
        <v>2021</v>
      </c>
      <c r="B1137" s="1">
        <v>44432</v>
      </c>
      <c r="C1137">
        <v>17</v>
      </c>
      <c r="D1137">
        <v>0</v>
      </c>
      <c r="E1137">
        <v>24238</v>
      </c>
      <c r="F1137" t="s">
        <v>55</v>
      </c>
      <c r="G1137" t="s">
        <v>89</v>
      </c>
      <c r="H1137" t="s">
        <v>223</v>
      </c>
      <c r="I1137" t="s">
        <v>71</v>
      </c>
      <c r="J1137">
        <v>14</v>
      </c>
      <c r="K1137">
        <v>1</v>
      </c>
      <c r="L1137">
        <v>16900000</v>
      </c>
      <c r="M1137">
        <v>47600000</v>
      </c>
      <c r="N1137" t="s">
        <v>120</v>
      </c>
      <c r="O1137" t="s">
        <v>120</v>
      </c>
      <c r="P1137">
        <v>1</v>
      </c>
      <c r="Q1137">
        <v>1</v>
      </c>
      <c r="R1137">
        <v>1</v>
      </c>
      <c r="S1137">
        <v>0</v>
      </c>
      <c r="T1137">
        <v>6</v>
      </c>
      <c r="U1137">
        <v>6</v>
      </c>
      <c r="V1137">
        <v>15</v>
      </c>
      <c r="W1137">
        <v>17</v>
      </c>
      <c r="X1137">
        <v>16</v>
      </c>
      <c r="Y1137">
        <v>15</v>
      </c>
      <c r="Z1137">
        <v>6</v>
      </c>
      <c r="AA1137">
        <v>2</v>
      </c>
      <c r="AB1137">
        <v>3</v>
      </c>
      <c r="AC1137">
        <v>1</v>
      </c>
      <c r="AD1137">
        <v>9</v>
      </c>
      <c r="AE1137">
        <v>19</v>
      </c>
      <c r="AF1137">
        <v>3</v>
      </c>
      <c r="AG1137">
        <v>7</v>
      </c>
      <c r="AH1137">
        <v>0</v>
      </c>
      <c r="AI1137">
        <v>0</v>
      </c>
    </row>
    <row r="1138" spans="1:35" hidden="1" x14ac:dyDescent="0.25">
      <c r="A1138">
        <v>2021</v>
      </c>
      <c r="B1138" s="1">
        <v>44439</v>
      </c>
      <c r="C1138">
        <v>18</v>
      </c>
      <c r="D1138">
        <v>0</v>
      </c>
      <c r="E1138">
        <v>82238</v>
      </c>
      <c r="F1138" t="s">
        <v>55</v>
      </c>
      <c r="G1138" t="s">
        <v>38</v>
      </c>
      <c r="H1138" t="s">
        <v>223</v>
      </c>
      <c r="I1138" t="s">
        <v>393</v>
      </c>
      <c r="J1138">
        <v>15</v>
      </c>
      <c r="K1138">
        <v>16</v>
      </c>
      <c r="L1138">
        <v>14450000</v>
      </c>
      <c r="M1138">
        <v>10800000</v>
      </c>
      <c r="N1138" t="s">
        <v>114</v>
      </c>
      <c r="O1138" t="s">
        <v>128</v>
      </c>
      <c r="P1138">
        <v>2</v>
      </c>
      <c r="Q1138">
        <v>0</v>
      </c>
      <c r="R1138">
        <v>1</v>
      </c>
      <c r="S1138">
        <v>0</v>
      </c>
      <c r="T1138">
        <v>3</v>
      </c>
      <c r="U1138">
        <v>8</v>
      </c>
      <c r="V1138">
        <v>19</v>
      </c>
      <c r="W1138">
        <v>21</v>
      </c>
      <c r="X1138">
        <v>19</v>
      </c>
      <c r="Y1138">
        <v>17</v>
      </c>
      <c r="Z1138">
        <v>2</v>
      </c>
      <c r="AA1138">
        <v>2</v>
      </c>
      <c r="AB1138">
        <v>2</v>
      </c>
      <c r="AC1138">
        <v>3</v>
      </c>
      <c r="AD1138">
        <v>6</v>
      </c>
      <c r="AE1138">
        <v>10</v>
      </c>
      <c r="AF1138">
        <v>1</v>
      </c>
      <c r="AG1138">
        <v>5</v>
      </c>
      <c r="AH1138">
        <v>2</v>
      </c>
      <c r="AI1138">
        <v>1</v>
      </c>
    </row>
    <row r="1139" spans="1:35" hidden="1" x14ac:dyDescent="0.25">
      <c r="A1139">
        <v>2021</v>
      </c>
      <c r="B1139" s="1">
        <v>44452</v>
      </c>
      <c r="C1139">
        <v>20</v>
      </c>
      <c r="D1139">
        <v>0</v>
      </c>
      <c r="E1139">
        <v>82238</v>
      </c>
      <c r="F1139" t="s">
        <v>55</v>
      </c>
      <c r="G1139" t="s">
        <v>62</v>
      </c>
      <c r="H1139" t="s">
        <v>223</v>
      </c>
      <c r="I1139" t="s">
        <v>390</v>
      </c>
      <c r="J1139">
        <v>8</v>
      </c>
      <c r="K1139">
        <v>14</v>
      </c>
      <c r="L1139">
        <v>22500000</v>
      </c>
      <c r="M1139">
        <v>37900000</v>
      </c>
      <c r="N1139" t="s">
        <v>217</v>
      </c>
      <c r="O1139" t="s">
        <v>114</v>
      </c>
      <c r="P1139">
        <v>2</v>
      </c>
      <c r="Q1139">
        <v>1</v>
      </c>
      <c r="R1139">
        <v>0</v>
      </c>
      <c r="S1139">
        <v>0</v>
      </c>
      <c r="T1139">
        <v>4</v>
      </c>
      <c r="U1139">
        <v>5</v>
      </c>
      <c r="V1139">
        <v>16</v>
      </c>
      <c r="W1139">
        <v>16</v>
      </c>
      <c r="X1139">
        <v>16</v>
      </c>
      <c r="Y1139">
        <v>16</v>
      </c>
      <c r="Z1139">
        <v>6</v>
      </c>
      <c r="AA1139">
        <v>3</v>
      </c>
      <c r="AB1139">
        <v>0</v>
      </c>
      <c r="AC1139">
        <v>3</v>
      </c>
      <c r="AD1139">
        <v>8</v>
      </c>
      <c r="AE1139">
        <v>8</v>
      </c>
      <c r="AF1139">
        <v>1</v>
      </c>
      <c r="AG1139">
        <v>1</v>
      </c>
      <c r="AH1139">
        <v>1</v>
      </c>
      <c r="AI1139">
        <v>1</v>
      </c>
    </row>
    <row r="1140" spans="1:35" hidden="1" x14ac:dyDescent="0.25">
      <c r="A1140">
        <v>2021</v>
      </c>
      <c r="B1140" s="1">
        <v>44465</v>
      </c>
      <c r="C1140">
        <v>22</v>
      </c>
      <c r="D1140">
        <v>0</v>
      </c>
      <c r="E1140">
        <v>82238</v>
      </c>
      <c r="F1140" t="s">
        <v>55</v>
      </c>
      <c r="G1140" t="s">
        <v>56</v>
      </c>
      <c r="H1140" t="s">
        <v>223</v>
      </c>
      <c r="I1140" t="s">
        <v>341</v>
      </c>
      <c r="J1140">
        <v>8</v>
      </c>
      <c r="K1140">
        <v>4</v>
      </c>
      <c r="L1140">
        <v>22500000</v>
      </c>
      <c r="M1140">
        <v>17250000</v>
      </c>
      <c r="N1140" t="s">
        <v>221</v>
      </c>
      <c r="O1140">
        <v>23</v>
      </c>
      <c r="P1140">
        <v>2</v>
      </c>
      <c r="Q1140">
        <v>1</v>
      </c>
      <c r="R1140">
        <v>2</v>
      </c>
      <c r="S1140">
        <v>0</v>
      </c>
      <c r="T1140">
        <v>4</v>
      </c>
      <c r="U1140">
        <v>2</v>
      </c>
      <c r="V1140">
        <v>11</v>
      </c>
      <c r="W1140">
        <v>19</v>
      </c>
      <c r="X1140">
        <v>19</v>
      </c>
      <c r="Y1140">
        <v>10</v>
      </c>
      <c r="Z1140">
        <v>3</v>
      </c>
      <c r="AA1140">
        <v>4</v>
      </c>
      <c r="AB1140">
        <v>2</v>
      </c>
      <c r="AC1140">
        <v>0</v>
      </c>
      <c r="AD1140">
        <v>16</v>
      </c>
      <c r="AE1140">
        <v>7</v>
      </c>
      <c r="AF1140">
        <v>4</v>
      </c>
      <c r="AG1140">
        <v>2</v>
      </c>
      <c r="AH1140">
        <v>1</v>
      </c>
      <c r="AI1140">
        <v>1</v>
      </c>
    </row>
    <row r="1141" spans="1:35" hidden="1" x14ac:dyDescent="0.25">
      <c r="A1141">
        <v>2021</v>
      </c>
      <c r="B1141" s="1">
        <v>44476</v>
      </c>
      <c r="C1141">
        <v>24</v>
      </c>
      <c r="D1141">
        <v>3231</v>
      </c>
      <c r="E1141">
        <v>82238</v>
      </c>
      <c r="F1141" t="s">
        <v>55</v>
      </c>
      <c r="G1141" t="s">
        <v>63</v>
      </c>
      <c r="H1141" t="s">
        <v>223</v>
      </c>
      <c r="I1141" t="s">
        <v>65</v>
      </c>
      <c r="J1141">
        <v>8</v>
      </c>
      <c r="K1141">
        <v>4</v>
      </c>
      <c r="L1141">
        <v>22500000</v>
      </c>
      <c r="M1141">
        <v>11350000</v>
      </c>
      <c r="N1141" t="s">
        <v>221</v>
      </c>
      <c r="O1141" t="s">
        <v>73</v>
      </c>
      <c r="P1141">
        <v>0</v>
      </c>
      <c r="Q1141">
        <v>2</v>
      </c>
      <c r="R1141">
        <v>0</v>
      </c>
      <c r="S1141">
        <v>0</v>
      </c>
      <c r="T1141">
        <v>5</v>
      </c>
      <c r="U1141">
        <v>4</v>
      </c>
      <c r="V1141">
        <v>13</v>
      </c>
      <c r="W1141">
        <v>16</v>
      </c>
      <c r="X1141">
        <v>16</v>
      </c>
      <c r="Y1141">
        <v>10</v>
      </c>
      <c r="Z1141">
        <v>2</v>
      </c>
      <c r="AA1141">
        <v>3</v>
      </c>
      <c r="AB1141">
        <v>1</v>
      </c>
      <c r="AC1141">
        <v>0</v>
      </c>
      <c r="AD1141">
        <v>8</v>
      </c>
      <c r="AE1141">
        <v>10</v>
      </c>
      <c r="AF1141">
        <v>4</v>
      </c>
      <c r="AG1141">
        <v>4</v>
      </c>
      <c r="AH1141">
        <v>-2</v>
      </c>
      <c r="AI1141">
        <v>0</v>
      </c>
    </row>
    <row r="1142" spans="1:35" hidden="1" x14ac:dyDescent="0.25">
      <c r="A1142">
        <v>2021</v>
      </c>
      <c r="B1142" s="1">
        <v>44478</v>
      </c>
      <c r="C1142">
        <v>25</v>
      </c>
      <c r="D1142">
        <v>2200</v>
      </c>
      <c r="E1142">
        <v>82238</v>
      </c>
      <c r="F1142" t="s">
        <v>55</v>
      </c>
      <c r="G1142" t="s">
        <v>76</v>
      </c>
      <c r="H1142" t="s">
        <v>223</v>
      </c>
      <c r="I1142" t="s">
        <v>375</v>
      </c>
      <c r="J1142">
        <v>9</v>
      </c>
      <c r="K1142">
        <v>11</v>
      </c>
      <c r="L1142">
        <v>19250000</v>
      </c>
      <c r="M1142">
        <v>6880000</v>
      </c>
      <c r="N1142" t="s">
        <v>117</v>
      </c>
      <c r="O1142" t="s">
        <v>41</v>
      </c>
      <c r="P1142">
        <v>0</v>
      </c>
      <c r="Q1142">
        <v>0</v>
      </c>
      <c r="R1142">
        <v>0</v>
      </c>
      <c r="S1142">
        <v>0</v>
      </c>
      <c r="T1142">
        <v>3</v>
      </c>
      <c r="U1142">
        <v>6</v>
      </c>
      <c r="V1142">
        <v>15</v>
      </c>
      <c r="W1142">
        <v>17</v>
      </c>
      <c r="X1142">
        <v>16</v>
      </c>
      <c r="Y1142">
        <v>15</v>
      </c>
      <c r="Z1142">
        <v>2</v>
      </c>
      <c r="AA1142">
        <v>1</v>
      </c>
      <c r="AB1142">
        <v>3</v>
      </c>
      <c r="AC1142">
        <v>1</v>
      </c>
      <c r="AD1142">
        <v>14</v>
      </c>
      <c r="AE1142">
        <v>11</v>
      </c>
      <c r="AF1142">
        <v>11</v>
      </c>
      <c r="AG1142">
        <v>6</v>
      </c>
      <c r="AH1142">
        <v>0</v>
      </c>
      <c r="AI1142">
        <v>0</v>
      </c>
    </row>
    <row r="1143" spans="1:35" hidden="1" x14ac:dyDescent="0.25">
      <c r="A1143">
        <v>2021</v>
      </c>
      <c r="B1143" s="1">
        <v>44493</v>
      </c>
      <c r="C1143">
        <v>28</v>
      </c>
      <c r="D1143">
        <v>10029</v>
      </c>
      <c r="E1143">
        <v>82238</v>
      </c>
      <c r="F1143" t="s">
        <v>55</v>
      </c>
      <c r="G1143" t="s">
        <v>77</v>
      </c>
      <c r="H1143" t="s">
        <v>223</v>
      </c>
      <c r="I1143" t="s">
        <v>319</v>
      </c>
      <c r="J1143">
        <v>8</v>
      </c>
      <c r="K1143">
        <v>2</v>
      </c>
      <c r="L1143">
        <v>16050000</v>
      </c>
      <c r="M1143">
        <v>39750000</v>
      </c>
      <c r="N1143" t="s">
        <v>189</v>
      </c>
      <c r="O1143" t="s">
        <v>107</v>
      </c>
      <c r="P1143">
        <v>3</v>
      </c>
      <c r="Q1143">
        <v>1</v>
      </c>
      <c r="R1143">
        <v>1</v>
      </c>
      <c r="S1143">
        <v>0</v>
      </c>
      <c r="T1143">
        <v>5</v>
      </c>
      <c r="U1143">
        <v>7</v>
      </c>
      <c r="V1143">
        <v>22</v>
      </c>
      <c r="W1143">
        <v>16</v>
      </c>
      <c r="X1143">
        <v>15</v>
      </c>
      <c r="Y1143">
        <v>21</v>
      </c>
      <c r="Z1143">
        <v>2</v>
      </c>
      <c r="AA1143">
        <v>3</v>
      </c>
      <c r="AB1143">
        <v>1</v>
      </c>
      <c r="AC1143">
        <v>1</v>
      </c>
      <c r="AD1143">
        <v>11</v>
      </c>
      <c r="AE1143">
        <v>16</v>
      </c>
      <c r="AF1143">
        <v>0</v>
      </c>
      <c r="AG1143">
        <v>9</v>
      </c>
      <c r="AH1143">
        <v>2</v>
      </c>
      <c r="AI1143">
        <v>1</v>
      </c>
    </row>
    <row r="1144" spans="1:35" hidden="1" x14ac:dyDescent="0.25">
      <c r="A1144">
        <v>2021</v>
      </c>
      <c r="B1144" s="1">
        <v>44507</v>
      </c>
      <c r="C1144">
        <v>30</v>
      </c>
      <c r="D1144">
        <v>3870</v>
      </c>
      <c r="E1144">
        <v>82238</v>
      </c>
      <c r="F1144" t="s">
        <v>55</v>
      </c>
      <c r="G1144" t="s">
        <v>391</v>
      </c>
      <c r="H1144" t="s">
        <v>223</v>
      </c>
      <c r="I1144" t="s">
        <v>397</v>
      </c>
      <c r="J1144">
        <v>8</v>
      </c>
      <c r="K1144">
        <v>17</v>
      </c>
      <c r="L1144">
        <v>21000000</v>
      </c>
      <c r="M1144">
        <v>7400000</v>
      </c>
      <c r="N1144" t="s">
        <v>252</v>
      </c>
      <c r="O1144" t="s">
        <v>135</v>
      </c>
      <c r="P1144">
        <v>1</v>
      </c>
      <c r="Q1144">
        <v>0</v>
      </c>
      <c r="R1144">
        <v>0</v>
      </c>
      <c r="S1144">
        <v>0</v>
      </c>
      <c r="T1144">
        <v>5</v>
      </c>
      <c r="U1144">
        <v>4</v>
      </c>
      <c r="V1144">
        <v>12</v>
      </c>
      <c r="W1144">
        <v>12</v>
      </c>
      <c r="X1144">
        <v>11</v>
      </c>
      <c r="Y1144">
        <v>12</v>
      </c>
      <c r="Z1144">
        <v>2</v>
      </c>
      <c r="AA1144">
        <v>2</v>
      </c>
      <c r="AB1144">
        <v>1</v>
      </c>
      <c r="AC1144">
        <v>2</v>
      </c>
      <c r="AD1144">
        <v>21</v>
      </c>
      <c r="AE1144">
        <v>8</v>
      </c>
      <c r="AF1144">
        <v>13</v>
      </c>
      <c r="AG1144">
        <v>3</v>
      </c>
      <c r="AH1144">
        <v>1</v>
      </c>
      <c r="AI1144">
        <v>1</v>
      </c>
    </row>
    <row r="1145" spans="1:35" hidden="1" x14ac:dyDescent="0.25">
      <c r="A1145">
        <v>2021</v>
      </c>
      <c r="B1145" s="1">
        <v>44514</v>
      </c>
      <c r="C1145">
        <v>32</v>
      </c>
      <c r="D1145">
        <v>7969</v>
      </c>
      <c r="E1145">
        <v>82238</v>
      </c>
      <c r="F1145" t="s">
        <v>55</v>
      </c>
      <c r="G1145" t="s">
        <v>95</v>
      </c>
      <c r="H1145" t="s">
        <v>223</v>
      </c>
      <c r="I1145" t="s">
        <v>97</v>
      </c>
      <c r="J1145">
        <v>8</v>
      </c>
      <c r="K1145">
        <v>2</v>
      </c>
      <c r="L1145">
        <v>15700000</v>
      </c>
      <c r="M1145">
        <v>47000000</v>
      </c>
      <c r="N1145" t="s">
        <v>107</v>
      </c>
      <c r="O1145" t="s">
        <v>174</v>
      </c>
      <c r="P1145">
        <v>2</v>
      </c>
      <c r="Q1145">
        <v>1</v>
      </c>
      <c r="R1145">
        <v>0</v>
      </c>
      <c r="S1145">
        <v>1</v>
      </c>
      <c r="T1145">
        <v>5</v>
      </c>
      <c r="U1145">
        <v>2</v>
      </c>
      <c r="V1145">
        <v>12</v>
      </c>
      <c r="W1145">
        <v>20</v>
      </c>
      <c r="X1145">
        <v>20</v>
      </c>
      <c r="Y1145">
        <v>12</v>
      </c>
      <c r="Z1145">
        <v>3</v>
      </c>
      <c r="AA1145">
        <v>1</v>
      </c>
      <c r="AB1145">
        <v>0</v>
      </c>
      <c r="AC1145">
        <v>0</v>
      </c>
      <c r="AD1145">
        <v>9</v>
      </c>
      <c r="AE1145">
        <v>11</v>
      </c>
      <c r="AF1145">
        <v>3</v>
      </c>
      <c r="AG1145">
        <v>5</v>
      </c>
      <c r="AH1145">
        <v>1</v>
      </c>
      <c r="AI1145">
        <v>1</v>
      </c>
    </row>
    <row r="1146" spans="1:35" hidden="1" x14ac:dyDescent="0.25">
      <c r="A1146">
        <v>2021</v>
      </c>
      <c r="B1146" s="1">
        <v>44521</v>
      </c>
      <c r="C1146">
        <v>34</v>
      </c>
      <c r="D1146">
        <v>14168</v>
      </c>
      <c r="E1146">
        <v>82238</v>
      </c>
      <c r="F1146" t="s">
        <v>55</v>
      </c>
      <c r="G1146" t="s">
        <v>310</v>
      </c>
      <c r="H1146" t="s">
        <v>223</v>
      </c>
      <c r="I1146" t="s">
        <v>368</v>
      </c>
      <c r="J1146">
        <v>8</v>
      </c>
      <c r="K1146">
        <v>9</v>
      </c>
      <c r="L1146">
        <v>22400000</v>
      </c>
      <c r="M1146">
        <v>5400000</v>
      </c>
      <c r="N1146" t="s">
        <v>149</v>
      </c>
      <c r="O1146" t="s">
        <v>205</v>
      </c>
      <c r="P1146">
        <v>2</v>
      </c>
      <c r="Q1146">
        <v>0</v>
      </c>
      <c r="R1146">
        <v>1</v>
      </c>
      <c r="S1146">
        <v>0</v>
      </c>
      <c r="T1146">
        <v>2</v>
      </c>
      <c r="U1146">
        <v>1</v>
      </c>
      <c r="V1146">
        <v>21</v>
      </c>
      <c r="W1146">
        <v>17</v>
      </c>
      <c r="X1146">
        <v>17</v>
      </c>
      <c r="Y1146">
        <v>19</v>
      </c>
      <c r="Z1146">
        <v>3</v>
      </c>
      <c r="AA1146">
        <v>3</v>
      </c>
      <c r="AB1146">
        <v>1</v>
      </c>
      <c r="AC1146">
        <v>0</v>
      </c>
      <c r="AD1146">
        <v>11</v>
      </c>
      <c r="AE1146">
        <v>9</v>
      </c>
      <c r="AF1146">
        <v>6</v>
      </c>
      <c r="AG1146">
        <v>4</v>
      </c>
      <c r="AH1146">
        <v>2</v>
      </c>
      <c r="AI1146">
        <v>1</v>
      </c>
    </row>
    <row r="1147" spans="1:35" hidden="1" x14ac:dyDescent="0.25">
      <c r="A1147">
        <v>2021</v>
      </c>
      <c r="B1147" s="1">
        <v>44525</v>
      </c>
      <c r="C1147">
        <v>35</v>
      </c>
      <c r="D1147">
        <v>17916</v>
      </c>
      <c r="E1147">
        <v>82238</v>
      </c>
      <c r="F1147" t="s">
        <v>55</v>
      </c>
      <c r="G1147" t="s">
        <v>37</v>
      </c>
      <c r="H1147" t="s">
        <v>223</v>
      </c>
      <c r="I1147" t="s">
        <v>342</v>
      </c>
      <c r="J1147">
        <v>7</v>
      </c>
      <c r="K1147">
        <v>8</v>
      </c>
      <c r="L1147">
        <v>19900000</v>
      </c>
      <c r="M1147">
        <v>33100000</v>
      </c>
      <c r="N1147" t="s">
        <v>135</v>
      </c>
      <c r="O1147" t="s">
        <v>111</v>
      </c>
      <c r="P1147">
        <v>1</v>
      </c>
      <c r="Q1147">
        <v>0</v>
      </c>
      <c r="R1147">
        <v>1</v>
      </c>
      <c r="S1147">
        <v>0</v>
      </c>
      <c r="T1147">
        <v>1</v>
      </c>
      <c r="U1147">
        <v>7</v>
      </c>
      <c r="V1147">
        <v>20</v>
      </c>
      <c r="W1147">
        <v>18</v>
      </c>
      <c r="X1147">
        <v>17</v>
      </c>
      <c r="Y1147">
        <v>20</v>
      </c>
      <c r="Z1147">
        <v>4</v>
      </c>
      <c r="AA1147">
        <v>0</v>
      </c>
      <c r="AB1147">
        <v>1</v>
      </c>
      <c r="AC1147">
        <v>0</v>
      </c>
      <c r="AD1147">
        <v>9</v>
      </c>
      <c r="AE1147">
        <v>14</v>
      </c>
      <c r="AF1147">
        <v>5</v>
      </c>
      <c r="AG1147">
        <v>7</v>
      </c>
      <c r="AH1147">
        <v>1</v>
      </c>
      <c r="AI1147">
        <v>1</v>
      </c>
    </row>
    <row r="1148" spans="1:35" hidden="1" x14ac:dyDescent="0.25">
      <c r="A1148">
        <v>2021</v>
      </c>
      <c r="B1148" s="1">
        <v>44540</v>
      </c>
      <c r="C1148">
        <v>38</v>
      </c>
      <c r="D1148">
        <v>48198</v>
      </c>
      <c r="E1148">
        <v>82238</v>
      </c>
      <c r="F1148" t="s">
        <v>55</v>
      </c>
      <c r="G1148" t="s">
        <v>394</v>
      </c>
      <c r="H1148" t="s">
        <v>223</v>
      </c>
      <c r="I1148" t="s">
        <v>395</v>
      </c>
      <c r="J1148">
        <v>7</v>
      </c>
      <c r="K1148">
        <v>20</v>
      </c>
      <c r="L1148">
        <v>17850000</v>
      </c>
      <c r="M1148">
        <v>3250000</v>
      </c>
      <c r="N1148">
        <v>27</v>
      </c>
      <c r="O1148" t="s">
        <v>407</v>
      </c>
      <c r="P1148">
        <v>3</v>
      </c>
      <c r="Q1148">
        <v>0</v>
      </c>
      <c r="R1148">
        <v>0</v>
      </c>
      <c r="S1148">
        <v>0</v>
      </c>
      <c r="T1148">
        <v>9</v>
      </c>
      <c r="U1148">
        <v>3</v>
      </c>
      <c r="V1148">
        <v>12</v>
      </c>
      <c r="W1148">
        <v>10</v>
      </c>
      <c r="X1148">
        <v>9</v>
      </c>
      <c r="Y1148">
        <v>12</v>
      </c>
      <c r="Z1148">
        <v>0</v>
      </c>
      <c r="AA1148">
        <v>5</v>
      </c>
      <c r="AB1148">
        <v>1</v>
      </c>
      <c r="AC1148">
        <v>2</v>
      </c>
      <c r="AD1148">
        <v>22</v>
      </c>
      <c r="AE1148">
        <v>3</v>
      </c>
      <c r="AF1148">
        <v>9</v>
      </c>
      <c r="AG1148">
        <v>2</v>
      </c>
      <c r="AH1148">
        <v>3</v>
      </c>
      <c r="AI1148">
        <v>1</v>
      </c>
    </row>
    <row r="1149" spans="1:35" hidden="1" x14ac:dyDescent="0.25">
      <c r="A1149">
        <v>2021</v>
      </c>
      <c r="B1149" s="1">
        <v>44346</v>
      </c>
      <c r="C1149">
        <v>1</v>
      </c>
      <c r="D1149">
        <v>0</v>
      </c>
      <c r="E1149">
        <v>67428</v>
      </c>
      <c r="F1149" t="s">
        <v>62</v>
      </c>
      <c r="G1149" t="s">
        <v>55</v>
      </c>
      <c r="H1149" t="s">
        <v>390</v>
      </c>
      <c r="I1149" t="s">
        <v>46</v>
      </c>
      <c r="J1149">
        <v>13</v>
      </c>
      <c r="K1149">
        <v>12</v>
      </c>
      <c r="L1149">
        <v>41900000</v>
      </c>
      <c r="M1149">
        <v>17600000</v>
      </c>
      <c r="N1149">
        <v>27</v>
      </c>
      <c r="O1149" t="s">
        <v>73</v>
      </c>
      <c r="P1149">
        <v>0</v>
      </c>
      <c r="Q1149">
        <v>0</v>
      </c>
      <c r="R1149">
        <v>0</v>
      </c>
      <c r="S1149">
        <v>0</v>
      </c>
      <c r="T1149">
        <v>4</v>
      </c>
      <c r="U1149">
        <v>5</v>
      </c>
      <c r="V1149">
        <v>10</v>
      </c>
      <c r="W1149">
        <v>12</v>
      </c>
      <c r="X1149">
        <v>11</v>
      </c>
      <c r="Y1149">
        <v>8</v>
      </c>
      <c r="Z1149">
        <v>5</v>
      </c>
      <c r="AA1149">
        <v>3</v>
      </c>
      <c r="AB1149">
        <v>2</v>
      </c>
      <c r="AC1149">
        <v>2</v>
      </c>
      <c r="AD1149">
        <v>7</v>
      </c>
      <c r="AE1149">
        <v>11</v>
      </c>
      <c r="AF1149">
        <v>2</v>
      </c>
      <c r="AG1149">
        <v>4</v>
      </c>
      <c r="AH1149">
        <v>0</v>
      </c>
      <c r="AI1149">
        <v>0</v>
      </c>
    </row>
    <row r="1150" spans="1:35" hidden="1" x14ac:dyDescent="0.25">
      <c r="A1150">
        <v>2021</v>
      </c>
      <c r="B1150" s="1">
        <v>44364</v>
      </c>
      <c r="C1150">
        <v>4</v>
      </c>
      <c r="D1150">
        <v>0</v>
      </c>
      <c r="E1150">
        <v>72039</v>
      </c>
      <c r="F1150" t="s">
        <v>62</v>
      </c>
      <c r="G1150" t="s">
        <v>394</v>
      </c>
      <c r="H1150" t="s">
        <v>390</v>
      </c>
      <c r="I1150" t="s">
        <v>78</v>
      </c>
      <c r="J1150">
        <v>18</v>
      </c>
      <c r="K1150">
        <v>19</v>
      </c>
      <c r="L1150">
        <v>33300000</v>
      </c>
      <c r="M1150">
        <v>3480000</v>
      </c>
      <c r="N1150" t="s">
        <v>98</v>
      </c>
      <c r="O1150" t="s">
        <v>104</v>
      </c>
      <c r="P1150">
        <v>1</v>
      </c>
      <c r="Q1150">
        <v>1</v>
      </c>
      <c r="R1150">
        <v>1</v>
      </c>
      <c r="S1150">
        <v>0</v>
      </c>
      <c r="T1150">
        <v>9</v>
      </c>
      <c r="U1150">
        <v>1</v>
      </c>
      <c r="V1150">
        <v>9</v>
      </c>
      <c r="W1150">
        <v>13</v>
      </c>
      <c r="X1150">
        <v>12</v>
      </c>
      <c r="Y1150">
        <v>9</v>
      </c>
      <c r="Z1150">
        <v>1</v>
      </c>
      <c r="AA1150">
        <v>2</v>
      </c>
      <c r="AB1150">
        <v>3</v>
      </c>
      <c r="AC1150">
        <v>3</v>
      </c>
      <c r="AD1150">
        <v>13</v>
      </c>
      <c r="AE1150">
        <v>7</v>
      </c>
      <c r="AF1150">
        <v>6</v>
      </c>
      <c r="AG1150">
        <v>4</v>
      </c>
      <c r="AH1150">
        <v>0</v>
      </c>
      <c r="AI1150">
        <v>0</v>
      </c>
    </row>
    <row r="1151" spans="1:35" hidden="1" x14ac:dyDescent="0.25">
      <c r="A1151">
        <v>2021</v>
      </c>
      <c r="B1151" s="1">
        <v>44371</v>
      </c>
      <c r="C1151">
        <v>6</v>
      </c>
      <c r="D1151">
        <v>0</v>
      </c>
      <c r="E1151">
        <v>72039</v>
      </c>
      <c r="F1151" t="s">
        <v>62</v>
      </c>
      <c r="G1151" t="s">
        <v>70</v>
      </c>
      <c r="H1151" t="s">
        <v>390</v>
      </c>
      <c r="I1151" t="s">
        <v>72</v>
      </c>
      <c r="J1151">
        <v>19</v>
      </c>
      <c r="K1151">
        <v>11</v>
      </c>
      <c r="L1151">
        <v>30500000</v>
      </c>
      <c r="M1151">
        <v>6300000</v>
      </c>
      <c r="N1151" t="s">
        <v>239</v>
      </c>
      <c r="O1151" t="s">
        <v>74</v>
      </c>
      <c r="P1151">
        <v>2</v>
      </c>
      <c r="Q1151">
        <v>2</v>
      </c>
      <c r="R1151">
        <v>2</v>
      </c>
      <c r="S1151">
        <v>2</v>
      </c>
      <c r="T1151">
        <v>5</v>
      </c>
      <c r="U1151">
        <v>2</v>
      </c>
      <c r="V1151">
        <v>18</v>
      </c>
      <c r="W1151">
        <v>14</v>
      </c>
      <c r="X1151">
        <v>13</v>
      </c>
      <c r="Y1151">
        <v>17</v>
      </c>
      <c r="Z1151">
        <v>1</v>
      </c>
      <c r="AA1151">
        <v>5</v>
      </c>
      <c r="AB1151">
        <v>3</v>
      </c>
      <c r="AC1151">
        <v>0</v>
      </c>
      <c r="AD1151">
        <v>15</v>
      </c>
      <c r="AE1151">
        <v>5</v>
      </c>
      <c r="AF1151">
        <v>8</v>
      </c>
      <c r="AG1151">
        <v>0</v>
      </c>
      <c r="AH1151">
        <v>0</v>
      </c>
      <c r="AI1151">
        <v>0</v>
      </c>
    </row>
    <row r="1152" spans="1:35" hidden="1" x14ac:dyDescent="0.25">
      <c r="A1152">
        <v>2021</v>
      </c>
      <c r="B1152" s="1">
        <v>44381</v>
      </c>
      <c r="C1152">
        <v>9</v>
      </c>
      <c r="D1152">
        <v>0</v>
      </c>
      <c r="E1152">
        <v>72039</v>
      </c>
      <c r="F1152" t="s">
        <v>62</v>
      </c>
      <c r="G1152" t="s">
        <v>56</v>
      </c>
      <c r="H1152" t="s">
        <v>390</v>
      </c>
      <c r="I1152" t="s">
        <v>341</v>
      </c>
      <c r="J1152">
        <v>19</v>
      </c>
      <c r="K1152">
        <v>1</v>
      </c>
      <c r="L1152">
        <v>30000000</v>
      </c>
      <c r="M1152">
        <v>34700000</v>
      </c>
      <c r="N1152" t="s">
        <v>200</v>
      </c>
      <c r="O1152" t="s">
        <v>80</v>
      </c>
      <c r="P1152">
        <v>1</v>
      </c>
      <c r="Q1152">
        <v>2</v>
      </c>
      <c r="R1152">
        <v>1</v>
      </c>
      <c r="S1152">
        <v>0</v>
      </c>
      <c r="T1152">
        <v>4</v>
      </c>
      <c r="U1152">
        <v>7</v>
      </c>
      <c r="V1152">
        <v>25</v>
      </c>
      <c r="W1152">
        <v>14</v>
      </c>
      <c r="X1152">
        <v>13</v>
      </c>
      <c r="Y1152">
        <v>24</v>
      </c>
      <c r="Z1152">
        <v>3</v>
      </c>
      <c r="AA1152">
        <v>5</v>
      </c>
      <c r="AB1152">
        <v>2</v>
      </c>
      <c r="AC1152">
        <v>1</v>
      </c>
      <c r="AD1152">
        <v>9</v>
      </c>
      <c r="AE1152">
        <v>12</v>
      </c>
      <c r="AF1152">
        <v>3</v>
      </c>
      <c r="AG1152">
        <v>3</v>
      </c>
      <c r="AH1152">
        <v>-1</v>
      </c>
      <c r="AI1152">
        <v>0</v>
      </c>
    </row>
    <row r="1153" spans="1:35" hidden="1" x14ac:dyDescent="0.25">
      <c r="A1153">
        <v>2021</v>
      </c>
      <c r="B1153" s="1">
        <v>44388</v>
      </c>
      <c r="C1153">
        <v>11</v>
      </c>
      <c r="D1153">
        <v>0</v>
      </c>
      <c r="E1153">
        <v>72039</v>
      </c>
      <c r="F1153" t="s">
        <v>62</v>
      </c>
      <c r="G1153" t="s">
        <v>38</v>
      </c>
      <c r="H1153" t="s">
        <v>390</v>
      </c>
      <c r="I1153" t="s">
        <v>398</v>
      </c>
      <c r="J1153">
        <v>17</v>
      </c>
      <c r="K1153">
        <v>6</v>
      </c>
      <c r="L1153">
        <v>31700000</v>
      </c>
      <c r="M1153">
        <v>8480000</v>
      </c>
      <c r="N1153" t="s">
        <v>252</v>
      </c>
      <c r="O1153" t="s">
        <v>137</v>
      </c>
      <c r="P1153">
        <v>1</v>
      </c>
      <c r="Q1153">
        <v>0</v>
      </c>
      <c r="R1153">
        <v>0</v>
      </c>
      <c r="S1153">
        <v>0</v>
      </c>
      <c r="T1153">
        <v>2</v>
      </c>
      <c r="U1153">
        <v>1</v>
      </c>
      <c r="V1153">
        <v>16</v>
      </c>
      <c r="W1153">
        <v>15</v>
      </c>
      <c r="X1153">
        <v>15</v>
      </c>
      <c r="Y1153">
        <v>15</v>
      </c>
      <c r="Z1153">
        <v>1</v>
      </c>
      <c r="AA1153">
        <v>5</v>
      </c>
      <c r="AB1153">
        <v>2</v>
      </c>
      <c r="AC1153">
        <v>0</v>
      </c>
      <c r="AD1153">
        <v>15</v>
      </c>
      <c r="AE1153">
        <v>6</v>
      </c>
      <c r="AF1153">
        <v>5</v>
      </c>
      <c r="AG1153">
        <v>2</v>
      </c>
      <c r="AH1153">
        <v>1</v>
      </c>
      <c r="AI1153">
        <v>1</v>
      </c>
    </row>
    <row r="1154" spans="1:35" hidden="1" x14ac:dyDescent="0.25">
      <c r="A1154">
        <v>2021</v>
      </c>
      <c r="B1154" s="1">
        <v>44394</v>
      </c>
      <c r="C1154">
        <v>12</v>
      </c>
      <c r="D1154">
        <v>0</v>
      </c>
      <c r="E1154">
        <v>72039</v>
      </c>
      <c r="F1154" t="s">
        <v>62</v>
      </c>
      <c r="G1154" t="s">
        <v>63</v>
      </c>
      <c r="H1154" t="s">
        <v>390</v>
      </c>
      <c r="I1154" t="s">
        <v>65</v>
      </c>
      <c r="J1154">
        <v>14</v>
      </c>
      <c r="K1154">
        <v>4</v>
      </c>
      <c r="L1154">
        <v>33400000</v>
      </c>
      <c r="M1154">
        <v>10600000</v>
      </c>
      <c r="N1154" t="s">
        <v>116</v>
      </c>
      <c r="O1154" t="s">
        <v>135</v>
      </c>
      <c r="P1154">
        <v>0</v>
      </c>
      <c r="Q1154">
        <v>1</v>
      </c>
      <c r="R1154">
        <v>0</v>
      </c>
      <c r="S1154">
        <v>0</v>
      </c>
      <c r="T1154">
        <v>9</v>
      </c>
      <c r="U1154">
        <v>5</v>
      </c>
      <c r="V1154">
        <v>18</v>
      </c>
      <c r="W1154">
        <v>20</v>
      </c>
      <c r="X1154">
        <v>17</v>
      </c>
      <c r="Y1154">
        <v>18</v>
      </c>
      <c r="Z1154">
        <v>3</v>
      </c>
      <c r="AA1154">
        <v>3</v>
      </c>
      <c r="AB1154">
        <v>1</v>
      </c>
      <c r="AC1154">
        <v>1</v>
      </c>
      <c r="AD1154">
        <v>10</v>
      </c>
      <c r="AE1154">
        <v>9</v>
      </c>
      <c r="AF1154">
        <v>5</v>
      </c>
      <c r="AG1154">
        <v>2</v>
      </c>
      <c r="AH1154">
        <v>-1</v>
      </c>
      <c r="AI1154">
        <v>0</v>
      </c>
    </row>
    <row r="1155" spans="1:35" hidden="1" x14ac:dyDescent="0.25">
      <c r="A1155">
        <v>2021</v>
      </c>
      <c r="B1155" s="1">
        <v>44409</v>
      </c>
      <c r="C1155">
        <v>14</v>
      </c>
      <c r="D1155">
        <v>0</v>
      </c>
      <c r="E1155">
        <v>72039</v>
      </c>
      <c r="F1155" t="s">
        <v>62</v>
      </c>
      <c r="G1155" t="s">
        <v>95</v>
      </c>
      <c r="H1155" t="s">
        <v>390</v>
      </c>
      <c r="I1155" t="s">
        <v>97</v>
      </c>
      <c r="J1155">
        <v>18</v>
      </c>
      <c r="K1155">
        <v>1</v>
      </c>
      <c r="L1155">
        <v>37250000</v>
      </c>
      <c r="M1155">
        <v>45200000</v>
      </c>
      <c r="N1155" t="s">
        <v>233</v>
      </c>
      <c r="O1155" t="s">
        <v>135</v>
      </c>
      <c r="P1155">
        <v>0</v>
      </c>
      <c r="Q1155">
        <v>0</v>
      </c>
      <c r="R1155">
        <v>0</v>
      </c>
      <c r="S1155">
        <v>0</v>
      </c>
      <c r="T1155">
        <v>7</v>
      </c>
      <c r="U1155">
        <v>2</v>
      </c>
      <c r="V1155">
        <v>20</v>
      </c>
      <c r="W1155">
        <v>15</v>
      </c>
      <c r="X1155">
        <v>13</v>
      </c>
      <c r="Y1155">
        <v>19</v>
      </c>
      <c r="Z1155">
        <v>3</v>
      </c>
      <c r="AA1155">
        <v>3</v>
      </c>
      <c r="AB1155">
        <v>2</v>
      </c>
      <c r="AC1155">
        <v>1</v>
      </c>
      <c r="AD1155">
        <v>12</v>
      </c>
      <c r="AE1155">
        <v>7</v>
      </c>
      <c r="AF1155">
        <v>4</v>
      </c>
      <c r="AG1155">
        <v>4</v>
      </c>
      <c r="AH1155">
        <v>0</v>
      </c>
      <c r="AI1155">
        <v>0</v>
      </c>
    </row>
    <row r="1156" spans="1:35" hidden="1" x14ac:dyDescent="0.25">
      <c r="A1156">
        <v>2021</v>
      </c>
      <c r="B1156" s="1">
        <v>44423</v>
      </c>
      <c r="C1156">
        <v>16</v>
      </c>
      <c r="D1156">
        <v>0</v>
      </c>
      <c r="E1156">
        <v>72039</v>
      </c>
      <c r="F1156" t="s">
        <v>62</v>
      </c>
      <c r="G1156" t="s">
        <v>83</v>
      </c>
      <c r="H1156" t="s">
        <v>390</v>
      </c>
      <c r="I1156" t="s">
        <v>336</v>
      </c>
      <c r="J1156">
        <v>16</v>
      </c>
      <c r="K1156">
        <v>17</v>
      </c>
      <c r="L1156">
        <v>31400000</v>
      </c>
      <c r="M1156">
        <v>31700000</v>
      </c>
      <c r="N1156" t="s">
        <v>80</v>
      </c>
      <c r="O1156" t="s">
        <v>98</v>
      </c>
      <c r="P1156">
        <v>2</v>
      </c>
      <c r="Q1156">
        <v>1</v>
      </c>
      <c r="R1156">
        <v>1</v>
      </c>
      <c r="S1156">
        <v>1</v>
      </c>
      <c r="T1156">
        <v>6</v>
      </c>
      <c r="U1156">
        <v>2</v>
      </c>
      <c r="V1156">
        <v>14</v>
      </c>
      <c r="W1156">
        <v>16</v>
      </c>
      <c r="X1156">
        <v>14</v>
      </c>
      <c r="Y1156">
        <v>14</v>
      </c>
      <c r="Z1156">
        <v>2</v>
      </c>
      <c r="AA1156">
        <v>4</v>
      </c>
      <c r="AB1156">
        <v>2</v>
      </c>
      <c r="AC1156">
        <v>1</v>
      </c>
      <c r="AD1156">
        <v>12</v>
      </c>
      <c r="AE1156">
        <v>9</v>
      </c>
      <c r="AF1156">
        <v>3</v>
      </c>
      <c r="AG1156">
        <v>3</v>
      </c>
      <c r="AH1156">
        <v>1</v>
      </c>
      <c r="AI1156">
        <v>1</v>
      </c>
    </row>
    <row r="1157" spans="1:35" hidden="1" x14ac:dyDescent="0.25">
      <c r="A1157">
        <v>2021</v>
      </c>
      <c r="B1157" s="1">
        <v>44462</v>
      </c>
      <c r="C1157">
        <v>19</v>
      </c>
      <c r="D1157">
        <v>0</v>
      </c>
      <c r="E1157">
        <v>72039</v>
      </c>
      <c r="F1157" t="s">
        <v>62</v>
      </c>
      <c r="G1157" t="s">
        <v>310</v>
      </c>
      <c r="H1157" t="s">
        <v>390</v>
      </c>
      <c r="I1157" t="s">
        <v>312</v>
      </c>
      <c r="J1157">
        <v>14</v>
      </c>
      <c r="K1157">
        <v>17</v>
      </c>
      <c r="L1157">
        <v>37800000</v>
      </c>
      <c r="M1157">
        <v>5500000</v>
      </c>
      <c r="N1157" t="s">
        <v>163</v>
      </c>
      <c r="O1157" t="s">
        <v>142</v>
      </c>
      <c r="P1157">
        <v>0</v>
      </c>
      <c r="Q1157">
        <v>0</v>
      </c>
      <c r="R1157">
        <v>0</v>
      </c>
      <c r="S1157">
        <v>0</v>
      </c>
      <c r="T1157">
        <v>8</v>
      </c>
      <c r="U1157">
        <v>3</v>
      </c>
      <c r="V1157">
        <v>17</v>
      </c>
      <c r="W1157">
        <v>18</v>
      </c>
      <c r="X1157">
        <v>17</v>
      </c>
      <c r="Y1157">
        <v>17</v>
      </c>
      <c r="Z1157">
        <v>4</v>
      </c>
      <c r="AA1157">
        <v>2</v>
      </c>
      <c r="AB1157">
        <v>4</v>
      </c>
      <c r="AC1157">
        <v>5</v>
      </c>
      <c r="AD1157">
        <v>6</v>
      </c>
      <c r="AE1157">
        <v>9</v>
      </c>
      <c r="AF1157">
        <v>3</v>
      </c>
      <c r="AG1157">
        <v>4</v>
      </c>
      <c r="AH1157">
        <v>0</v>
      </c>
      <c r="AI1157">
        <v>0</v>
      </c>
    </row>
    <row r="1158" spans="1:35" hidden="1" x14ac:dyDescent="0.25">
      <c r="A1158">
        <v>2021</v>
      </c>
      <c r="B1158" s="1">
        <v>44458</v>
      </c>
      <c r="C1158">
        <v>21</v>
      </c>
      <c r="D1158">
        <v>0</v>
      </c>
      <c r="E1158">
        <v>72039</v>
      </c>
      <c r="F1158" t="s">
        <v>62</v>
      </c>
      <c r="G1158" t="s">
        <v>76</v>
      </c>
      <c r="H1158" t="s">
        <v>390</v>
      </c>
      <c r="I1158" t="s">
        <v>367</v>
      </c>
      <c r="J1158">
        <v>15</v>
      </c>
      <c r="K1158">
        <v>10</v>
      </c>
      <c r="L1158">
        <v>39600000</v>
      </c>
      <c r="M1158">
        <v>7030000</v>
      </c>
      <c r="N1158" t="s">
        <v>239</v>
      </c>
      <c r="O1158" t="s">
        <v>135</v>
      </c>
      <c r="P1158">
        <v>2</v>
      </c>
      <c r="Q1158">
        <v>1</v>
      </c>
      <c r="R1158">
        <v>1</v>
      </c>
      <c r="S1158">
        <v>0</v>
      </c>
      <c r="T1158">
        <v>8</v>
      </c>
      <c r="U1158">
        <v>6</v>
      </c>
      <c r="V1158">
        <v>18</v>
      </c>
      <c r="W1158">
        <v>11</v>
      </c>
      <c r="X1158">
        <v>11</v>
      </c>
      <c r="Y1158">
        <v>18</v>
      </c>
      <c r="Z1158">
        <v>3</v>
      </c>
      <c r="AA1158">
        <v>3</v>
      </c>
      <c r="AB1158">
        <v>1</v>
      </c>
      <c r="AC1158">
        <v>1</v>
      </c>
      <c r="AD1158">
        <v>13</v>
      </c>
      <c r="AE1158">
        <v>11</v>
      </c>
      <c r="AF1158">
        <v>8</v>
      </c>
      <c r="AG1158">
        <v>5</v>
      </c>
      <c r="AH1158">
        <v>1</v>
      </c>
      <c r="AI1158">
        <v>1</v>
      </c>
    </row>
    <row r="1159" spans="1:35" hidden="1" x14ac:dyDescent="0.25">
      <c r="A1159">
        <v>2021</v>
      </c>
      <c r="B1159" s="1">
        <v>44465</v>
      </c>
      <c r="C1159">
        <v>22</v>
      </c>
      <c r="D1159">
        <v>0</v>
      </c>
      <c r="E1159">
        <v>72039</v>
      </c>
      <c r="F1159" t="s">
        <v>62</v>
      </c>
      <c r="G1159" t="s">
        <v>89</v>
      </c>
      <c r="H1159" t="s">
        <v>390</v>
      </c>
      <c r="I1159" t="s">
        <v>71</v>
      </c>
      <c r="J1159">
        <v>11</v>
      </c>
      <c r="K1159">
        <v>1</v>
      </c>
      <c r="L1159">
        <v>30100000</v>
      </c>
      <c r="M1159">
        <v>48600000</v>
      </c>
      <c r="N1159" t="s">
        <v>239</v>
      </c>
      <c r="O1159" t="s">
        <v>128</v>
      </c>
      <c r="P1159">
        <v>0</v>
      </c>
      <c r="Q1159">
        <v>0</v>
      </c>
      <c r="R1159">
        <v>0</v>
      </c>
      <c r="S1159">
        <v>0</v>
      </c>
      <c r="T1159">
        <v>3</v>
      </c>
      <c r="U1159">
        <v>5</v>
      </c>
      <c r="V1159">
        <v>14</v>
      </c>
      <c r="W1159">
        <v>12</v>
      </c>
      <c r="X1159">
        <v>12</v>
      </c>
      <c r="Y1159">
        <v>12</v>
      </c>
      <c r="Z1159">
        <v>4</v>
      </c>
      <c r="AA1159">
        <v>0</v>
      </c>
      <c r="AB1159">
        <v>0</v>
      </c>
      <c r="AC1159">
        <v>1</v>
      </c>
      <c r="AD1159">
        <v>7</v>
      </c>
      <c r="AE1159">
        <v>11</v>
      </c>
      <c r="AF1159">
        <v>3</v>
      </c>
      <c r="AG1159">
        <v>4</v>
      </c>
      <c r="AH1159">
        <v>0</v>
      </c>
      <c r="AI1159">
        <v>0</v>
      </c>
    </row>
    <row r="1160" spans="1:35" hidden="1" x14ac:dyDescent="0.25">
      <c r="A1160">
        <v>2021</v>
      </c>
      <c r="B1160" s="1">
        <v>44476</v>
      </c>
      <c r="C1160">
        <v>24</v>
      </c>
      <c r="D1160">
        <v>5529</v>
      </c>
      <c r="E1160">
        <v>72039</v>
      </c>
      <c r="F1160" t="s">
        <v>62</v>
      </c>
      <c r="G1160" t="s">
        <v>326</v>
      </c>
      <c r="H1160" t="s">
        <v>390</v>
      </c>
      <c r="I1160" t="s">
        <v>379</v>
      </c>
      <c r="J1160">
        <v>13</v>
      </c>
      <c r="K1160">
        <v>16</v>
      </c>
      <c r="L1160">
        <v>40300000</v>
      </c>
      <c r="M1160">
        <v>20800000</v>
      </c>
      <c r="N1160" t="s">
        <v>252</v>
      </c>
      <c r="O1160" t="s">
        <v>163</v>
      </c>
      <c r="P1160">
        <v>1</v>
      </c>
      <c r="Q1160">
        <v>1</v>
      </c>
      <c r="R1160">
        <v>1</v>
      </c>
      <c r="S1160">
        <v>1</v>
      </c>
      <c r="T1160">
        <v>9</v>
      </c>
      <c r="U1160">
        <v>3</v>
      </c>
      <c r="V1160">
        <v>19</v>
      </c>
      <c r="W1160">
        <v>12</v>
      </c>
      <c r="X1160">
        <v>9</v>
      </c>
      <c r="Y1160">
        <v>17</v>
      </c>
      <c r="Z1160">
        <v>2</v>
      </c>
      <c r="AA1160">
        <v>2</v>
      </c>
      <c r="AB1160">
        <v>3</v>
      </c>
      <c r="AC1160">
        <v>2</v>
      </c>
      <c r="AD1160">
        <v>14</v>
      </c>
      <c r="AE1160">
        <v>6</v>
      </c>
      <c r="AF1160">
        <v>6</v>
      </c>
      <c r="AG1160">
        <v>2</v>
      </c>
      <c r="AH1160">
        <v>0</v>
      </c>
      <c r="AI1160">
        <v>0</v>
      </c>
    </row>
    <row r="1161" spans="1:35" hidden="1" x14ac:dyDescent="0.25">
      <c r="A1161">
        <v>2021</v>
      </c>
      <c r="B1161" s="1">
        <v>44484</v>
      </c>
      <c r="C1161">
        <v>26</v>
      </c>
      <c r="D1161">
        <v>9371</v>
      </c>
      <c r="E1161">
        <v>72039</v>
      </c>
      <c r="F1161" t="s">
        <v>62</v>
      </c>
      <c r="G1161" t="s">
        <v>361</v>
      </c>
      <c r="H1161" t="s">
        <v>40</v>
      </c>
      <c r="I1161" t="s">
        <v>333</v>
      </c>
      <c r="J1161">
        <v>15</v>
      </c>
      <c r="K1161">
        <v>14</v>
      </c>
      <c r="L1161">
        <v>43500000</v>
      </c>
      <c r="M1161">
        <v>7950000</v>
      </c>
      <c r="N1161" t="s">
        <v>73</v>
      </c>
      <c r="O1161" t="s">
        <v>135</v>
      </c>
      <c r="P1161">
        <v>1</v>
      </c>
      <c r="Q1161">
        <v>1</v>
      </c>
      <c r="R1161">
        <v>0</v>
      </c>
      <c r="S1161">
        <v>1</v>
      </c>
      <c r="T1161">
        <v>10</v>
      </c>
      <c r="U1161">
        <v>10</v>
      </c>
      <c r="V1161">
        <v>18</v>
      </c>
      <c r="W1161">
        <v>14</v>
      </c>
      <c r="X1161">
        <v>14</v>
      </c>
      <c r="Y1161">
        <v>17</v>
      </c>
      <c r="Z1161">
        <v>6</v>
      </c>
      <c r="AA1161">
        <v>7</v>
      </c>
      <c r="AB1161">
        <v>3</v>
      </c>
      <c r="AC1161">
        <v>0</v>
      </c>
      <c r="AD1161">
        <v>23</v>
      </c>
      <c r="AE1161">
        <v>12</v>
      </c>
      <c r="AF1161">
        <v>10</v>
      </c>
      <c r="AG1161">
        <v>3</v>
      </c>
      <c r="AH1161">
        <v>0</v>
      </c>
      <c r="AI1161">
        <v>0</v>
      </c>
    </row>
    <row r="1162" spans="1:35" hidden="1" x14ac:dyDescent="0.25">
      <c r="A1162">
        <v>2021</v>
      </c>
      <c r="B1162" s="1">
        <v>44488</v>
      </c>
      <c r="C1162">
        <v>27</v>
      </c>
      <c r="D1162">
        <v>23874</v>
      </c>
      <c r="E1162">
        <v>72039</v>
      </c>
      <c r="F1162" t="s">
        <v>62</v>
      </c>
      <c r="G1162" t="s">
        <v>88</v>
      </c>
      <c r="H1162" t="s">
        <v>40</v>
      </c>
      <c r="I1162" t="s">
        <v>392</v>
      </c>
      <c r="J1162">
        <v>15</v>
      </c>
      <c r="K1162">
        <v>7</v>
      </c>
      <c r="L1162">
        <v>44100000</v>
      </c>
      <c r="M1162">
        <v>30850000</v>
      </c>
      <c r="N1162">
        <v>27</v>
      </c>
      <c r="O1162" t="s">
        <v>128</v>
      </c>
      <c r="P1162">
        <v>1</v>
      </c>
      <c r="Q1162">
        <v>0</v>
      </c>
      <c r="R1162">
        <v>1</v>
      </c>
      <c r="S1162">
        <v>0</v>
      </c>
      <c r="T1162">
        <v>6</v>
      </c>
      <c r="U1162">
        <v>5</v>
      </c>
      <c r="V1162">
        <v>21</v>
      </c>
      <c r="W1162">
        <v>8</v>
      </c>
      <c r="X1162">
        <v>8</v>
      </c>
      <c r="Y1162">
        <v>21</v>
      </c>
      <c r="Z1162">
        <v>2</v>
      </c>
      <c r="AA1162">
        <v>1</v>
      </c>
      <c r="AB1162">
        <v>4</v>
      </c>
      <c r="AC1162">
        <v>2</v>
      </c>
      <c r="AD1162">
        <v>8</v>
      </c>
      <c r="AE1162">
        <v>10</v>
      </c>
      <c r="AF1162">
        <v>5</v>
      </c>
      <c r="AG1162">
        <v>5</v>
      </c>
      <c r="AH1162">
        <v>1</v>
      </c>
      <c r="AI1162">
        <v>1</v>
      </c>
    </row>
    <row r="1163" spans="1:35" hidden="1" x14ac:dyDescent="0.25">
      <c r="A1163">
        <v>2021</v>
      </c>
      <c r="B1163" s="1">
        <v>44500</v>
      </c>
      <c r="C1163">
        <v>29</v>
      </c>
      <c r="D1163">
        <v>19867</v>
      </c>
      <c r="E1163">
        <v>72039</v>
      </c>
      <c r="F1163" t="s">
        <v>62</v>
      </c>
      <c r="G1163" t="s">
        <v>37</v>
      </c>
      <c r="H1163" t="s">
        <v>40</v>
      </c>
      <c r="I1163" t="s">
        <v>342</v>
      </c>
      <c r="J1163">
        <v>13</v>
      </c>
      <c r="K1163">
        <v>6</v>
      </c>
      <c r="L1163">
        <v>40100000</v>
      </c>
      <c r="M1163">
        <v>20550000</v>
      </c>
      <c r="N1163">
        <v>28</v>
      </c>
      <c r="O1163" t="s">
        <v>239</v>
      </c>
      <c r="P1163">
        <v>1</v>
      </c>
      <c r="Q1163">
        <v>0</v>
      </c>
      <c r="R1163">
        <v>1</v>
      </c>
      <c r="S1163">
        <v>0</v>
      </c>
      <c r="T1163">
        <v>5</v>
      </c>
      <c r="U1163">
        <v>1</v>
      </c>
      <c r="V1163">
        <v>17</v>
      </c>
      <c r="W1163">
        <v>13</v>
      </c>
      <c r="X1163">
        <v>11</v>
      </c>
      <c r="Y1163">
        <v>17</v>
      </c>
      <c r="Z1163">
        <v>3</v>
      </c>
      <c r="AA1163">
        <v>7</v>
      </c>
      <c r="AB1163">
        <v>4</v>
      </c>
      <c r="AC1163">
        <v>0</v>
      </c>
      <c r="AD1163">
        <v>21</v>
      </c>
      <c r="AE1163">
        <v>9</v>
      </c>
      <c r="AF1163">
        <v>11</v>
      </c>
      <c r="AG1163">
        <v>4</v>
      </c>
      <c r="AH1163">
        <v>1</v>
      </c>
      <c r="AI1163">
        <v>1</v>
      </c>
    </row>
    <row r="1164" spans="1:35" hidden="1" x14ac:dyDescent="0.25">
      <c r="A1164">
        <v>2021</v>
      </c>
      <c r="B1164" s="1">
        <v>44514</v>
      </c>
      <c r="C1164">
        <v>32</v>
      </c>
      <c r="D1164">
        <v>47855</v>
      </c>
      <c r="E1164">
        <v>72039</v>
      </c>
      <c r="F1164" t="s">
        <v>62</v>
      </c>
      <c r="G1164" t="s">
        <v>77</v>
      </c>
      <c r="H1164" t="s">
        <v>40</v>
      </c>
      <c r="I1164" t="s">
        <v>319</v>
      </c>
      <c r="J1164">
        <v>15</v>
      </c>
      <c r="K1164">
        <v>3</v>
      </c>
      <c r="L1164">
        <v>37100000</v>
      </c>
      <c r="M1164">
        <v>74000000</v>
      </c>
      <c r="N1164" t="s">
        <v>117</v>
      </c>
      <c r="O1164" t="s">
        <v>98</v>
      </c>
      <c r="P1164">
        <v>0</v>
      </c>
      <c r="Q1164">
        <v>4</v>
      </c>
      <c r="R1164">
        <v>0</v>
      </c>
      <c r="S1164">
        <v>3</v>
      </c>
      <c r="T1164">
        <v>1</v>
      </c>
      <c r="U1164">
        <v>3</v>
      </c>
      <c r="V1164">
        <v>6</v>
      </c>
      <c r="W1164">
        <v>9</v>
      </c>
      <c r="X1164">
        <v>9</v>
      </c>
      <c r="Y1164">
        <v>6</v>
      </c>
      <c r="Z1164">
        <v>3</v>
      </c>
      <c r="AA1164">
        <v>3</v>
      </c>
      <c r="AB1164">
        <v>0</v>
      </c>
      <c r="AC1164">
        <v>2</v>
      </c>
      <c r="AD1164">
        <v>6</v>
      </c>
      <c r="AE1164">
        <v>15</v>
      </c>
      <c r="AF1164">
        <v>2</v>
      </c>
      <c r="AG1164">
        <v>7</v>
      </c>
      <c r="AH1164">
        <v>-4</v>
      </c>
      <c r="AI1164">
        <v>0</v>
      </c>
    </row>
    <row r="1165" spans="1:35" hidden="1" x14ac:dyDescent="0.25">
      <c r="A1165">
        <v>2021</v>
      </c>
      <c r="B1165" s="1">
        <v>44525</v>
      </c>
      <c r="C1165">
        <v>34</v>
      </c>
      <c r="D1165">
        <v>43491</v>
      </c>
      <c r="E1165">
        <v>72039</v>
      </c>
      <c r="F1165" t="s">
        <v>62</v>
      </c>
      <c r="G1165" t="s">
        <v>69</v>
      </c>
      <c r="H1165" t="s">
        <v>40</v>
      </c>
      <c r="I1165" t="s">
        <v>378</v>
      </c>
      <c r="J1165">
        <v>14</v>
      </c>
      <c r="K1165">
        <v>13</v>
      </c>
      <c r="L1165">
        <v>41800000</v>
      </c>
      <c r="M1165">
        <v>26500000</v>
      </c>
      <c r="N1165">
        <v>27</v>
      </c>
      <c r="O1165" t="s">
        <v>116</v>
      </c>
      <c r="P1165">
        <v>0</v>
      </c>
      <c r="Q1165">
        <v>0</v>
      </c>
      <c r="R1165">
        <v>0</v>
      </c>
      <c r="S1165">
        <v>0</v>
      </c>
      <c r="T1165">
        <v>9</v>
      </c>
      <c r="U1165">
        <v>0</v>
      </c>
      <c r="V1165">
        <v>14</v>
      </c>
      <c r="W1165">
        <v>15</v>
      </c>
      <c r="X1165">
        <v>14</v>
      </c>
      <c r="Y1165">
        <v>14</v>
      </c>
      <c r="Z1165">
        <v>0</v>
      </c>
      <c r="AA1165">
        <v>2</v>
      </c>
      <c r="AB1165">
        <v>1</v>
      </c>
      <c r="AC1165">
        <v>2</v>
      </c>
      <c r="AD1165">
        <v>20</v>
      </c>
      <c r="AE1165">
        <v>3</v>
      </c>
      <c r="AF1165">
        <v>10</v>
      </c>
      <c r="AG1165">
        <v>2</v>
      </c>
      <c r="AH1165">
        <v>0</v>
      </c>
      <c r="AI1165">
        <v>0</v>
      </c>
    </row>
    <row r="1166" spans="1:35" hidden="1" x14ac:dyDescent="0.25">
      <c r="A1166">
        <v>2021</v>
      </c>
      <c r="B1166" s="1">
        <v>44528</v>
      </c>
      <c r="C1166">
        <v>36</v>
      </c>
      <c r="D1166">
        <v>35679</v>
      </c>
      <c r="E1166">
        <v>72039</v>
      </c>
      <c r="F1166" t="s">
        <v>62</v>
      </c>
      <c r="G1166" t="s">
        <v>391</v>
      </c>
      <c r="H1166" t="s">
        <v>40</v>
      </c>
      <c r="I1166" t="s">
        <v>397</v>
      </c>
      <c r="J1166">
        <v>16</v>
      </c>
      <c r="K1166">
        <v>19</v>
      </c>
      <c r="L1166">
        <v>40400000</v>
      </c>
      <c r="M1166">
        <v>7250000</v>
      </c>
      <c r="N1166" t="s">
        <v>98</v>
      </c>
      <c r="O1166" t="s">
        <v>122</v>
      </c>
      <c r="P1166">
        <v>2</v>
      </c>
      <c r="Q1166">
        <v>0</v>
      </c>
      <c r="R1166">
        <v>0</v>
      </c>
      <c r="S1166">
        <v>0</v>
      </c>
      <c r="T1166">
        <v>7</v>
      </c>
      <c r="U1166">
        <v>5</v>
      </c>
      <c r="V1166">
        <v>16</v>
      </c>
      <c r="W1166">
        <v>14</v>
      </c>
      <c r="X1166">
        <v>14</v>
      </c>
      <c r="Y1166">
        <v>15</v>
      </c>
      <c r="Z1166">
        <v>4</v>
      </c>
      <c r="AA1166">
        <v>7</v>
      </c>
      <c r="AB1166">
        <v>2</v>
      </c>
      <c r="AC1166">
        <v>0</v>
      </c>
      <c r="AD1166">
        <v>20</v>
      </c>
      <c r="AE1166">
        <v>7</v>
      </c>
      <c r="AF1166">
        <v>8</v>
      </c>
      <c r="AG1166">
        <v>2</v>
      </c>
      <c r="AH1166">
        <v>2</v>
      </c>
      <c r="AI1166">
        <v>1</v>
      </c>
    </row>
    <row r="1167" spans="1:35" hidden="1" x14ac:dyDescent="0.25">
      <c r="A1167">
        <v>2021</v>
      </c>
      <c r="B1167" s="1">
        <v>44536</v>
      </c>
      <c r="C1167">
        <v>37</v>
      </c>
      <c r="D1167">
        <v>40442</v>
      </c>
      <c r="E1167">
        <v>72039</v>
      </c>
      <c r="F1167" t="s">
        <v>62</v>
      </c>
      <c r="G1167" t="s">
        <v>44</v>
      </c>
      <c r="H1167" t="s">
        <v>40</v>
      </c>
      <c r="I1167" t="s">
        <v>78</v>
      </c>
      <c r="J1167">
        <v>14</v>
      </c>
      <c r="K1167">
        <v>15</v>
      </c>
      <c r="L1167">
        <v>40300000</v>
      </c>
      <c r="M1167">
        <v>6950000</v>
      </c>
      <c r="N1167" t="s">
        <v>128</v>
      </c>
      <c r="O1167" t="s">
        <v>137</v>
      </c>
      <c r="P1167">
        <v>3</v>
      </c>
      <c r="Q1167">
        <v>1</v>
      </c>
      <c r="R1167">
        <v>2</v>
      </c>
      <c r="S1167">
        <v>0</v>
      </c>
      <c r="T1167">
        <v>7</v>
      </c>
      <c r="U1167">
        <v>6</v>
      </c>
      <c r="V1167">
        <v>25</v>
      </c>
      <c r="W1167">
        <v>13</v>
      </c>
      <c r="X1167">
        <v>11</v>
      </c>
      <c r="Y1167">
        <v>25</v>
      </c>
      <c r="Z1167">
        <v>2</v>
      </c>
      <c r="AA1167">
        <v>3</v>
      </c>
      <c r="AB1167">
        <v>0</v>
      </c>
      <c r="AC1167">
        <v>1</v>
      </c>
      <c r="AD1167">
        <v>13</v>
      </c>
      <c r="AE1167">
        <v>9</v>
      </c>
      <c r="AF1167">
        <v>6</v>
      </c>
      <c r="AG1167">
        <v>4</v>
      </c>
      <c r="AH1167">
        <v>2</v>
      </c>
      <c r="AI1167">
        <v>1</v>
      </c>
    </row>
    <row r="1168" spans="1:35" hidden="1" x14ac:dyDescent="0.25">
      <c r="A1168">
        <v>2021</v>
      </c>
      <c r="B1168" s="1">
        <v>44353</v>
      </c>
      <c r="C1168">
        <v>2</v>
      </c>
      <c r="D1168">
        <v>0</v>
      </c>
      <c r="E1168">
        <v>25000</v>
      </c>
      <c r="F1168" t="s">
        <v>310</v>
      </c>
      <c r="G1168" t="s">
        <v>88</v>
      </c>
      <c r="H1168" t="s">
        <v>362</v>
      </c>
      <c r="I1168" t="s">
        <v>392</v>
      </c>
      <c r="J1168">
        <v>16</v>
      </c>
      <c r="K1168">
        <v>17</v>
      </c>
      <c r="L1168">
        <v>6200000</v>
      </c>
      <c r="M1168">
        <v>24150000</v>
      </c>
      <c r="N1168">
        <v>29</v>
      </c>
      <c r="O1168" t="s">
        <v>129</v>
      </c>
      <c r="P1168">
        <v>0</v>
      </c>
      <c r="Q1168">
        <v>1</v>
      </c>
      <c r="R1168">
        <v>0</v>
      </c>
      <c r="S1168">
        <v>1</v>
      </c>
      <c r="T1168">
        <v>6</v>
      </c>
      <c r="U1168">
        <v>4</v>
      </c>
      <c r="V1168">
        <v>11</v>
      </c>
      <c r="W1168">
        <v>19</v>
      </c>
      <c r="X1168">
        <v>19</v>
      </c>
      <c r="Y1168">
        <v>10</v>
      </c>
      <c r="Z1168">
        <v>3</v>
      </c>
      <c r="AA1168">
        <v>4</v>
      </c>
      <c r="AB1168">
        <v>4</v>
      </c>
      <c r="AC1168">
        <v>0</v>
      </c>
      <c r="AD1168">
        <v>10</v>
      </c>
      <c r="AE1168">
        <v>6</v>
      </c>
      <c r="AF1168">
        <v>4</v>
      </c>
      <c r="AG1168">
        <v>2</v>
      </c>
      <c r="AH1168">
        <v>-1</v>
      </c>
      <c r="AI1168">
        <v>0</v>
      </c>
    </row>
    <row r="1169" spans="1:35" hidden="1" x14ac:dyDescent="0.25">
      <c r="A1169">
        <v>2021</v>
      </c>
      <c r="B1169" s="1">
        <v>44364</v>
      </c>
      <c r="C1169">
        <v>4</v>
      </c>
      <c r="D1169">
        <v>0</v>
      </c>
      <c r="E1169">
        <v>25000</v>
      </c>
      <c r="F1169" t="s">
        <v>310</v>
      </c>
      <c r="G1169" t="s">
        <v>70</v>
      </c>
      <c r="H1169" t="s">
        <v>377</v>
      </c>
      <c r="I1169" t="s">
        <v>72</v>
      </c>
      <c r="J1169">
        <v>20</v>
      </c>
      <c r="K1169">
        <v>10</v>
      </c>
      <c r="L1169">
        <v>5730000</v>
      </c>
      <c r="M1169">
        <v>6330000</v>
      </c>
      <c r="N1169" t="s">
        <v>92</v>
      </c>
      <c r="O1169" t="s">
        <v>129</v>
      </c>
      <c r="P1169">
        <v>0</v>
      </c>
      <c r="Q1169">
        <v>0</v>
      </c>
      <c r="R1169">
        <v>0</v>
      </c>
      <c r="S1169">
        <v>0</v>
      </c>
      <c r="T1169">
        <v>3</v>
      </c>
      <c r="U1169">
        <v>2</v>
      </c>
      <c r="V1169">
        <v>16</v>
      </c>
      <c r="W1169">
        <v>16</v>
      </c>
      <c r="X1169">
        <v>16</v>
      </c>
      <c r="Y1169">
        <v>16</v>
      </c>
      <c r="Z1169">
        <v>3</v>
      </c>
      <c r="AA1169">
        <v>6</v>
      </c>
      <c r="AB1169">
        <v>2</v>
      </c>
      <c r="AC1169">
        <v>3</v>
      </c>
      <c r="AD1169">
        <v>20</v>
      </c>
      <c r="AE1169">
        <v>8</v>
      </c>
      <c r="AF1169">
        <v>7</v>
      </c>
      <c r="AG1169">
        <v>2</v>
      </c>
      <c r="AH1169">
        <v>0</v>
      </c>
      <c r="AI1169">
        <v>0</v>
      </c>
    </row>
    <row r="1170" spans="1:35" hidden="1" x14ac:dyDescent="0.25">
      <c r="A1170">
        <v>2021</v>
      </c>
      <c r="B1170" s="1">
        <v>44371</v>
      </c>
      <c r="C1170">
        <v>6</v>
      </c>
      <c r="D1170">
        <v>0</v>
      </c>
      <c r="E1170">
        <v>25000</v>
      </c>
      <c r="F1170" t="s">
        <v>310</v>
      </c>
      <c r="G1170" t="s">
        <v>44</v>
      </c>
      <c r="H1170" t="s">
        <v>312</v>
      </c>
      <c r="I1170" t="s">
        <v>368</v>
      </c>
      <c r="J1170">
        <v>20</v>
      </c>
      <c r="K1170">
        <v>15</v>
      </c>
      <c r="L1170">
        <v>6130000</v>
      </c>
      <c r="M1170">
        <v>6850000</v>
      </c>
      <c r="N1170" t="s">
        <v>86</v>
      </c>
      <c r="O1170" t="s">
        <v>114</v>
      </c>
      <c r="P1170">
        <v>1</v>
      </c>
      <c r="Q1170">
        <v>1</v>
      </c>
      <c r="R1170">
        <v>0</v>
      </c>
      <c r="S1170">
        <v>1</v>
      </c>
      <c r="T1170">
        <v>8</v>
      </c>
      <c r="U1170">
        <v>3</v>
      </c>
      <c r="V1170">
        <v>17</v>
      </c>
      <c r="W1170">
        <v>16</v>
      </c>
      <c r="X1170">
        <v>15</v>
      </c>
      <c r="Y1170">
        <v>15</v>
      </c>
      <c r="Z1170">
        <v>2</v>
      </c>
      <c r="AA1170">
        <v>1</v>
      </c>
      <c r="AB1170">
        <v>0</v>
      </c>
      <c r="AC1170">
        <v>1</v>
      </c>
      <c r="AD1170">
        <v>12</v>
      </c>
      <c r="AE1170">
        <v>8</v>
      </c>
      <c r="AF1170">
        <v>7</v>
      </c>
      <c r="AG1170">
        <v>4</v>
      </c>
      <c r="AH1170">
        <v>0</v>
      </c>
      <c r="AI1170">
        <v>0</v>
      </c>
    </row>
    <row r="1171" spans="1:35" hidden="1" x14ac:dyDescent="0.25">
      <c r="A1171">
        <v>2021</v>
      </c>
      <c r="B1171" s="1">
        <v>44375</v>
      </c>
      <c r="C1171">
        <v>7</v>
      </c>
      <c r="D1171">
        <v>0</v>
      </c>
      <c r="E1171">
        <v>25000</v>
      </c>
      <c r="F1171" t="s">
        <v>310</v>
      </c>
      <c r="G1171" t="s">
        <v>37</v>
      </c>
      <c r="H1171" t="s">
        <v>312</v>
      </c>
      <c r="I1171" t="s">
        <v>342</v>
      </c>
      <c r="J1171">
        <v>20</v>
      </c>
      <c r="K1171">
        <v>13</v>
      </c>
      <c r="L1171">
        <v>6380000</v>
      </c>
      <c r="M1171">
        <v>26150000</v>
      </c>
      <c r="N1171" t="s">
        <v>309</v>
      </c>
      <c r="O1171" t="s">
        <v>332</v>
      </c>
      <c r="P1171">
        <v>1</v>
      </c>
      <c r="Q1171">
        <v>1</v>
      </c>
      <c r="R1171">
        <v>1</v>
      </c>
      <c r="S1171">
        <v>0</v>
      </c>
      <c r="T1171">
        <v>5</v>
      </c>
      <c r="U1171">
        <v>5</v>
      </c>
      <c r="V1171">
        <v>16</v>
      </c>
      <c r="W1171">
        <v>20</v>
      </c>
      <c r="X1171">
        <v>20</v>
      </c>
      <c r="Y1171">
        <v>14</v>
      </c>
      <c r="Z1171">
        <v>2</v>
      </c>
      <c r="AA1171">
        <v>5</v>
      </c>
      <c r="AB1171">
        <v>1</v>
      </c>
      <c r="AC1171">
        <v>0</v>
      </c>
      <c r="AD1171">
        <v>13</v>
      </c>
      <c r="AE1171">
        <v>10</v>
      </c>
      <c r="AF1171">
        <v>4</v>
      </c>
      <c r="AG1171">
        <v>5</v>
      </c>
      <c r="AH1171">
        <v>0</v>
      </c>
      <c r="AI1171">
        <v>0</v>
      </c>
    </row>
    <row r="1172" spans="1:35" hidden="1" x14ac:dyDescent="0.25">
      <c r="A1172">
        <v>2021</v>
      </c>
      <c r="B1172" s="1">
        <v>44381</v>
      </c>
      <c r="C1172">
        <v>9</v>
      </c>
      <c r="D1172">
        <v>0</v>
      </c>
      <c r="E1172">
        <v>25000</v>
      </c>
      <c r="F1172" t="s">
        <v>310</v>
      </c>
      <c r="G1172" t="s">
        <v>326</v>
      </c>
      <c r="H1172" t="s">
        <v>312</v>
      </c>
      <c r="I1172" t="s">
        <v>57</v>
      </c>
      <c r="J1172">
        <v>17</v>
      </c>
      <c r="K1172">
        <v>7</v>
      </c>
      <c r="L1172">
        <v>6530000</v>
      </c>
      <c r="M1172">
        <v>25800000</v>
      </c>
      <c r="N1172">
        <v>31</v>
      </c>
      <c r="O1172" t="s">
        <v>149</v>
      </c>
      <c r="P1172">
        <v>2</v>
      </c>
      <c r="Q1172">
        <v>0</v>
      </c>
      <c r="R1172">
        <v>0</v>
      </c>
      <c r="S1172">
        <v>0</v>
      </c>
      <c r="T1172">
        <v>2</v>
      </c>
      <c r="U1172">
        <v>12</v>
      </c>
      <c r="V1172">
        <v>13</v>
      </c>
      <c r="W1172">
        <v>6</v>
      </c>
      <c r="X1172">
        <v>5</v>
      </c>
      <c r="Y1172">
        <v>13</v>
      </c>
      <c r="Z1172">
        <v>8</v>
      </c>
      <c r="AA1172">
        <v>2</v>
      </c>
      <c r="AB1172">
        <v>4</v>
      </c>
      <c r="AC1172">
        <v>2</v>
      </c>
      <c r="AD1172">
        <v>8</v>
      </c>
      <c r="AE1172">
        <v>21</v>
      </c>
      <c r="AF1172">
        <v>3</v>
      </c>
      <c r="AG1172">
        <v>5</v>
      </c>
      <c r="AH1172">
        <v>2</v>
      </c>
      <c r="AI1172">
        <v>1</v>
      </c>
    </row>
    <row r="1173" spans="1:35" hidden="1" x14ac:dyDescent="0.25">
      <c r="A1173">
        <v>2021</v>
      </c>
      <c r="B1173" s="1">
        <v>44388</v>
      </c>
      <c r="C1173">
        <v>11</v>
      </c>
      <c r="D1173">
        <v>0</v>
      </c>
      <c r="E1173">
        <v>25000</v>
      </c>
      <c r="F1173" t="s">
        <v>310</v>
      </c>
      <c r="G1173" t="s">
        <v>89</v>
      </c>
      <c r="H1173" t="s">
        <v>312</v>
      </c>
      <c r="I1173" t="s">
        <v>71</v>
      </c>
      <c r="J1173">
        <v>15</v>
      </c>
      <c r="K1173">
        <v>4</v>
      </c>
      <c r="L1173">
        <v>4230000</v>
      </c>
      <c r="M1173">
        <v>42500000</v>
      </c>
      <c r="N1173" t="s">
        <v>100</v>
      </c>
      <c r="O1173" t="s">
        <v>151</v>
      </c>
      <c r="P1173">
        <v>0</v>
      </c>
      <c r="Q1173">
        <v>1</v>
      </c>
      <c r="R1173">
        <v>0</v>
      </c>
      <c r="S1173">
        <v>0</v>
      </c>
      <c r="T1173">
        <v>8</v>
      </c>
      <c r="U1173">
        <v>10</v>
      </c>
      <c r="V1173">
        <v>16</v>
      </c>
      <c r="W1173">
        <v>17</v>
      </c>
      <c r="X1173">
        <v>16</v>
      </c>
      <c r="Y1173">
        <v>16</v>
      </c>
      <c r="Z1173">
        <v>5</v>
      </c>
      <c r="AA1173">
        <v>2</v>
      </c>
      <c r="AB1173">
        <v>2</v>
      </c>
      <c r="AC1173">
        <v>0</v>
      </c>
      <c r="AD1173">
        <v>12</v>
      </c>
      <c r="AE1173">
        <v>13</v>
      </c>
      <c r="AF1173">
        <v>8</v>
      </c>
      <c r="AG1173">
        <v>6</v>
      </c>
      <c r="AH1173">
        <v>-1</v>
      </c>
      <c r="AI1173">
        <v>0</v>
      </c>
    </row>
    <row r="1174" spans="1:35" hidden="1" x14ac:dyDescent="0.25">
      <c r="A1174">
        <v>2021</v>
      </c>
      <c r="B1174" s="1">
        <v>44397</v>
      </c>
      <c r="C1174">
        <v>12</v>
      </c>
      <c r="D1174">
        <v>0</v>
      </c>
      <c r="E1174">
        <v>25000</v>
      </c>
      <c r="F1174" t="s">
        <v>310</v>
      </c>
      <c r="G1174" t="s">
        <v>391</v>
      </c>
      <c r="H1174" t="s">
        <v>312</v>
      </c>
      <c r="I1174" t="s">
        <v>238</v>
      </c>
      <c r="J1174">
        <v>16</v>
      </c>
      <c r="K1174">
        <v>18</v>
      </c>
      <c r="L1174">
        <v>3330000</v>
      </c>
      <c r="M1174">
        <v>5400000</v>
      </c>
      <c r="N1174" t="s">
        <v>174</v>
      </c>
      <c r="O1174" t="s">
        <v>176</v>
      </c>
      <c r="P1174">
        <v>0</v>
      </c>
      <c r="Q1174">
        <v>1</v>
      </c>
      <c r="R1174">
        <v>0</v>
      </c>
      <c r="S1174">
        <v>0</v>
      </c>
      <c r="T1174">
        <v>9</v>
      </c>
      <c r="U1174">
        <v>4</v>
      </c>
      <c r="V1174">
        <v>19</v>
      </c>
      <c r="W1174">
        <v>22</v>
      </c>
      <c r="X1174">
        <v>20</v>
      </c>
      <c r="Y1174">
        <v>19</v>
      </c>
      <c r="Z1174">
        <v>4</v>
      </c>
      <c r="AA1174">
        <v>3</v>
      </c>
      <c r="AB1174">
        <v>2</v>
      </c>
      <c r="AC1174">
        <v>2</v>
      </c>
      <c r="AD1174">
        <v>16</v>
      </c>
      <c r="AE1174">
        <v>11</v>
      </c>
      <c r="AF1174">
        <v>7</v>
      </c>
      <c r="AG1174">
        <v>5</v>
      </c>
      <c r="AH1174">
        <v>-1</v>
      </c>
      <c r="AI1174">
        <v>0</v>
      </c>
    </row>
    <row r="1175" spans="1:35" hidden="1" x14ac:dyDescent="0.25">
      <c r="A1175">
        <v>2021</v>
      </c>
      <c r="B1175" s="1">
        <v>44416</v>
      </c>
      <c r="C1175">
        <v>15</v>
      </c>
      <c r="D1175">
        <v>0</v>
      </c>
      <c r="E1175">
        <v>25000</v>
      </c>
      <c r="F1175" t="s">
        <v>310</v>
      </c>
      <c r="G1175" t="s">
        <v>55</v>
      </c>
      <c r="H1175" t="s">
        <v>312</v>
      </c>
      <c r="I1175" t="s">
        <v>46</v>
      </c>
      <c r="J1175">
        <v>19</v>
      </c>
      <c r="K1175">
        <v>10</v>
      </c>
      <c r="L1175">
        <v>4030000</v>
      </c>
      <c r="M1175">
        <v>24200000</v>
      </c>
      <c r="N1175" t="s">
        <v>86</v>
      </c>
      <c r="O1175" t="s">
        <v>92</v>
      </c>
      <c r="P1175">
        <v>1</v>
      </c>
      <c r="Q1175">
        <v>0</v>
      </c>
      <c r="R1175">
        <v>0</v>
      </c>
      <c r="S1175">
        <v>0</v>
      </c>
      <c r="T1175">
        <v>4</v>
      </c>
      <c r="U1175">
        <v>8</v>
      </c>
      <c r="V1175">
        <v>17</v>
      </c>
      <c r="W1175">
        <v>13</v>
      </c>
      <c r="X1175">
        <v>11</v>
      </c>
      <c r="Y1175">
        <v>16</v>
      </c>
      <c r="Z1175">
        <v>2</v>
      </c>
      <c r="AA1175">
        <v>6</v>
      </c>
      <c r="AB1175">
        <v>1</v>
      </c>
      <c r="AC1175">
        <v>1</v>
      </c>
      <c r="AD1175">
        <v>15</v>
      </c>
      <c r="AE1175">
        <v>7</v>
      </c>
      <c r="AF1175">
        <v>3</v>
      </c>
      <c r="AG1175">
        <v>3</v>
      </c>
      <c r="AH1175">
        <v>1</v>
      </c>
      <c r="AI1175">
        <v>1</v>
      </c>
    </row>
    <row r="1176" spans="1:35" hidden="1" x14ac:dyDescent="0.25">
      <c r="A1176">
        <v>2021</v>
      </c>
      <c r="B1176" s="1">
        <v>44432</v>
      </c>
      <c r="C1176">
        <v>17</v>
      </c>
      <c r="D1176">
        <v>0</v>
      </c>
      <c r="E1176">
        <v>25000</v>
      </c>
      <c r="F1176" t="s">
        <v>310</v>
      </c>
      <c r="G1176" t="s">
        <v>56</v>
      </c>
      <c r="H1176" t="s">
        <v>312</v>
      </c>
      <c r="I1176" t="s">
        <v>341</v>
      </c>
      <c r="J1176">
        <v>18</v>
      </c>
      <c r="K1176">
        <v>5</v>
      </c>
      <c r="L1176">
        <v>4780000</v>
      </c>
      <c r="M1176">
        <v>23400000</v>
      </c>
      <c r="N1176" t="s">
        <v>193</v>
      </c>
      <c r="O1176" t="s">
        <v>217</v>
      </c>
      <c r="P1176">
        <v>0</v>
      </c>
      <c r="Q1176">
        <v>2</v>
      </c>
      <c r="R1176">
        <v>0</v>
      </c>
      <c r="S1176">
        <v>1</v>
      </c>
      <c r="T1176">
        <v>9</v>
      </c>
      <c r="U1176">
        <v>0</v>
      </c>
      <c r="V1176">
        <v>14</v>
      </c>
      <c r="W1176">
        <v>15</v>
      </c>
      <c r="X1176">
        <v>15</v>
      </c>
      <c r="Y1176">
        <v>14</v>
      </c>
      <c r="Z1176">
        <v>1</v>
      </c>
      <c r="AA1176">
        <v>3</v>
      </c>
      <c r="AB1176">
        <v>2</v>
      </c>
      <c r="AC1176">
        <v>2</v>
      </c>
      <c r="AD1176">
        <v>14</v>
      </c>
      <c r="AE1176">
        <v>10</v>
      </c>
      <c r="AF1176">
        <v>5</v>
      </c>
      <c r="AG1176">
        <v>3</v>
      </c>
      <c r="AH1176">
        <v>-2</v>
      </c>
      <c r="AI1176">
        <v>0</v>
      </c>
    </row>
    <row r="1177" spans="1:35" hidden="1" x14ac:dyDescent="0.25">
      <c r="A1177">
        <v>2021</v>
      </c>
      <c r="B1177" s="1">
        <v>44437</v>
      </c>
      <c r="C1177">
        <v>18</v>
      </c>
      <c r="D1177">
        <v>0</v>
      </c>
      <c r="E1177">
        <v>25000</v>
      </c>
      <c r="F1177" t="s">
        <v>310</v>
      </c>
      <c r="G1177" t="s">
        <v>361</v>
      </c>
      <c r="H1177" t="s">
        <v>312</v>
      </c>
      <c r="I1177" t="s">
        <v>340</v>
      </c>
      <c r="J1177">
        <v>19</v>
      </c>
      <c r="K1177">
        <v>9</v>
      </c>
      <c r="L1177">
        <v>4500000</v>
      </c>
      <c r="M1177">
        <v>7780000</v>
      </c>
      <c r="N1177" t="s">
        <v>105</v>
      </c>
      <c r="O1177" t="s">
        <v>129</v>
      </c>
      <c r="P1177">
        <v>2</v>
      </c>
      <c r="Q1177">
        <v>0</v>
      </c>
      <c r="R1177">
        <v>1</v>
      </c>
      <c r="S1177">
        <v>0</v>
      </c>
      <c r="T1177">
        <v>9</v>
      </c>
      <c r="U1177">
        <v>2</v>
      </c>
      <c r="V1177">
        <v>19</v>
      </c>
      <c r="W1177">
        <v>13</v>
      </c>
      <c r="X1177">
        <v>12</v>
      </c>
      <c r="Y1177">
        <v>17</v>
      </c>
      <c r="Z1177">
        <v>2</v>
      </c>
      <c r="AA1177">
        <v>2</v>
      </c>
      <c r="AB1177">
        <v>2</v>
      </c>
      <c r="AC1177">
        <v>1</v>
      </c>
      <c r="AD1177">
        <v>19</v>
      </c>
      <c r="AE1177">
        <v>6</v>
      </c>
      <c r="AF1177">
        <v>6</v>
      </c>
      <c r="AG1177">
        <v>1</v>
      </c>
      <c r="AH1177">
        <v>2</v>
      </c>
      <c r="AI1177">
        <v>1</v>
      </c>
    </row>
    <row r="1178" spans="1:35" hidden="1" x14ac:dyDescent="0.25">
      <c r="A1178">
        <v>2021</v>
      </c>
      <c r="B1178" s="1">
        <v>44450</v>
      </c>
      <c r="C1178">
        <v>20</v>
      </c>
      <c r="D1178">
        <v>0</v>
      </c>
      <c r="E1178">
        <v>25000</v>
      </c>
      <c r="F1178" t="s">
        <v>310</v>
      </c>
      <c r="G1178" t="s">
        <v>69</v>
      </c>
      <c r="H1178" t="s">
        <v>312</v>
      </c>
      <c r="I1178" t="s">
        <v>90</v>
      </c>
      <c r="J1178">
        <v>17</v>
      </c>
      <c r="K1178">
        <v>7</v>
      </c>
      <c r="L1178">
        <v>4500000</v>
      </c>
      <c r="M1178">
        <v>28800000</v>
      </c>
      <c r="N1178">
        <v>29</v>
      </c>
      <c r="O1178" t="s">
        <v>99</v>
      </c>
      <c r="P1178">
        <v>2</v>
      </c>
      <c r="Q1178">
        <v>0</v>
      </c>
      <c r="R1178">
        <v>0</v>
      </c>
      <c r="S1178">
        <v>0</v>
      </c>
      <c r="T1178">
        <v>9</v>
      </c>
      <c r="U1178">
        <v>5</v>
      </c>
      <c r="V1178">
        <v>14</v>
      </c>
      <c r="W1178">
        <v>17</v>
      </c>
      <c r="X1178">
        <v>16</v>
      </c>
      <c r="Y1178">
        <v>14</v>
      </c>
      <c r="Z1178">
        <v>1</v>
      </c>
      <c r="AA1178">
        <v>4</v>
      </c>
      <c r="AB1178">
        <v>3</v>
      </c>
      <c r="AC1178">
        <v>1</v>
      </c>
      <c r="AD1178">
        <v>28</v>
      </c>
      <c r="AE1178">
        <v>7</v>
      </c>
      <c r="AF1178">
        <v>10</v>
      </c>
      <c r="AG1178">
        <v>3</v>
      </c>
      <c r="AH1178">
        <v>2</v>
      </c>
      <c r="AI1178">
        <v>1</v>
      </c>
    </row>
    <row r="1179" spans="1:35" hidden="1" x14ac:dyDescent="0.25">
      <c r="A1179">
        <v>2021</v>
      </c>
      <c r="B1179" s="1">
        <v>44465</v>
      </c>
      <c r="C1179">
        <v>22</v>
      </c>
      <c r="D1179">
        <v>0</v>
      </c>
      <c r="E1179">
        <v>25000</v>
      </c>
      <c r="F1179" t="s">
        <v>310</v>
      </c>
      <c r="G1179" t="s">
        <v>77</v>
      </c>
      <c r="H1179" t="s">
        <v>312</v>
      </c>
      <c r="I1179" t="s">
        <v>319</v>
      </c>
      <c r="J1179">
        <v>17</v>
      </c>
      <c r="K1179">
        <v>3</v>
      </c>
      <c r="L1179">
        <v>4900000</v>
      </c>
      <c r="M1179">
        <v>43400000</v>
      </c>
      <c r="N1179">
        <v>30</v>
      </c>
      <c r="O1179" t="s">
        <v>114</v>
      </c>
      <c r="P1179">
        <v>1</v>
      </c>
      <c r="Q1179">
        <v>1</v>
      </c>
      <c r="R1179">
        <v>0</v>
      </c>
      <c r="S1179">
        <v>0</v>
      </c>
      <c r="T1179">
        <v>6</v>
      </c>
      <c r="U1179">
        <v>6</v>
      </c>
      <c r="V1179">
        <v>9</v>
      </c>
      <c r="W1179">
        <v>12</v>
      </c>
      <c r="X1179">
        <v>12</v>
      </c>
      <c r="Y1179">
        <v>9</v>
      </c>
      <c r="Z1179">
        <v>4</v>
      </c>
      <c r="AA1179">
        <v>1</v>
      </c>
      <c r="AB1179">
        <v>5</v>
      </c>
      <c r="AC1179">
        <v>2</v>
      </c>
      <c r="AD1179">
        <v>15</v>
      </c>
      <c r="AE1179">
        <v>9</v>
      </c>
      <c r="AF1179">
        <v>8</v>
      </c>
      <c r="AG1179">
        <v>3</v>
      </c>
      <c r="AH1179">
        <v>0</v>
      </c>
      <c r="AI1179">
        <v>0</v>
      </c>
    </row>
    <row r="1180" spans="1:35" hidden="1" x14ac:dyDescent="0.25">
      <c r="A1180">
        <v>2021</v>
      </c>
      <c r="B1180" s="1">
        <v>44476</v>
      </c>
      <c r="C1180">
        <v>24</v>
      </c>
      <c r="D1180">
        <v>854</v>
      </c>
      <c r="E1180">
        <v>25000</v>
      </c>
      <c r="F1180" t="s">
        <v>310</v>
      </c>
      <c r="G1180" t="s">
        <v>95</v>
      </c>
      <c r="H1180" t="s">
        <v>312</v>
      </c>
      <c r="I1180" t="s">
        <v>97</v>
      </c>
      <c r="J1180">
        <v>14</v>
      </c>
      <c r="K1180">
        <v>3</v>
      </c>
      <c r="L1180">
        <v>4900000</v>
      </c>
      <c r="M1180">
        <v>66850000</v>
      </c>
      <c r="N1180" t="s">
        <v>92</v>
      </c>
      <c r="O1180" t="s">
        <v>120</v>
      </c>
      <c r="P1180">
        <v>2</v>
      </c>
      <c r="Q1180">
        <v>1</v>
      </c>
      <c r="R1180">
        <v>0</v>
      </c>
      <c r="S1180">
        <v>1</v>
      </c>
      <c r="T1180">
        <v>8</v>
      </c>
      <c r="U1180">
        <v>5</v>
      </c>
      <c r="V1180">
        <v>14</v>
      </c>
      <c r="W1180">
        <v>17</v>
      </c>
      <c r="X1180">
        <v>15</v>
      </c>
      <c r="Y1180">
        <v>13</v>
      </c>
      <c r="Z1180">
        <v>4</v>
      </c>
      <c r="AA1180">
        <v>4</v>
      </c>
      <c r="AB1180">
        <v>1</v>
      </c>
      <c r="AC1180">
        <v>2</v>
      </c>
      <c r="AD1180">
        <v>27</v>
      </c>
      <c r="AE1180">
        <v>14</v>
      </c>
      <c r="AF1180">
        <v>12</v>
      </c>
      <c r="AG1180">
        <v>7</v>
      </c>
      <c r="AH1180">
        <v>1</v>
      </c>
      <c r="AI1180">
        <v>1</v>
      </c>
    </row>
    <row r="1181" spans="1:35" hidden="1" x14ac:dyDescent="0.25">
      <c r="A1181">
        <v>2021</v>
      </c>
      <c r="B1181" s="1">
        <v>44486</v>
      </c>
      <c r="C1181">
        <v>27</v>
      </c>
      <c r="D1181">
        <v>746</v>
      </c>
      <c r="E1181">
        <v>25000</v>
      </c>
      <c r="F1181" t="s">
        <v>310</v>
      </c>
      <c r="G1181" t="s">
        <v>38</v>
      </c>
      <c r="H1181" t="s">
        <v>345</v>
      </c>
      <c r="I1181" t="s">
        <v>340</v>
      </c>
      <c r="J1181">
        <v>11</v>
      </c>
      <c r="K1181">
        <v>16</v>
      </c>
      <c r="L1181">
        <v>4400000</v>
      </c>
      <c r="M1181">
        <v>11450000</v>
      </c>
      <c r="N1181" t="s">
        <v>92</v>
      </c>
      <c r="O1181" t="s">
        <v>98</v>
      </c>
      <c r="P1181">
        <v>0</v>
      </c>
      <c r="Q1181">
        <v>0</v>
      </c>
      <c r="R1181">
        <v>0</v>
      </c>
      <c r="S1181">
        <v>0</v>
      </c>
      <c r="T1181">
        <v>8</v>
      </c>
      <c r="U1181">
        <v>7</v>
      </c>
      <c r="V1181">
        <v>12</v>
      </c>
      <c r="W1181">
        <v>22</v>
      </c>
      <c r="X1181">
        <v>22</v>
      </c>
      <c r="Y1181">
        <v>12</v>
      </c>
      <c r="Z1181">
        <v>3</v>
      </c>
      <c r="AA1181">
        <v>5</v>
      </c>
      <c r="AB1181">
        <v>3</v>
      </c>
      <c r="AC1181">
        <v>2</v>
      </c>
      <c r="AD1181">
        <v>15</v>
      </c>
      <c r="AE1181">
        <v>13</v>
      </c>
      <c r="AF1181">
        <v>6</v>
      </c>
      <c r="AG1181">
        <v>7</v>
      </c>
      <c r="AH1181">
        <v>0</v>
      </c>
      <c r="AI1181">
        <v>0</v>
      </c>
    </row>
    <row r="1182" spans="1:35" hidden="1" x14ac:dyDescent="0.25">
      <c r="A1182">
        <v>2021</v>
      </c>
      <c r="B1182" s="1">
        <v>44500</v>
      </c>
      <c r="C1182">
        <v>29</v>
      </c>
      <c r="D1182">
        <v>1034</v>
      </c>
      <c r="E1182">
        <v>25000</v>
      </c>
      <c r="F1182" t="s">
        <v>310</v>
      </c>
      <c r="G1182" t="s">
        <v>63</v>
      </c>
      <c r="H1182" t="s">
        <v>368</v>
      </c>
      <c r="I1182" t="s">
        <v>65</v>
      </c>
      <c r="J1182">
        <v>11</v>
      </c>
      <c r="K1182">
        <v>4</v>
      </c>
      <c r="L1182">
        <v>5900000</v>
      </c>
      <c r="M1182">
        <v>11050000</v>
      </c>
      <c r="N1182" t="s">
        <v>144</v>
      </c>
      <c r="O1182" t="s">
        <v>66</v>
      </c>
      <c r="P1182">
        <v>2</v>
      </c>
      <c r="Q1182">
        <v>1</v>
      </c>
      <c r="R1182">
        <v>1</v>
      </c>
      <c r="S1182">
        <v>0</v>
      </c>
      <c r="T1182">
        <v>7</v>
      </c>
      <c r="U1182">
        <v>5</v>
      </c>
      <c r="V1182">
        <v>13</v>
      </c>
      <c r="W1182">
        <v>19</v>
      </c>
      <c r="X1182">
        <v>18</v>
      </c>
      <c r="Y1182">
        <v>13</v>
      </c>
      <c r="Z1182">
        <v>6</v>
      </c>
      <c r="AA1182">
        <v>5</v>
      </c>
      <c r="AB1182">
        <v>1</v>
      </c>
      <c r="AC1182">
        <v>2</v>
      </c>
      <c r="AD1182">
        <v>23</v>
      </c>
      <c r="AE1182">
        <v>11</v>
      </c>
      <c r="AF1182">
        <v>9</v>
      </c>
      <c r="AG1182">
        <v>3</v>
      </c>
      <c r="AH1182">
        <v>1</v>
      </c>
      <c r="AI1182">
        <v>1</v>
      </c>
    </row>
    <row r="1183" spans="1:35" hidden="1" x14ac:dyDescent="0.25">
      <c r="A1183">
        <v>2021</v>
      </c>
      <c r="B1183" s="1">
        <v>44513</v>
      </c>
      <c r="C1183">
        <v>32</v>
      </c>
      <c r="D1183">
        <v>3157</v>
      </c>
      <c r="E1183">
        <v>25000</v>
      </c>
      <c r="F1183" t="s">
        <v>310</v>
      </c>
      <c r="G1183" t="s">
        <v>83</v>
      </c>
      <c r="H1183" t="s">
        <v>368</v>
      </c>
      <c r="I1183" t="s">
        <v>312</v>
      </c>
      <c r="J1183">
        <v>10</v>
      </c>
      <c r="K1183">
        <v>18</v>
      </c>
      <c r="L1183">
        <v>5400000</v>
      </c>
      <c r="M1183">
        <v>32300000</v>
      </c>
      <c r="N1183" t="s">
        <v>205</v>
      </c>
      <c r="O1183" t="s">
        <v>151</v>
      </c>
      <c r="P1183">
        <v>3</v>
      </c>
      <c r="Q1183">
        <v>1</v>
      </c>
      <c r="R1183">
        <v>2</v>
      </c>
      <c r="S1183">
        <v>0</v>
      </c>
      <c r="T1183">
        <v>3</v>
      </c>
      <c r="U1183">
        <v>9</v>
      </c>
      <c r="V1183">
        <v>14</v>
      </c>
      <c r="W1183">
        <v>16</v>
      </c>
      <c r="X1183">
        <v>16</v>
      </c>
      <c r="Y1183">
        <v>14</v>
      </c>
      <c r="Z1183">
        <v>5</v>
      </c>
      <c r="AA1183">
        <v>3</v>
      </c>
      <c r="AB1183">
        <v>1</v>
      </c>
      <c r="AC1183">
        <v>3</v>
      </c>
      <c r="AD1183">
        <v>12</v>
      </c>
      <c r="AE1183">
        <v>24</v>
      </c>
      <c r="AF1183">
        <v>3</v>
      </c>
      <c r="AG1183">
        <v>9</v>
      </c>
      <c r="AH1183">
        <v>2</v>
      </c>
      <c r="AI1183">
        <v>1</v>
      </c>
    </row>
    <row r="1184" spans="1:35" hidden="1" x14ac:dyDescent="0.25">
      <c r="A1184">
        <v>2021</v>
      </c>
      <c r="B1184" s="1">
        <v>44517</v>
      </c>
      <c r="C1184">
        <v>33</v>
      </c>
      <c r="D1184">
        <v>2955</v>
      </c>
      <c r="E1184">
        <v>25000</v>
      </c>
      <c r="F1184" t="s">
        <v>310</v>
      </c>
      <c r="G1184" t="s">
        <v>76</v>
      </c>
      <c r="H1184" t="s">
        <v>368</v>
      </c>
      <c r="I1184" t="s">
        <v>408</v>
      </c>
      <c r="J1184">
        <v>9</v>
      </c>
      <c r="K1184">
        <v>13</v>
      </c>
      <c r="L1184">
        <v>5400000</v>
      </c>
      <c r="M1184">
        <v>9730000</v>
      </c>
      <c r="N1184" t="s">
        <v>205</v>
      </c>
      <c r="O1184" t="s">
        <v>114</v>
      </c>
      <c r="P1184">
        <v>0</v>
      </c>
      <c r="Q1184">
        <v>0</v>
      </c>
      <c r="R1184">
        <v>0</v>
      </c>
      <c r="S1184">
        <v>0</v>
      </c>
      <c r="T1184">
        <v>2</v>
      </c>
      <c r="U1184">
        <v>5</v>
      </c>
      <c r="V1184">
        <v>7</v>
      </c>
      <c r="W1184">
        <v>14</v>
      </c>
      <c r="X1184">
        <v>11</v>
      </c>
      <c r="Y1184">
        <v>5</v>
      </c>
      <c r="Z1184">
        <v>1</v>
      </c>
      <c r="AA1184">
        <v>4</v>
      </c>
      <c r="AB1184">
        <v>2</v>
      </c>
      <c r="AC1184">
        <v>1</v>
      </c>
      <c r="AD1184">
        <v>23</v>
      </c>
      <c r="AE1184">
        <v>14</v>
      </c>
      <c r="AF1184">
        <v>12</v>
      </c>
      <c r="AG1184">
        <v>8</v>
      </c>
      <c r="AH1184">
        <v>0</v>
      </c>
      <c r="AI1184">
        <v>0</v>
      </c>
    </row>
    <row r="1185" spans="1:35" hidden="1" x14ac:dyDescent="0.25">
      <c r="A1185">
        <v>2021</v>
      </c>
      <c r="B1185" s="1">
        <v>44531</v>
      </c>
      <c r="C1185">
        <v>35</v>
      </c>
      <c r="D1185">
        <v>2043</v>
      </c>
      <c r="E1185">
        <v>25000</v>
      </c>
      <c r="F1185" t="s">
        <v>310</v>
      </c>
      <c r="G1185" t="s">
        <v>394</v>
      </c>
      <c r="H1185" t="s">
        <v>368</v>
      </c>
      <c r="I1185" t="s">
        <v>395</v>
      </c>
      <c r="J1185">
        <v>10</v>
      </c>
      <c r="K1185">
        <v>20</v>
      </c>
      <c r="L1185">
        <v>4400000</v>
      </c>
      <c r="M1185">
        <v>5050000</v>
      </c>
      <c r="N1185" t="s">
        <v>200</v>
      </c>
      <c r="O1185">
        <v>26</v>
      </c>
      <c r="P1185">
        <v>3</v>
      </c>
      <c r="Q1185">
        <v>0</v>
      </c>
      <c r="R1185">
        <v>1</v>
      </c>
      <c r="S1185">
        <v>0</v>
      </c>
      <c r="T1185">
        <v>8</v>
      </c>
      <c r="U1185">
        <v>9</v>
      </c>
      <c r="V1185">
        <v>10</v>
      </c>
      <c r="W1185">
        <v>11</v>
      </c>
      <c r="X1185">
        <v>11</v>
      </c>
      <c r="Y1185">
        <v>9</v>
      </c>
      <c r="Z1185">
        <v>3</v>
      </c>
      <c r="AA1185">
        <v>5</v>
      </c>
      <c r="AB1185">
        <v>0</v>
      </c>
      <c r="AC1185">
        <v>0</v>
      </c>
      <c r="AD1185">
        <v>23</v>
      </c>
      <c r="AE1185">
        <v>10</v>
      </c>
      <c r="AF1185">
        <v>7</v>
      </c>
      <c r="AG1185">
        <v>3</v>
      </c>
      <c r="AH1185">
        <v>3</v>
      </c>
      <c r="AI1185">
        <v>1</v>
      </c>
    </row>
    <row r="1186" spans="1:35" hidden="1" x14ac:dyDescent="0.25">
      <c r="A1186">
        <v>2021</v>
      </c>
      <c r="B1186" s="1">
        <v>44540</v>
      </c>
      <c r="C1186">
        <v>38</v>
      </c>
      <c r="D1186">
        <v>9484</v>
      </c>
      <c r="E1186">
        <v>25000</v>
      </c>
      <c r="F1186" t="s">
        <v>310</v>
      </c>
      <c r="G1186" t="s">
        <v>62</v>
      </c>
      <c r="H1186" t="s">
        <v>368</v>
      </c>
      <c r="I1186" t="s">
        <v>40</v>
      </c>
      <c r="J1186">
        <v>8</v>
      </c>
      <c r="K1186">
        <v>13</v>
      </c>
      <c r="L1186">
        <v>6830000</v>
      </c>
      <c r="M1186">
        <v>34700000</v>
      </c>
      <c r="N1186" t="s">
        <v>179</v>
      </c>
      <c r="O1186" t="s">
        <v>149</v>
      </c>
      <c r="P1186">
        <v>2</v>
      </c>
      <c r="Q1186">
        <v>0</v>
      </c>
      <c r="R1186">
        <v>0</v>
      </c>
      <c r="S1186">
        <v>0</v>
      </c>
      <c r="T1186">
        <v>5</v>
      </c>
      <c r="U1186">
        <v>5</v>
      </c>
      <c r="V1186">
        <v>18</v>
      </c>
      <c r="W1186">
        <v>17</v>
      </c>
      <c r="X1186">
        <v>16</v>
      </c>
      <c r="Y1186">
        <v>18</v>
      </c>
      <c r="Z1186">
        <v>2</v>
      </c>
      <c r="AA1186">
        <v>2</v>
      </c>
      <c r="AB1186">
        <v>2</v>
      </c>
      <c r="AC1186">
        <v>1</v>
      </c>
      <c r="AD1186">
        <v>19</v>
      </c>
      <c r="AE1186">
        <v>11</v>
      </c>
      <c r="AF1186">
        <v>10</v>
      </c>
      <c r="AG1186">
        <v>5</v>
      </c>
      <c r="AH1186">
        <v>2</v>
      </c>
      <c r="AI1186">
        <v>1</v>
      </c>
    </row>
    <row r="1187" spans="1:35" hidden="1" x14ac:dyDescent="0.25">
      <c r="A1187">
        <v>2021</v>
      </c>
      <c r="B1187" s="1">
        <v>44346</v>
      </c>
      <c r="C1187">
        <v>1</v>
      </c>
      <c r="D1187">
        <v>0</v>
      </c>
      <c r="E1187">
        <v>22600</v>
      </c>
      <c r="F1187" t="s">
        <v>394</v>
      </c>
      <c r="G1187" t="s">
        <v>56</v>
      </c>
      <c r="H1187" t="s">
        <v>395</v>
      </c>
      <c r="I1187" t="s">
        <v>341</v>
      </c>
      <c r="J1187">
        <v>19</v>
      </c>
      <c r="K1187">
        <v>2</v>
      </c>
      <c r="L1187">
        <v>5030000</v>
      </c>
      <c r="M1187">
        <v>38900000</v>
      </c>
      <c r="N1187" t="s">
        <v>151</v>
      </c>
      <c r="O1187">
        <v>25</v>
      </c>
      <c r="P1187">
        <v>0</v>
      </c>
      <c r="Q1187">
        <v>3</v>
      </c>
      <c r="R1187">
        <v>0</v>
      </c>
      <c r="S1187">
        <v>2</v>
      </c>
      <c r="T1187">
        <v>5</v>
      </c>
      <c r="U1187">
        <v>7</v>
      </c>
      <c r="V1187">
        <v>9</v>
      </c>
      <c r="W1187">
        <v>12</v>
      </c>
      <c r="X1187">
        <v>11</v>
      </c>
      <c r="Y1187">
        <v>8</v>
      </c>
      <c r="Z1187">
        <v>5</v>
      </c>
      <c r="AA1187">
        <v>2</v>
      </c>
      <c r="AB1187">
        <v>0</v>
      </c>
      <c r="AC1187">
        <v>2</v>
      </c>
      <c r="AD1187">
        <v>10</v>
      </c>
      <c r="AE1187">
        <v>18</v>
      </c>
      <c r="AF1187">
        <v>6</v>
      </c>
      <c r="AG1187">
        <v>8</v>
      </c>
      <c r="AH1187">
        <v>-3</v>
      </c>
      <c r="AI1187">
        <v>0</v>
      </c>
    </row>
    <row r="1188" spans="1:35" hidden="1" x14ac:dyDescent="0.25">
      <c r="A1188">
        <v>2021</v>
      </c>
      <c r="B1188" s="1">
        <v>44361</v>
      </c>
      <c r="C1188">
        <v>3</v>
      </c>
      <c r="D1188">
        <v>0</v>
      </c>
      <c r="E1188">
        <v>22600</v>
      </c>
      <c r="F1188" t="s">
        <v>394</v>
      </c>
      <c r="G1188" t="s">
        <v>361</v>
      </c>
      <c r="H1188" t="s">
        <v>78</v>
      </c>
      <c r="I1188" t="s">
        <v>340</v>
      </c>
      <c r="J1188">
        <v>20</v>
      </c>
      <c r="K1188">
        <v>11</v>
      </c>
      <c r="L1188">
        <v>4750000</v>
      </c>
      <c r="M1188">
        <v>7200000</v>
      </c>
      <c r="N1188" t="s">
        <v>239</v>
      </c>
      <c r="O1188" t="s">
        <v>163</v>
      </c>
      <c r="P1188">
        <v>0</v>
      </c>
      <c r="Q1188">
        <v>0</v>
      </c>
      <c r="R1188">
        <v>0</v>
      </c>
      <c r="S1188">
        <v>0</v>
      </c>
      <c r="T1188">
        <v>2</v>
      </c>
      <c r="U1188">
        <v>7</v>
      </c>
      <c r="V1188">
        <v>16</v>
      </c>
      <c r="W1188">
        <v>14</v>
      </c>
      <c r="X1188">
        <v>14</v>
      </c>
      <c r="Y1188">
        <v>14</v>
      </c>
      <c r="Z1188">
        <v>6</v>
      </c>
      <c r="AA1188">
        <v>3</v>
      </c>
      <c r="AB1188">
        <v>0</v>
      </c>
      <c r="AC1188">
        <v>1</v>
      </c>
      <c r="AD1188">
        <v>8</v>
      </c>
      <c r="AE1188">
        <v>14</v>
      </c>
      <c r="AF1188">
        <v>5</v>
      </c>
      <c r="AG1188">
        <v>4</v>
      </c>
      <c r="AH1188">
        <v>0</v>
      </c>
      <c r="AI1188">
        <v>0</v>
      </c>
    </row>
    <row r="1189" spans="1:35" hidden="1" x14ac:dyDescent="0.25">
      <c r="A1189">
        <v>2021</v>
      </c>
      <c r="B1189" s="1">
        <v>44372</v>
      </c>
      <c r="C1189">
        <v>6</v>
      </c>
      <c r="D1189">
        <v>0</v>
      </c>
      <c r="E1189">
        <v>22600</v>
      </c>
      <c r="F1189" t="s">
        <v>394</v>
      </c>
      <c r="G1189" t="s">
        <v>37</v>
      </c>
      <c r="H1189" t="s">
        <v>78</v>
      </c>
      <c r="I1189" t="s">
        <v>342</v>
      </c>
      <c r="J1189">
        <v>18</v>
      </c>
      <c r="K1189">
        <v>14</v>
      </c>
      <c r="L1189">
        <v>3350000</v>
      </c>
      <c r="M1189">
        <v>30350000</v>
      </c>
      <c r="N1189" t="s">
        <v>221</v>
      </c>
      <c r="O1189" t="s">
        <v>145</v>
      </c>
      <c r="P1189">
        <v>1</v>
      </c>
      <c r="Q1189">
        <v>2</v>
      </c>
      <c r="R1189">
        <v>0</v>
      </c>
      <c r="S1189">
        <v>2</v>
      </c>
      <c r="T1189">
        <v>9</v>
      </c>
      <c r="U1189">
        <v>9</v>
      </c>
      <c r="V1189">
        <v>12</v>
      </c>
      <c r="W1189">
        <v>19</v>
      </c>
      <c r="X1189">
        <v>17</v>
      </c>
      <c r="Y1189">
        <v>11</v>
      </c>
      <c r="Z1189">
        <v>8</v>
      </c>
      <c r="AA1189">
        <v>4</v>
      </c>
      <c r="AB1189">
        <v>2</v>
      </c>
      <c r="AC1189">
        <v>3</v>
      </c>
      <c r="AD1189">
        <v>11</v>
      </c>
      <c r="AE1189">
        <v>25</v>
      </c>
      <c r="AF1189">
        <v>6</v>
      </c>
      <c r="AG1189">
        <v>11</v>
      </c>
      <c r="AH1189">
        <v>-1</v>
      </c>
      <c r="AI1189">
        <v>0</v>
      </c>
    </row>
    <row r="1190" spans="1:35" hidden="1" x14ac:dyDescent="0.25">
      <c r="A1190">
        <v>2021</v>
      </c>
      <c r="B1190" s="1">
        <v>44381</v>
      </c>
      <c r="C1190">
        <v>9</v>
      </c>
      <c r="D1190">
        <v>0</v>
      </c>
      <c r="E1190">
        <v>22600</v>
      </c>
      <c r="F1190" t="s">
        <v>394</v>
      </c>
      <c r="G1190" t="s">
        <v>38</v>
      </c>
      <c r="H1190" t="s">
        <v>78</v>
      </c>
      <c r="I1190" t="s">
        <v>398</v>
      </c>
      <c r="J1190">
        <v>20</v>
      </c>
      <c r="K1190">
        <v>9</v>
      </c>
      <c r="L1190">
        <v>3980000</v>
      </c>
      <c r="M1190">
        <v>9230000</v>
      </c>
      <c r="N1190" t="s">
        <v>117</v>
      </c>
      <c r="O1190" t="s">
        <v>163</v>
      </c>
      <c r="P1190">
        <v>0</v>
      </c>
      <c r="Q1190">
        <v>2</v>
      </c>
      <c r="R1190">
        <v>0</v>
      </c>
      <c r="S1190">
        <v>0</v>
      </c>
      <c r="T1190">
        <v>9</v>
      </c>
      <c r="U1190">
        <v>5</v>
      </c>
      <c r="V1190">
        <v>14</v>
      </c>
      <c r="W1190">
        <v>13</v>
      </c>
      <c r="X1190">
        <v>11</v>
      </c>
      <c r="Y1190">
        <v>12</v>
      </c>
      <c r="Z1190">
        <v>4</v>
      </c>
      <c r="AA1190">
        <v>1</v>
      </c>
      <c r="AB1190">
        <v>4</v>
      </c>
      <c r="AC1190">
        <v>0</v>
      </c>
      <c r="AD1190">
        <v>7</v>
      </c>
      <c r="AE1190">
        <v>13</v>
      </c>
      <c r="AF1190">
        <v>5</v>
      </c>
      <c r="AG1190">
        <v>4</v>
      </c>
      <c r="AH1190">
        <v>-2</v>
      </c>
      <c r="AI1190">
        <v>0</v>
      </c>
    </row>
    <row r="1191" spans="1:35" hidden="1" x14ac:dyDescent="0.25">
      <c r="A1191">
        <v>2021</v>
      </c>
      <c r="B1191" s="1">
        <v>44386</v>
      </c>
      <c r="C1191">
        <v>10</v>
      </c>
      <c r="D1191">
        <v>0</v>
      </c>
      <c r="E1191">
        <v>22600</v>
      </c>
      <c r="F1191" t="s">
        <v>394</v>
      </c>
      <c r="G1191" t="s">
        <v>88</v>
      </c>
      <c r="H1191" t="s">
        <v>78</v>
      </c>
      <c r="I1191" t="s">
        <v>392</v>
      </c>
      <c r="J1191">
        <v>20</v>
      </c>
      <c r="K1191">
        <v>13</v>
      </c>
      <c r="L1191">
        <v>4500000</v>
      </c>
      <c r="M1191">
        <v>21950000</v>
      </c>
      <c r="N1191" t="s">
        <v>151</v>
      </c>
      <c r="O1191">
        <v>29</v>
      </c>
      <c r="P1191">
        <v>0</v>
      </c>
      <c r="Q1191">
        <v>1</v>
      </c>
      <c r="R1191">
        <v>0</v>
      </c>
      <c r="S1191">
        <v>0</v>
      </c>
      <c r="T1191">
        <v>5</v>
      </c>
      <c r="U1191">
        <v>8</v>
      </c>
      <c r="V1191">
        <v>17</v>
      </c>
      <c r="W1191">
        <v>10</v>
      </c>
      <c r="X1191">
        <v>10</v>
      </c>
      <c r="Y1191">
        <v>17</v>
      </c>
      <c r="Z1191">
        <v>4</v>
      </c>
      <c r="AA1191">
        <v>4</v>
      </c>
      <c r="AB1191">
        <v>2</v>
      </c>
      <c r="AC1191">
        <v>0</v>
      </c>
      <c r="AD1191">
        <v>14</v>
      </c>
      <c r="AE1191">
        <v>12</v>
      </c>
      <c r="AF1191">
        <v>6</v>
      </c>
      <c r="AG1191">
        <v>5</v>
      </c>
      <c r="AH1191">
        <v>-1</v>
      </c>
      <c r="AI1191">
        <v>0</v>
      </c>
    </row>
    <row r="1192" spans="1:35" hidden="1" x14ac:dyDescent="0.25">
      <c r="A1192">
        <v>2021</v>
      </c>
      <c r="B1192" s="1">
        <v>44395</v>
      </c>
      <c r="C1192">
        <v>12</v>
      </c>
      <c r="D1192">
        <v>0</v>
      </c>
      <c r="E1192">
        <v>22600</v>
      </c>
      <c r="F1192" t="s">
        <v>394</v>
      </c>
      <c r="G1192" t="s">
        <v>70</v>
      </c>
      <c r="J1192">
        <v>20</v>
      </c>
      <c r="K1192">
        <v>17</v>
      </c>
      <c r="L1192">
        <v>3580000</v>
      </c>
      <c r="M1192">
        <v>5650000</v>
      </c>
      <c r="N1192" t="s">
        <v>151</v>
      </c>
      <c r="O1192" t="s">
        <v>92</v>
      </c>
      <c r="P1192">
        <v>2</v>
      </c>
      <c r="Q1192">
        <v>3</v>
      </c>
      <c r="R1192">
        <v>2</v>
      </c>
      <c r="S1192">
        <v>2</v>
      </c>
      <c r="T1192">
        <v>6</v>
      </c>
      <c r="U1192">
        <v>2</v>
      </c>
      <c r="V1192">
        <v>15</v>
      </c>
      <c r="W1192">
        <v>13</v>
      </c>
      <c r="X1192">
        <v>13</v>
      </c>
      <c r="Y1192">
        <v>15</v>
      </c>
      <c r="Z1192">
        <v>3</v>
      </c>
      <c r="AA1192">
        <v>4</v>
      </c>
      <c r="AB1192">
        <v>1</v>
      </c>
      <c r="AC1192">
        <v>2</v>
      </c>
      <c r="AD1192">
        <v>11</v>
      </c>
      <c r="AE1192">
        <v>11</v>
      </c>
      <c r="AF1192">
        <v>4</v>
      </c>
      <c r="AG1192">
        <v>2</v>
      </c>
      <c r="AH1192">
        <v>-1</v>
      </c>
      <c r="AI1192">
        <v>0</v>
      </c>
    </row>
    <row r="1193" spans="1:35" hidden="1" x14ac:dyDescent="0.25">
      <c r="A1193">
        <v>2021</v>
      </c>
      <c r="B1193" s="1">
        <v>44425</v>
      </c>
      <c r="C1193">
        <v>16</v>
      </c>
      <c r="D1193">
        <v>0</v>
      </c>
      <c r="E1193">
        <v>22600</v>
      </c>
      <c r="F1193" t="s">
        <v>394</v>
      </c>
      <c r="G1193" t="s">
        <v>310</v>
      </c>
      <c r="H1193" t="s">
        <v>374</v>
      </c>
      <c r="I1193" t="s">
        <v>312</v>
      </c>
      <c r="J1193">
        <v>20</v>
      </c>
      <c r="K1193">
        <v>18</v>
      </c>
      <c r="L1193">
        <v>3680000</v>
      </c>
      <c r="M1193">
        <v>3880000</v>
      </c>
      <c r="N1193" t="s">
        <v>209</v>
      </c>
      <c r="O1193" t="s">
        <v>100</v>
      </c>
      <c r="P1193">
        <v>1</v>
      </c>
      <c r="Q1193">
        <v>1</v>
      </c>
      <c r="R1193">
        <v>0</v>
      </c>
      <c r="S1193">
        <v>0</v>
      </c>
      <c r="T1193">
        <v>3</v>
      </c>
      <c r="U1193">
        <v>9</v>
      </c>
      <c r="V1193">
        <v>10</v>
      </c>
      <c r="W1193">
        <v>11</v>
      </c>
      <c r="X1193">
        <v>11</v>
      </c>
      <c r="Y1193">
        <v>10</v>
      </c>
      <c r="Z1193">
        <v>5</v>
      </c>
      <c r="AA1193">
        <v>4</v>
      </c>
      <c r="AB1193">
        <v>1</v>
      </c>
      <c r="AC1193">
        <v>3</v>
      </c>
      <c r="AD1193">
        <v>10</v>
      </c>
      <c r="AE1193">
        <v>18</v>
      </c>
      <c r="AF1193">
        <v>5</v>
      </c>
      <c r="AG1193">
        <v>8</v>
      </c>
      <c r="AH1193">
        <v>0</v>
      </c>
      <c r="AI1193">
        <v>0</v>
      </c>
    </row>
    <row r="1194" spans="1:35" hidden="1" x14ac:dyDescent="0.25">
      <c r="A1194">
        <v>2021</v>
      </c>
      <c r="B1194" s="1">
        <v>44447</v>
      </c>
      <c r="C1194">
        <v>19</v>
      </c>
      <c r="D1194">
        <v>0</v>
      </c>
      <c r="E1194">
        <v>22600</v>
      </c>
      <c r="F1194" t="s">
        <v>394</v>
      </c>
      <c r="G1194" t="s">
        <v>55</v>
      </c>
      <c r="H1194" t="s">
        <v>374</v>
      </c>
      <c r="I1194" t="s">
        <v>223</v>
      </c>
      <c r="J1194">
        <v>20</v>
      </c>
      <c r="K1194">
        <v>11</v>
      </c>
      <c r="L1194">
        <v>4000000</v>
      </c>
      <c r="M1194">
        <v>16600000</v>
      </c>
      <c r="N1194" t="s">
        <v>168</v>
      </c>
      <c r="O1194" t="s">
        <v>117</v>
      </c>
      <c r="P1194">
        <v>1</v>
      </c>
      <c r="Q1194">
        <v>2</v>
      </c>
      <c r="R1194">
        <v>0</v>
      </c>
      <c r="S1194">
        <v>2</v>
      </c>
      <c r="T1194">
        <v>8</v>
      </c>
      <c r="U1194">
        <v>4</v>
      </c>
      <c r="V1194">
        <v>18</v>
      </c>
      <c r="W1194">
        <v>4</v>
      </c>
      <c r="X1194">
        <v>4</v>
      </c>
      <c r="Y1194">
        <v>17</v>
      </c>
      <c r="Z1194">
        <v>0</v>
      </c>
      <c r="AA1194">
        <v>2</v>
      </c>
      <c r="AB1194">
        <v>1</v>
      </c>
      <c r="AC1194">
        <v>0</v>
      </c>
      <c r="AD1194">
        <v>11</v>
      </c>
      <c r="AE1194">
        <v>9</v>
      </c>
      <c r="AF1194">
        <v>6</v>
      </c>
      <c r="AG1194">
        <v>4</v>
      </c>
      <c r="AH1194">
        <v>-1</v>
      </c>
      <c r="AI1194">
        <v>0</v>
      </c>
    </row>
    <row r="1195" spans="1:35" hidden="1" x14ac:dyDescent="0.25">
      <c r="A1195">
        <v>2021</v>
      </c>
      <c r="B1195" s="1">
        <v>44457</v>
      </c>
      <c r="C1195">
        <v>21</v>
      </c>
      <c r="D1195">
        <v>0</v>
      </c>
      <c r="E1195">
        <v>22600</v>
      </c>
      <c r="F1195" t="s">
        <v>394</v>
      </c>
      <c r="G1195" t="s">
        <v>95</v>
      </c>
      <c r="H1195" t="s">
        <v>374</v>
      </c>
      <c r="I1195" t="s">
        <v>97</v>
      </c>
      <c r="J1195">
        <v>20</v>
      </c>
      <c r="K1195">
        <v>3</v>
      </c>
      <c r="L1195">
        <v>5280000</v>
      </c>
      <c r="M1195">
        <v>54100000</v>
      </c>
      <c r="N1195" t="s">
        <v>80</v>
      </c>
      <c r="O1195" t="s">
        <v>105</v>
      </c>
      <c r="P1195">
        <v>0</v>
      </c>
      <c r="Q1195">
        <v>2</v>
      </c>
      <c r="R1195">
        <v>0</v>
      </c>
      <c r="S1195">
        <v>2</v>
      </c>
      <c r="T1195">
        <v>8</v>
      </c>
      <c r="U1195">
        <v>1</v>
      </c>
      <c r="V1195">
        <v>16</v>
      </c>
      <c r="W1195">
        <v>14</v>
      </c>
      <c r="X1195">
        <v>12</v>
      </c>
      <c r="Y1195">
        <v>13</v>
      </c>
      <c r="Z1195">
        <v>5</v>
      </c>
      <c r="AA1195">
        <v>3</v>
      </c>
      <c r="AB1195">
        <v>1</v>
      </c>
      <c r="AC1195">
        <v>1</v>
      </c>
      <c r="AD1195">
        <v>15</v>
      </c>
      <c r="AE1195">
        <v>13</v>
      </c>
      <c r="AF1195">
        <v>7</v>
      </c>
      <c r="AG1195">
        <v>6</v>
      </c>
      <c r="AH1195">
        <v>-2</v>
      </c>
      <c r="AI1195">
        <v>0</v>
      </c>
    </row>
    <row r="1196" spans="1:35" hidden="1" x14ac:dyDescent="0.25">
      <c r="A1196">
        <v>2021</v>
      </c>
      <c r="B1196" s="1">
        <v>44472</v>
      </c>
      <c r="C1196">
        <v>23</v>
      </c>
      <c r="D1196">
        <v>973</v>
      </c>
      <c r="E1196">
        <v>22600</v>
      </c>
      <c r="F1196" t="s">
        <v>394</v>
      </c>
      <c r="G1196" t="s">
        <v>62</v>
      </c>
      <c r="H1196" t="s">
        <v>374</v>
      </c>
      <c r="I1196" t="s">
        <v>390</v>
      </c>
      <c r="J1196">
        <v>20</v>
      </c>
      <c r="K1196">
        <v>12</v>
      </c>
      <c r="L1196">
        <v>4800000</v>
      </c>
      <c r="M1196">
        <v>25900000</v>
      </c>
      <c r="N1196">
        <v>27</v>
      </c>
      <c r="O1196" t="s">
        <v>120</v>
      </c>
      <c r="P1196">
        <v>1</v>
      </c>
      <c r="Q1196">
        <v>1</v>
      </c>
      <c r="R1196">
        <v>0</v>
      </c>
      <c r="S1196">
        <v>1</v>
      </c>
      <c r="T1196">
        <v>7</v>
      </c>
      <c r="U1196">
        <v>7</v>
      </c>
      <c r="V1196">
        <v>11</v>
      </c>
      <c r="W1196">
        <v>11</v>
      </c>
      <c r="X1196">
        <v>10</v>
      </c>
      <c r="Y1196">
        <v>11</v>
      </c>
      <c r="Z1196">
        <v>7</v>
      </c>
      <c r="AA1196">
        <v>1</v>
      </c>
      <c r="AB1196">
        <v>1</v>
      </c>
      <c r="AC1196">
        <v>3</v>
      </c>
      <c r="AD1196">
        <v>5</v>
      </c>
      <c r="AE1196">
        <v>17</v>
      </c>
      <c r="AF1196">
        <v>2</v>
      </c>
      <c r="AG1196">
        <v>6</v>
      </c>
      <c r="AH1196">
        <v>0</v>
      </c>
      <c r="AI1196">
        <v>0</v>
      </c>
    </row>
    <row r="1197" spans="1:35" hidden="1" x14ac:dyDescent="0.25">
      <c r="A1197">
        <v>2021</v>
      </c>
      <c r="B1197" s="1">
        <v>44476</v>
      </c>
      <c r="C1197">
        <v>24</v>
      </c>
      <c r="D1197">
        <v>733</v>
      </c>
      <c r="E1197">
        <v>22600</v>
      </c>
      <c r="F1197" t="s">
        <v>394</v>
      </c>
      <c r="G1197" t="s">
        <v>89</v>
      </c>
      <c r="H1197" t="s">
        <v>374</v>
      </c>
      <c r="I1197" t="s">
        <v>71</v>
      </c>
      <c r="J1197">
        <v>20</v>
      </c>
      <c r="K1197">
        <v>1</v>
      </c>
      <c r="L1197">
        <v>5450000</v>
      </c>
      <c r="M1197">
        <v>36900000</v>
      </c>
      <c r="N1197" t="s">
        <v>80</v>
      </c>
      <c r="O1197" t="s">
        <v>98</v>
      </c>
      <c r="P1197">
        <v>2</v>
      </c>
      <c r="Q1197">
        <v>2</v>
      </c>
      <c r="R1197">
        <v>1</v>
      </c>
      <c r="S1197">
        <v>1</v>
      </c>
      <c r="T1197">
        <v>4</v>
      </c>
      <c r="U1197">
        <v>11</v>
      </c>
      <c r="V1197">
        <v>12</v>
      </c>
      <c r="W1197">
        <v>17</v>
      </c>
      <c r="X1197">
        <v>16</v>
      </c>
      <c r="Y1197">
        <v>12</v>
      </c>
      <c r="Z1197">
        <v>3</v>
      </c>
      <c r="AA1197">
        <v>2</v>
      </c>
      <c r="AB1197">
        <v>1</v>
      </c>
      <c r="AC1197">
        <v>3</v>
      </c>
      <c r="AD1197">
        <v>10</v>
      </c>
      <c r="AE1197">
        <v>16</v>
      </c>
      <c r="AF1197">
        <v>3</v>
      </c>
      <c r="AG1197">
        <v>4</v>
      </c>
      <c r="AH1197">
        <v>0</v>
      </c>
      <c r="AI1197">
        <v>0</v>
      </c>
    </row>
    <row r="1198" spans="1:35" hidden="1" x14ac:dyDescent="0.25">
      <c r="A1198">
        <v>2021</v>
      </c>
      <c r="B1198" s="1">
        <v>44483</v>
      </c>
      <c r="C1198">
        <v>26</v>
      </c>
      <c r="D1198">
        <v>935</v>
      </c>
      <c r="E1198">
        <v>22600</v>
      </c>
      <c r="F1198" t="s">
        <v>394</v>
      </c>
      <c r="G1198" t="s">
        <v>69</v>
      </c>
      <c r="H1198" t="s">
        <v>374</v>
      </c>
      <c r="I1198" t="s">
        <v>378</v>
      </c>
      <c r="J1198">
        <v>20</v>
      </c>
      <c r="K1198">
        <v>8</v>
      </c>
      <c r="L1198">
        <v>3380000</v>
      </c>
      <c r="M1198">
        <v>26750000</v>
      </c>
      <c r="N1198" t="s">
        <v>233</v>
      </c>
      <c r="O1198" t="s">
        <v>168</v>
      </c>
      <c r="P1198">
        <v>1</v>
      </c>
      <c r="Q1198">
        <v>1</v>
      </c>
      <c r="R1198">
        <v>0</v>
      </c>
      <c r="S1198">
        <v>0</v>
      </c>
      <c r="T1198">
        <v>5</v>
      </c>
      <c r="U1198">
        <v>8</v>
      </c>
      <c r="V1198">
        <v>17</v>
      </c>
      <c r="W1198">
        <v>13</v>
      </c>
      <c r="X1198">
        <v>13</v>
      </c>
      <c r="Y1198">
        <v>17</v>
      </c>
      <c r="Z1198">
        <v>2</v>
      </c>
      <c r="AA1198">
        <v>5</v>
      </c>
      <c r="AB1198">
        <v>3</v>
      </c>
      <c r="AC1198">
        <v>0</v>
      </c>
      <c r="AD1198">
        <v>20</v>
      </c>
      <c r="AE1198">
        <v>14</v>
      </c>
      <c r="AF1198">
        <v>5</v>
      </c>
      <c r="AG1198">
        <v>8</v>
      </c>
      <c r="AH1198">
        <v>0</v>
      </c>
      <c r="AI1198">
        <v>0</v>
      </c>
    </row>
    <row r="1199" spans="1:35" hidden="1" x14ac:dyDescent="0.25">
      <c r="A1199">
        <v>2021</v>
      </c>
      <c r="B1199" s="1">
        <v>44486</v>
      </c>
      <c r="C1199">
        <v>27</v>
      </c>
      <c r="D1199">
        <v>1027</v>
      </c>
      <c r="E1199">
        <v>22600</v>
      </c>
      <c r="F1199" t="s">
        <v>394</v>
      </c>
      <c r="G1199" t="s">
        <v>63</v>
      </c>
      <c r="H1199" t="s">
        <v>374</v>
      </c>
      <c r="I1199" t="s">
        <v>65</v>
      </c>
      <c r="J1199">
        <v>20</v>
      </c>
      <c r="K1199">
        <v>4</v>
      </c>
      <c r="L1199">
        <v>1750000</v>
      </c>
      <c r="M1199">
        <v>9050000</v>
      </c>
      <c r="N1199" t="s">
        <v>176</v>
      </c>
      <c r="O1199" t="s">
        <v>120</v>
      </c>
      <c r="P1199">
        <v>1</v>
      </c>
      <c r="Q1199">
        <v>2</v>
      </c>
      <c r="R1199">
        <v>1</v>
      </c>
      <c r="S1199">
        <v>1</v>
      </c>
      <c r="T1199">
        <v>3</v>
      </c>
      <c r="U1199">
        <v>3</v>
      </c>
      <c r="V1199">
        <v>20</v>
      </c>
      <c r="W1199">
        <v>12</v>
      </c>
      <c r="X1199">
        <v>12</v>
      </c>
      <c r="Y1199">
        <v>17</v>
      </c>
      <c r="Z1199">
        <v>3</v>
      </c>
      <c r="AA1199">
        <v>0</v>
      </c>
      <c r="AB1199">
        <v>2</v>
      </c>
      <c r="AC1199">
        <v>4</v>
      </c>
      <c r="AD1199">
        <v>8</v>
      </c>
      <c r="AE1199">
        <v>13</v>
      </c>
      <c r="AF1199">
        <v>6</v>
      </c>
      <c r="AG1199">
        <v>6</v>
      </c>
      <c r="AH1199">
        <v>-1</v>
      </c>
      <c r="AI1199">
        <v>0</v>
      </c>
    </row>
    <row r="1200" spans="1:35" hidden="1" x14ac:dyDescent="0.25">
      <c r="A1200">
        <v>2021</v>
      </c>
      <c r="B1200" s="1">
        <v>44509</v>
      </c>
      <c r="C1200">
        <v>30</v>
      </c>
      <c r="D1200">
        <v>3834</v>
      </c>
      <c r="E1200">
        <v>22600</v>
      </c>
      <c r="F1200" t="s">
        <v>394</v>
      </c>
      <c r="G1200" t="s">
        <v>77</v>
      </c>
      <c r="H1200" t="s">
        <v>395</v>
      </c>
      <c r="I1200" t="s">
        <v>319</v>
      </c>
      <c r="J1200">
        <v>20</v>
      </c>
      <c r="K1200">
        <v>2</v>
      </c>
      <c r="L1200">
        <v>4030000</v>
      </c>
      <c r="M1200">
        <v>65300000</v>
      </c>
      <c r="N1200" t="s">
        <v>163</v>
      </c>
      <c r="O1200" t="s">
        <v>233</v>
      </c>
      <c r="P1200">
        <v>2</v>
      </c>
      <c r="Q1200">
        <v>2</v>
      </c>
      <c r="R1200">
        <v>2</v>
      </c>
      <c r="S1200">
        <v>2</v>
      </c>
      <c r="T1200">
        <v>7</v>
      </c>
      <c r="U1200">
        <v>6</v>
      </c>
      <c r="V1200">
        <v>14</v>
      </c>
      <c r="W1200">
        <v>11</v>
      </c>
      <c r="X1200">
        <v>10</v>
      </c>
      <c r="Y1200">
        <v>13</v>
      </c>
      <c r="Z1200">
        <v>7</v>
      </c>
      <c r="AA1200">
        <v>1</v>
      </c>
      <c r="AB1200">
        <v>3</v>
      </c>
      <c r="AC1200">
        <v>5</v>
      </c>
      <c r="AD1200">
        <v>14</v>
      </c>
      <c r="AE1200">
        <v>23</v>
      </c>
      <c r="AF1200">
        <v>8</v>
      </c>
      <c r="AG1200">
        <v>7</v>
      </c>
      <c r="AH1200">
        <v>0</v>
      </c>
      <c r="AI1200">
        <v>0</v>
      </c>
    </row>
    <row r="1201" spans="1:35" hidden="1" x14ac:dyDescent="0.25">
      <c r="A1201">
        <v>2021</v>
      </c>
      <c r="B1201" s="1">
        <v>44514</v>
      </c>
      <c r="C1201">
        <v>32</v>
      </c>
      <c r="D1201">
        <v>1616</v>
      </c>
      <c r="E1201">
        <v>22600</v>
      </c>
      <c r="F1201" t="s">
        <v>394</v>
      </c>
      <c r="G1201" t="s">
        <v>44</v>
      </c>
      <c r="H1201" t="s">
        <v>395</v>
      </c>
      <c r="I1201" t="s">
        <v>78</v>
      </c>
      <c r="J1201">
        <v>20</v>
      </c>
      <c r="K1201">
        <v>17</v>
      </c>
      <c r="L1201">
        <v>4830000</v>
      </c>
      <c r="M1201">
        <v>6450000</v>
      </c>
      <c r="N1201">
        <v>27</v>
      </c>
      <c r="O1201" t="s">
        <v>86</v>
      </c>
      <c r="P1201">
        <v>0</v>
      </c>
      <c r="Q1201">
        <v>2</v>
      </c>
      <c r="R1201">
        <v>0</v>
      </c>
      <c r="S1201">
        <v>2</v>
      </c>
      <c r="T1201">
        <v>6</v>
      </c>
      <c r="U1201">
        <v>3</v>
      </c>
      <c r="V1201">
        <v>15</v>
      </c>
      <c r="W1201">
        <v>17</v>
      </c>
      <c r="X1201">
        <v>17</v>
      </c>
      <c r="Y1201">
        <v>13</v>
      </c>
      <c r="Z1201">
        <v>1</v>
      </c>
      <c r="AA1201">
        <v>4</v>
      </c>
      <c r="AB1201">
        <v>2</v>
      </c>
      <c r="AC1201">
        <v>0</v>
      </c>
      <c r="AD1201">
        <v>12</v>
      </c>
      <c r="AE1201">
        <v>10</v>
      </c>
      <c r="AF1201">
        <v>6</v>
      </c>
      <c r="AG1201">
        <v>5</v>
      </c>
      <c r="AH1201">
        <v>-2</v>
      </c>
      <c r="AI1201">
        <v>0</v>
      </c>
    </row>
    <row r="1202" spans="1:35" hidden="1" x14ac:dyDescent="0.25">
      <c r="A1202">
        <v>2021</v>
      </c>
      <c r="B1202" s="1">
        <v>44520</v>
      </c>
      <c r="C1202">
        <v>34</v>
      </c>
      <c r="D1202">
        <v>2830</v>
      </c>
      <c r="E1202">
        <v>22600</v>
      </c>
      <c r="F1202" t="s">
        <v>394</v>
      </c>
      <c r="G1202" t="s">
        <v>83</v>
      </c>
      <c r="H1202" t="s">
        <v>395</v>
      </c>
      <c r="I1202" t="s">
        <v>312</v>
      </c>
      <c r="J1202">
        <v>20</v>
      </c>
      <c r="K1202">
        <v>18</v>
      </c>
      <c r="L1202">
        <v>4480000</v>
      </c>
      <c r="M1202">
        <v>27800000</v>
      </c>
      <c r="N1202" t="s">
        <v>117</v>
      </c>
      <c r="O1202" t="s">
        <v>111</v>
      </c>
      <c r="P1202">
        <v>1</v>
      </c>
      <c r="Q1202">
        <v>3</v>
      </c>
      <c r="R1202">
        <v>0</v>
      </c>
      <c r="S1202">
        <v>1</v>
      </c>
      <c r="T1202">
        <v>4</v>
      </c>
      <c r="U1202">
        <v>4</v>
      </c>
      <c r="V1202">
        <v>19</v>
      </c>
      <c r="W1202">
        <v>18</v>
      </c>
      <c r="X1202">
        <v>13</v>
      </c>
      <c r="Y1202">
        <v>17</v>
      </c>
      <c r="Z1202">
        <v>4</v>
      </c>
      <c r="AA1202">
        <v>4</v>
      </c>
      <c r="AB1202">
        <v>0</v>
      </c>
      <c r="AC1202">
        <v>0</v>
      </c>
      <c r="AD1202">
        <v>10</v>
      </c>
      <c r="AE1202">
        <v>24</v>
      </c>
      <c r="AF1202">
        <v>3</v>
      </c>
      <c r="AG1202">
        <v>10</v>
      </c>
      <c r="AH1202">
        <v>-2</v>
      </c>
      <c r="AI1202">
        <v>0</v>
      </c>
    </row>
    <row r="1203" spans="1:35" hidden="1" x14ac:dyDescent="0.25">
      <c r="A1203">
        <v>2021</v>
      </c>
      <c r="B1203" s="1">
        <v>44534</v>
      </c>
      <c r="C1203">
        <v>36</v>
      </c>
      <c r="D1203">
        <v>1134</v>
      </c>
      <c r="E1203">
        <v>22600</v>
      </c>
      <c r="F1203" t="s">
        <v>394</v>
      </c>
      <c r="G1203" t="s">
        <v>76</v>
      </c>
      <c r="H1203" t="s">
        <v>395</v>
      </c>
      <c r="I1203" t="s">
        <v>408</v>
      </c>
      <c r="J1203">
        <v>20</v>
      </c>
      <c r="K1203">
        <v>13</v>
      </c>
      <c r="L1203">
        <v>5050000</v>
      </c>
      <c r="M1203">
        <v>8130000</v>
      </c>
      <c r="N1203">
        <v>26</v>
      </c>
      <c r="O1203" t="s">
        <v>239</v>
      </c>
      <c r="P1203">
        <v>0</v>
      </c>
      <c r="Q1203">
        <v>1</v>
      </c>
      <c r="R1203">
        <v>0</v>
      </c>
      <c r="S1203">
        <v>0</v>
      </c>
      <c r="T1203">
        <v>3</v>
      </c>
      <c r="U1203">
        <v>4</v>
      </c>
      <c r="V1203">
        <v>17</v>
      </c>
      <c r="W1203">
        <v>17</v>
      </c>
      <c r="X1203">
        <v>17</v>
      </c>
      <c r="Y1203">
        <v>17</v>
      </c>
      <c r="Z1203">
        <v>0</v>
      </c>
      <c r="AA1203">
        <v>1</v>
      </c>
      <c r="AB1203">
        <v>3</v>
      </c>
      <c r="AC1203">
        <v>0</v>
      </c>
      <c r="AD1203">
        <v>8</v>
      </c>
      <c r="AE1203">
        <v>9</v>
      </c>
      <c r="AF1203">
        <v>4</v>
      </c>
      <c r="AG1203">
        <v>4</v>
      </c>
      <c r="AH1203">
        <v>-1</v>
      </c>
      <c r="AI1203">
        <v>0</v>
      </c>
    </row>
    <row r="1204" spans="1:35" hidden="1" x14ac:dyDescent="0.25">
      <c r="A1204">
        <v>2021</v>
      </c>
      <c r="B1204" s="1">
        <v>44537</v>
      </c>
      <c r="C1204">
        <v>37</v>
      </c>
      <c r="D1204">
        <v>1658</v>
      </c>
      <c r="E1204">
        <v>22600</v>
      </c>
      <c r="F1204" t="s">
        <v>394</v>
      </c>
      <c r="G1204" t="s">
        <v>391</v>
      </c>
      <c r="H1204" t="s">
        <v>395</v>
      </c>
      <c r="I1204" t="s">
        <v>397</v>
      </c>
      <c r="J1204">
        <v>20</v>
      </c>
      <c r="K1204">
        <v>19</v>
      </c>
      <c r="L1204">
        <v>3950000</v>
      </c>
      <c r="M1204">
        <v>6900000</v>
      </c>
      <c r="N1204">
        <v>26</v>
      </c>
      <c r="O1204" t="s">
        <v>332</v>
      </c>
      <c r="P1204">
        <v>0</v>
      </c>
      <c r="Q1204">
        <v>1</v>
      </c>
      <c r="R1204">
        <v>0</v>
      </c>
      <c r="S1204">
        <v>0</v>
      </c>
      <c r="T1204">
        <v>6</v>
      </c>
      <c r="U1204">
        <v>3</v>
      </c>
      <c r="V1204">
        <v>16</v>
      </c>
      <c r="W1204">
        <v>27</v>
      </c>
      <c r="X1204">
        <v>26</v>
      </c>
      <c r="Y1204">
        <v>15</v>
      </c>
      <c r="Z1204">
        <v>3</v>
      </c>
      <c r="AA1204">
        <v>6</v>
      </c>
      <c r="AB1204">
        <v>0</v>
      </c>
      <c r="AC1204">
        <v>0</v>
      </c>
      <c r="AD1204">
        <v>14</v>
      </c>
      <c r="AE1204">
        <v>25</v>
      </c>
      <c r="AF1204">
        <v>5</v>
      </c>
      <c r="AG1204">
        <v>14</v>
      </c>
      <c r="AH1204">
        <v>-1</v>
      </c>
      <c r="AI1204">
        <v>0</v>
      </c>
    </row>
    <row r="1205" spans="1:35" hidden="1" x14ac:dyDescent="0.25">
      <c r="A1205">
        <v>2021</v>
      </c>
      <c r="B1205" s="1">
        <v>44346</v>
      </c>
      <c r="C1205">
        <v>1</v>
      </c>
      <c r="D1205">
        <v>0</v>
      </c>
      <c r="E1205">
        <v>49205</v>
      </c>
      <c r="F1205" t="s">
        <v>88</v>
      </c>
      <c r="G1205" t="s">
        <v>76</v>
      </c>
      <c r="H1205" t="s">
        <v>392</v>
      </c>
      <c r="I1205" t="s">
        <v>367</v>
      </c>
      <c r="J1205">
        <v>17</v>
      </c>
      <c r="K1205">
        <v>6</v>
      </c>
      <c r="L1205">
        <v>27000000</v>
      </c>
      <c r="M1205">
        <v>7830000</v>
      </c>
      <c r="N1205" t="s">
        <v>168</v>
      </c>
      <c r="O1205" t="s">
        <v>168</v>
      </c>
      <c r="P1205">
        <v>0</v>
      </c>
      <c r="Q1205">
        <v>1</v>
      </c>
      <c r="R1205">
        <v>0</v>
      </c>
      <c r="S1205">
        <v>1</v>
      </c>
      <c r="T1205">
        <v>10</v>
      </c>
      <c r="U1205">
        <v>3</v>
      </c>
      <c r="V1205">
        <v>18</v>
      </c>
      <c r="W1205">
        <v>14</v>
      </c>
      <c r="X1205">
        <v>14</v>
      </c>
      <c r="Y1205">
        <v>15</v>
      </c>
      <c r="Z1205">
        <v>1</v>
      </c>
      <c r="AA1205">
        <v>6</v>
      </c>
      <c r="AB1205">
        <v>1</v>
      </c>
      <c r="AC1205">
        <v>5</v>
      </c>
      <c r="AD1205">
        <v>15</v>
      </c>
      <c r="AE1205">
        <v>7</v>
      </c>
      <c r="AF1205">
        <v>5</v>
      </c>
      <c r="AG1205">
        <v>3</v>
      </c>
      <c r="AH1205">
        <v>-1</v>
      </c>
      <c r="AI1205">
        <v>0</v>
      </c>
    </row>
    <row r="1206" spans="1:35" hidden="1" x14ac:dyDescent="0.25">
      <c r="A1206">
        <v>2021</v>
      </c>
      <c r="B1206" s="1">
        <v>44364</v>
      </c>
      <c r="C1206">
        <v>4</v>
      </c>
      <c r="D1206">
        <v>0</v>
      </c>
      <c r="E1206">
        <v>49205</v>
      </c>
      <c r="F1206" t="s">
        <v>88</v>
      </c>
      <c r="G1206" t="s">
        <v>56</v>
      </c>
      <c r="H1206" t="s">
        <v>392</v>
      </c>
      <c r="I1206" t="s">
        <v>341</v>
      </c>
      <c r="J1206">
        <v>11</v>
      </c>
      <c r="K1206">
        <v>6</v>
      </c>
      <c r="L1206">
        <v>24450000</v>
      </c>
      <c r="M1206">
        <v>24900000</v>
      </c>
      <c r="N1206" t="s">
        <v>129</v>
      </c>
      <c r="O1206" t="s">
        <v>270</v>
      </c>
      <c r="P1206">
        <v>1</v>
      </c>
      <c r="Q1206">
        <v>2</v>
      </c>
      <c r="R1206">
        <v>1</v>
      </c>
      <c r="S1206">
        <v>0</v>
      </c>
      <c r="T1206">
        <v>9</v>
      </c>
      <c r="U1206">
        <v>12</v>
      </c>
      <c r="V1206">
        <v>13</v>
      </c>
      <c r="W1206">
        <v>15</v>
      </c>
      <c r="X1206">
        <v>13</v>
      </c>
      <c r="Y1206">
        <v>10</v>
      </c>
      <c r="Z1206">
        <v>3</v>
      </c>
      <c r="AA1206">
        <v>1</v>
      </c>
      <c r="AB1206">
        <v>2</v>
      </c>
      <c r="AC1206">
        <v>1</v>
      </c>
      <c r="AD1206">
        <v>5</v>
      </c>
      <c r="AE1206">
        <v>21</v>
      </c>
      <c r="AF1206">
        <v>1</v>
      </c>
      <c r="AG1206">
        <v>11</v>
      </c>
      <c r="AH1206">
        <v>-1</v>
      </c>
      <c r="AI1206">
        <v>0</v>
      </c>
    </row>
    <row r="1207" spans="1:35" hidden="1" x14ac:dyDescent="0.25">
      <c r="A1207">
        <v>2021</v>
      </c>
      <c r="B1207" s="1">
        <v>44372</v>
      </c>
      <c r="C1207">
        <v>6</v>
      </c>
      <c r="D1207">
        <v>0</v>
      </c>
      <c r="E1207">
        <v>49205</v>
      </c>
      <c r="F1207" t="s">
        <v>88</v>
      </c>
      <c r="G1207" t="s">
        <v>391</v>
      </c>
      <c r="H1207" t="s">
        <v>392</v>
      </c>
      <c r="I1207" t="s">
        <v>238</v>
      </c>
      <c r="J1207">
        <v>12</v>
      </c>
      <c r="K1207">
        <v>17</v>
      </c>
      <c r="L1207">
        <v>21950000</v>
      </c>
      <c r="M1207">
        <v>5250000</v>
      </c>
      <c r="N1207">
        <v>29</v>
      </c>
      <c r="O1207" t="s">
        <v>228</v>
      </c>
      <c r="P1207">
        <v>2</v>
      </c>
      <c r="Q1207">
        <v>1</v>
      </c>
      <c r="R1207">
        <v>1</v>
      </c>
      <c r="S1207">
        <v>0</v>
      </c>
      <c r="T1207">
        <v>4</v>
      </c>
      <c r="U1207">
        <v>5</v>
      </c>
      <c r="V1207">
        <v>8</v>
      </c>
      <c r="W1207">
        <v>17</v>
      </c>
      <c r="X1207">
        <v>15</v>
      </c>
      <c r="Y1207">
        <v>7</v>
      </c>
      <c r="Z1207">
        <v>2</v>
      </c>
      <c r="AA1207">
        <v>2</v>
      </c>
      <c r="AB1207">
        <v>1</v>
      </c>
      <c r="AC1207">
        <v>0</v>
      </c>
      <c r="AD1207">
        <v>16</v>
      </c>
      <c r="AE1207">
        <v>9</v>
      </c>
      <c r="AF1207">
        <v>9</v>
      </c>
      <c r="AG1207">
        <v>4</v>
      </c>
      <c r="AH1207">
        <v>1</v>
      </c>
      <c r="AI1207">
        <v>1</v>
      </c>
    </row>
    <row r="1208" spans="1:35" hidden="1" x14ac:dyDescent="0.25">
      <c r="A1208">
        <v>2021</v>
      </c>
      <c r="B1208" s="1">
        <v>44378</v>
      </c>
      <c r="C1208">
        <v>8</v>
      </c>
      <c r="D1208">
        <v>0</v>
      </c>
      <c r="E1208">
        <v>49205</v>
      </c>
      <c r="F1208" t="s">
        <v>88</v>
      </c>
      <c r="G1208" t="s">
        <v>62</v>
      </c>
      <c r="H1208" t="s">
        <v>392</v>
      </c>
      <c r="I1208" t="s">
        <v>390</v>
      </c>
      <c r="J1208">
        <v>11</v>
      </c>
      <c r="K1208">
        <v>18</v>
      </c>
      <c r="L1208">
        <v>21950000</v>
      </c>
      <c r="M1208">
        <v>30700000</v>
      </c>
      <c r="N1208">
        <v>29</v>
      </c>
      <c r="O1208" t="s">
        <v>111</v>
      </c>
      <c r="P1208">
        <v>0</v>
      </c>
      <c r="Q1208">
        <v>0</v>
      </c>
      <c r="R1208">
        <v>0</v>
      </c>
      <c r="S1208">
        <v>0</v>
      </c>
      <c r="T1208">
        <v>5</v>
      </c>
      <c r="U1208">
        <v>3</v>
      </c>
      <c r="V1208">
        <v>15</v>
      </c>
      <c r="W1208">
        <v>26</v>
      </c>
      <c r="X1208">
        <v>24</v>
      </c>
      <c r="Y1208">
        <v>15</v>
      </c>
      <c r="Z1208">
        <v>3</v>
      </c>
      <c r="AA1208">
        <v>3</v>
      </c>
      <c r="AB1208">
        <v>1</v>
      </c>
      <c r="AC1208">
        <v>5</v>
      </c>
      <c r="AD1208">
        <v>10</v>
      </c>
      <c r="AE1208">
        <v>8</v>
      </c>
      <c r="AF1208">
        <v>5</v>
      </c>
      <c r="AG1208">
        <v>4</v>
      </c>
      <c r="AH1208">
        <v>0</v>
      </c>
      <c r="AI1208">
        <v>0</v>
      </c>
    </row>
    <row r="1209" spans="1:35" hidden="1" x14ac:dyDescent="0.25">
      <c r="A1209">
        <v>2021</v>
      </c>
      <c r="B1209" s="1">
        <v>44381</v>
      </c>
      <c r="C1209">
        <v>9</v>
      </c>
      <c r="D1209">
        <v>0</v>
      </c>
      <c r="E1209">
        <v>49205</v>
      </c>
      <c r="F1209" t="s">
        <v>88</v>
      </c>
      <c r="G1209" t="s">
        <v>37</v>
      </c>
      <c r="H1209" t="s">
        <v>392</v>
      </c>
      <c r="I1209" t="s">
        <v>342</v>
      </c>
      <c r="J1209">
        <v>11</v>
      </c>
      <c r="K1209">
        <v>14</v>
      </c>
      <c r="L1209">
        <v>19550000</v>
      </c>
      <c r="M1209">
        <v>22950000</v>
      </c>
      <c r="N1209" t="s">
        <v>137</v>
      </c>
      <c r="O1209" t="s">
        <v>220</v>
      </c>
      <c r="P1209">
        <v>1</v>
      </c>
      <c r="Q1209">
        <v>1</v>
      </c>
      <c r="R1209">
        <v>0</v>
      </c>
      <c r="S1209">
        <v>1</v>
      </c>
      <c r="T1209">
        <v>3</v>
      </c>
      <c r="U1209">
        <v>2</v>
      </c>
      <c r="V1209">
        <v>11</v>
      </c>
      <c r="W1209">
        <v>17</v>
      </c>
      <c r="X1209">
        <v>16</v>
      </c>
      <c r="Y1209">
        <v>11</v>
      </c>
      <c r="Z1209">
        <v>2</v>
      </c>
      <c r="AA1209">
        <v>8</v>
      </c>
      <c r="AB1209">
        <v>0</v>
      </c>
      <c r="AC1209">
        <v>2</v>
      </c>
      <c r="AD1209">
        <v>20</v>
      </c>
      <c r="AE1209">
        <v>7</v>
      </c>
      <c r="AF1209">
        <v>8</v>
      </c>
      <c r="AG1209">
        <v>2</v>
      </c>
      <c r="AH1209">
        <v>0</v>
      </c>
      <c r="AI1209">
        <v>0</v>
      </c>
    </row>
    <row r="1210" spans="1:35" hidden="1" x14ac:dyDescent="0.25">
      <c r="A1210">
        <v>2021</v>
      </c>
      <c r="B1210" s="1">
        <v>44395</v>
      </c>
      <c r="C1210">
        <v>12</v>
      </c>
      <c r="D1210">
        <v>0</v>
      </c>
      <c r="E1210">
        <v>49205</v>
      </c>
      <c r="F1210" t="s">
        <v>88</v>
      </c>
      <c r="G1210" t="s">
        <v>89</v>
      </c>
      <c r="H1210" t="s">
        <v>392</v>
      </c>
      <c r="I1210" t="s">
        <v>71</v>
      </c>
      <c r="J1210">
        <v>12</v>
      </c>
      <c r="K1210">
        <v>3</v>
      </c>
      <c r="L1210">
        <v>22450000</v>
      </c>
      <c r="M1210">
        <v>29000000</v>
      </c>
      <c r="N1210" t="s">
        <v>105</v>
      </c>
      <c r="O1210" t="s">
        <v>66</v>
      </c>
      <c r="P1210">
        <v>1</v>
      </c>
      <c r="Q1210">
        <v>2</v>
      </c>
      <c r="R1210">
        <v>1</v>
      </c>
      <c r="S1210">
        <v>0</v>
      </c>
      <c r="T1210">
        <v>2</v>
      </c>
      <c r="U1210">
        <v>5</v>
      </c>
      <c r="V1210">
        <v>9</v>
      </c>
      <c r="W1210">
        <v>22</v>
      </c>
      <c r="X1210">
        <v>21</v>
      </c>
      <c r="Y1210">
        <v>7</v>
      </c>
      <c r="Z1210">
        <v>6</v>
      </c>
      <c r="AA1210">
        <v>1</v>
      </c>
      <c r="AB1210">
        <v>0</v>
      </c>
      <c r="AC1210">
        <v>2</v>
      </c>
      <c r="AD1210">
        <v>12</v>
      </c>
      <c r="AE1210">
        <v>13</v>
      </c>
      <c r="AF1210">
        <v>7</v>
      </c>
      <c r="AG1210">
        <v>4</v>
      </c>
      <c r="AH1210">
        <v>-1</v>
      </c>
      <c r="AI1210">
        <v>0</v>
      </c>
    </row>
    <row r="1211" spans="1:35" hidden="1" x14ac:dyDescent="0.25">
      <c r="A1211">
        <v>2021</v>
      </c>
      <c r="B1211" s="1">
        <v>44409</v>
      </c>
      <c r="C1211">
        <v>14</v>
      </c>
      <c r="D1211">
        <v>0</v>
      </c>
      <c r="E1211">
        <v>49205</v>
      </c>
      <c r="F1211" t="s">
        <v>88</v>
      </c>
      <c r="G1211" t="s">
        <v>77</v>
      </c>
      <c r="H1211" t="s">
        <v>392</v>
      </c>
      <c r="I1211" t="s">
        <v>319</v>
      </c>
      <c r="J1211">
        <v>10</v>
      </c>
      <c r="K1211">
        <v>6</v>
      </c>
      <c r="L1211">
        <v>19250000</v>
      </c>
      <c r="M1211">
        <v>72350000</v>
      </c>
      <c r="N1211" t="s">
        <v>86</v>
      </c>
      <c r="O1211" t="s">
        <v>197</v>
      </c>
      <c r="P1211">
        <v>1</v>
      </c>
      <c r="Q1211">
        <v>3</v>
      </c>
      <c r="R1211">
        <v>0</v>
      </c>
      <c r="S1211">
        <v>3</v>
      </c>
      <c r="T1211">
        <v>3</v>
      </c>
      <c r="U1211">
        <v>6</v>
      </c>
      <c r="V1211">
        <v>7</v>
      </c>
      <c r="W1211">
        <v>13</v>
      </c>
      <c r="X1211">
        <v>11</v>
      </c>
      <c r="Y1211">
        <v>7</v>
      </c>
      <c r="Z1211">
        <v>4</v>
      </c>
      <c r="AA1211">
        <v>2</v>
      </c>
      <c r="AB1211">
        <v>0</v>
      </c>
      <c r="AC1211">
        <v>1</v>
      </c>
      <c r="AD1211">
        <v>9</v>
      </c>
      <c r="AE1211">
        <v>17</v>
      </c>
      <c r="AF1211">
        <v>3</v>
      </c>
      <c r="AG1211">
        <v>4</v>
      </c>
      <c r="AH1211">
        <v>-2</v>
      </c>
      <c r="AI1211">
        <v>0</v>
      </c>
    </row>
    <row r="1212" spans="1:35" hidden="1" x14ac:dyDescent="0.25">
      <c r="A1212">
        <v>2021</v>
      </c>
      <c r="B1212" s="1">
        <v>44423</v>
      </c>
      <c r="C1212">
        <v>16</v>
      </c>
      <c r="D1212">
        <v>0</v>
      </c>
      <c r="E1212">
        <v>49205</v>
      </c>
      <c r="F1212" t="s">
        <v>88</v>
      </c>
      <c r="G1212" t="s">
        <v>361</v>
      </c>
      <c r="H1212" t="s">
        <v>392</v>
      </c>
      <c r="I1212" t="s">
        <v>340</v>
      </c>
      <c r="J1212">
        <v>12</v>
      </c>
      <c r="K1212">
        <v>7</v>
      </c>
      <c r="L1212">
        <v>19150000</v>
      </c>
      <c r="M1212">
        <v>8680000</v>
      </c>
      <c r="N1212" t="s">
        <v>74</v>
      </c>
      <c r="O1212" t="s">
        <v>129</v>
      </c>
      <c r="P1212">
        <v>3</v>
      </c>
      <c r="Q1212">
        <v>1</v>
      </c>
      <c r="R1212">
        <v>2</v>
      </c>
      <c r="S1212">
        <v>0</v>
      </c>
      <c r="T1212">
        <v>7</v>
      </c>
      <c r="U1212">
        <v>6</v>
      </c>
      <c r="V1212">
        <v>7</v>
      </c>
      <c r="W1212">
        <v>16</v>
      </c>
      <c r="X1212">
        <v>14</v>
      </c>
      <c r="Y1212">
        <v>7</v>
      </c>
      <c r="Z1212">
        <v>5</v>
      </c>
      <c r="AA1212">
        <v>0</v>
      </c>
      <c r="AB1212">
        <v>0</v>
      </c>
      <c r="AC1212">
        <v>0</v>
      </c>
      <c r="AD1212">
        <v>7</v>
      </c>
      <c r="AE1212">
        <v>15</v>
      </c>
      <c r="AF1212">
        <v>3</v>
      </c>
      <c r="AG1212">
        <v>5</v>
      </c>
      <c r="AH1212">
        <v>2</v>
      </c>
      <c r="AI1212">
        <v>1</v>
      </c>
    </row>
    <row r="1213" spans="1:35" hidden="1" x14ac:dyDescent="0.25">
      <c r="A1213">
        <v>2021</v>
      </c>
      <c r="B1213" s="1">
        <v>44447</v>
      </c>
      <c r="C1213">
        <v>19</v>
      </c>
      <c r="D1213">
        <v>0</v>
      </c>
      <c r="E1213">
        <v>49205</v>
      </c>
      <c r="F1213" t="s">
        <v>88</v>
      </c>
      <c r="G1213" t="s">
        <v>44</v>
      </c>
      <c r="H1213" t="s">
        <v>392</v>
      </c>
      <c r="I1213" t="s">
        <v>368</v>
      </c>
      <c r="J1213">
        <v>6</v>
      </c>
      <c r="K1213">
        <v>13</v>
      </c>
      <c r="L1213">
        <v>30750000</v>
      </c>
      <c r="M1213">
        <v>5450000</v>
      </c>
      <c r="N1213" t="s">
        <v>309</v>
      </c>
      <c r="O1213" t="s">
        <v>135</v>
      </c>
      <c r="P1213">
        <v>1</v>
      </c>
      <c r="Q1213">
        <v>1</v>
      </c>
      <c r="R1213">
        <v>0</v>
      </c>
      <c r="S1213">
        <v>1</v>
      </c>
      <c r="T1213">
        <v>2</v>
      </c>
      <c r="U1213">
        <v>2</v>
      </c>
      <c r="V1213">
        <v>15</v>
      </c>
      <c r="W1213">
        <v>20</v>
      </c>
      <c r="X1213">
        <v>19</v>
      </c>
      <c r="Y1213">
        <v>15</v>
      </c>
      <c r="Z1213">
        <v>6</v>
      </c>
      <c r="AA1213">
        <v>1</v>
      </c>
      <c r="AB1213">
        <v>0</v>
      </c>
      <c r="AC1213">
        <v>1</v>
      </c>
      <c r="AD1213">
        <v>11</v>
      </c>
      <c r="AE1213">
        <v>12</v>
      </c>
      <c r="AF1213">
        <v>5</v>
      </c>
      <c r="AG1213">
        <v>4</v>
      </c>
      <c r="AH1213">
        <v>0</v>
      </c>
      <c r="AI1213">
        <v>0</v>
      </c>
    </row>
    <row r="1214" spans="1:35" hidden="1" x14ac:dyDescent="0.25">
      <c r="A1214">
        <v>2021</v>
      </c>
      <c r="B1214" s="1">
        <v>44458</v>
      </c>
      <c r="C1214">
        <v>21</v>
      </c>
      <c r="D1214">
        <v>0</v>
      </c>
      <c r="E1214">
        <v>49205</v>
      </c>
      <c r="F1214" t="s">
        <v>88</v>
      </c>
      <c r="G1214" t="s">
        <v>310</v>
      </c>
      <c r="H1214" t="s">
        <v>392</v>
      </c>
      <c r="I1214" t="s">
        <v>312</v>
      </c>
      <c r="J1214">
        <v>6</v>
      </c>
      <c r="K1214">
        <v>17</v>
      </c>
      <c r="L1214">
        <v>36650000</v>
      </c>
      <c r="M1214">
        <v>5500000</v>
      </c>
      <c r="N1214" t="s">
        <v>208</v>
      </c>
      <c r="O1214" t="s">
        <v>92</v>
      </c>
      <c r="P1214">
        <v>1</v>
      </c>
      <c r="Q1214">
        <v>1</v>
      </c>
      <c r="R1214">
        <v>1</v>
      </c>
      <c r="S1214">
        <v>1</v>
      </c>
      <c r="T1214">
        <v>5</v>
      </c>
      <c r="U1214">
        <v>2</v>
      </c>
      <c r="V1214">
        <v>8</v>
      </c>
      <c r="W1214">
        <v>13</v>
      </c>
      <c r="X1214">
        <v>13</v>
      </c>
      <c r="Y1214">
        <v>7</v>
      </c>
      <c r="Z1214">
        <v>6</v>
      </c>
      <c r="AA1214">
        <v>7</v>
      </c>
      <c r="AB1214">
        <v>1</v>
      </c>
      <c r="AC1214">
        <v>1</v>
      </c>
      <c r="AD1214">
        <v>15</v>
      </c>
      <c r="AE1214">
        <v>16</v>
      </c>
      <c r="AF1214">
        <v>6</v>
      </c>
      <c r="AG1214">
        <v>5</v>
      </c>
      <c r="AH1214">
        <v>0</v>
      </c>
      <c r="AI1214">
        <v>0</v>
      </c>
    </row>
    <row r="1215" spans="1:35" hidden="1" x14ac:dyDescent="0.25">
      <c r="A1215">
        <v>2021</v>
      </c>
      <c r="B1215" s="1">
        <v>44465</v>
      </c>
      <c r="C1215">
        <v>22</v>
      </c>
      <c r="D1215">
        <v>0</v>
      </c>
      <c r="E1215">
        <v>49205</v>
      </c>
      <c r="F1215" t="s">
        <v>88</v>
      </c>
      <c r="G1215" t="s">
        <v>95</v>
      </c>
      <c r="H1215" t="s">
        <v>392</v>
      </c>
      <c r="I1215" t="s">
        <v>97</v>
      </c>
      <c r="J1215">
        <v>7</v>
      </c>
      <c r="K1215">
        <v>2</v>
      </c>
      <c r="L1215">
        <v>40350000</v>
      </c>
      <c r="M1215">
        <v>79000000</v>
      </c>
      <c r="N1215" t="s">
        <v>193</v>
      </c>
      <c r="O1215" t="s">
        <v>80</v>
      </c>
      <c r="P1215">
        <v>2</v>
      </c>
      <c r="Q1215">
        <v>1</v>
      </c>
      <c r="R1215">
        <v>1</v>
      </c>
      <c r="S1215">
        <v>1</v>
      </c>
      <c r="T1215">
        <v>5</v>
      </c>
      <c r="U1215">
        <v>9</v>
      </c>
      <c r="V1215">
        <v>8</v>
      </c>
      <c r="W1215">
        <v>11</v>
      </c>
      <c r="X1215">
        <v>11</v>
      </c>
      <c r="Y1215">
        <v>7</v>
      </c>
      <c r="Z1215">
        <v>4</v>
      </c>
      <c r="AA1215">
        <v>2</v>
      </c>
      <c r="AB1215">
        <v>2</v>
      </c>
      <c r="AC1215">
        <v>3</v>
      </c>
      <c r="AD1215">
        <v>8</v>
      </c>
      <c r="AE1215">
        <v>16</v>
      </c>
      <c r="AF1215">
        <v>1</v>
      </c>
      <c r="AG1215">
        <v>9</v>
      </c>
      <c r="AH1215">
        <v>1</v>
      </c>
      <c r="AI1215">
        <v>1</v>
      </c>
    </row>
    <row r="1216" spans="1:35" hidden="1" x14ac:dyDescent="0.25">
      <c r="A1216">
        <v>2021</v>
      </c>
      <c r="B1216" s="1">
        <v>44475</v>
      </c>
      <c r="C1216">
        <v>24</v>
      </c>
      <c r="D1216">
        <v>10470</v>
      </c>
      <c r="E1216">
        <v>49205</v>
      </c>
      <c r="F1216" t="s">
        <v>88</v>
      </c>
      <c r="G1216" t="s">
        <v>38</v>
      </c>
      <c r="H1216" t="s">
        <v>392</v>
      </c>
      <c r="I1216" t="s">
        <v>393</v>
      </c>
      <c r="J1216">
        <v>6</v>
      </c>
      <c r="K1216">
        <v>17</v>
      </c>
      <c r="L1216">
        <v>45200000</v>
      </c>
      <c r="M1216">
        <v>7200000</v>
      </c>
      <c r="N1216" t="s">
        <v>123</v>
      </c>
      <c r="O1216" t="s">
        <v>151</v>
      </c>
      <c r="P1216">
        <v>3</v>
      </c>
      <c r="Q1216">
        <v>1</v>
      </c>
      <c r="R1216">
        <v>1</v>
      </c>
      <c r="S1216">
        <v>1</v>
      </c>
      <c r="T1216">
        <v>7</v>
      </c>
      <c r="U1216">
        <v>0</v>
      </c>
      <c r="V1216">
        <v>14</v>
      </c>
      <c r="W1216">
        <v>18</v>
      </c>
      <c r="X1216">
        <v>17</v>
      </c>
      <c r="Y1216">
        <v>13</v>
      </c>
      <c r="Z1216">
        <v>1</v>
      </c>
      <c r="AA1216">
        <v>8</v>
      </c>
      <c r="AB1216">
        <v>0</v>
      </c>
      <c r="AC1216">
        <v>0</v>
      </c>
      <c r="AD1216">
        <v>21</v>
      </c>
      <c r="AE1216">
        <v>3</v>
      </c>
      <c r="AF1216">
        <v>5</v>
      </c>
      <c r="AG1216">
        <v>1</v>
      </c>
      <c r="AH1216">
        <v>2</v>
      </c>
      <c r="AI1216">
        <v>1</v>
      </c>
    </row>
    <row r="1217" spans="1:35" hidden="1" x14ac:dyDescent="0.25">
      <c r="A1217">
        <v>2021</v>
      </c>
      <c r="B1217" s="1">
        <v>44483</v>
      </c>
      <c r="C1217">
        <v>26</v>
      </c>
      <c r="D1217">
        <v>12045</v>
      </c>
      <c r="E1217">
        <v>49205</v>
      </c>
      <c r="F1217" t="s">
        <v>88</v>
      </c>
      <c r="G1217" t="s">
        <v>55</v>
      </c>
      <c r="H1217" t="s">
        <v>392</v>
      </c>
      <c r="I1217" t="s">
        <v>223</v>
      </c>
      <c r="J1217">
        <v>7</v>
      </c>
      <c r="K1217">
        <v>9</v>
      </c>
      <c r="L1217">
        <v>40350000</v>
      </c>
      <c r="M1217">
        <v>18600000</v>
      </c>
      <c r="N1217" t="s">
        <v>144</v>
      </c>
      <c r="O1217" t="s">
        <v>117</v>
      </c>
      <c r="P1217">
        <v>1</v>
      </c>
      <c r="Q1217">
        <v>0</v>
      </c>
      <c r="R1217">
        <v>0</v>
      </c>
      <c r="S1217">
        <v>0</v>
      </c>
      <c r="T1217">
        <v>8</v>
      </c>
      <c r="U1217">
        <v>3</v>
      </c>
      <c r="V1217">
        <v>4</v>
      </c>
      <c r="W1217">
        <v>9</v>
      </c>
      <c r="X1217">
        <v>9</v>
      </c>
      <c r="Y1217">
        <v>3</v>
      </c>
      <c r="Z1217">
        <v>5</v>
      </c>
      <c r="AA1217">
        <v>0</v>
      </c>
      <c r="AB1217">
        <v>1</v>
      </c>
      <c r="AC1217">
        <v>0</v>
      </c>
      <c r="AD1217">
        <v>8</v>
      </c>
      <c r="AE1217">
        <v>13</v>
      </c>
      <c r="AF1217">
        <v>5</v>
      </c>
      <c r="AG1217">
        <v>7</v>
      </c>
      <c r="AH1217">
        <v>1</v>
      </c>
      <c r="AI1217">
        <v>1</v>
      </c>
    </row>
    <row r="1218" spans="1:35" hidden="1" x14ac:dyDescent="0.25">
      <c r="A1218">
        <v>2021</v>
      </c>
      <c r="B1218" s="1">
        <v>44502</v>
      </c>
      <c r="C1218">
        <v>29</v>
      </c>
      <c r="D1218">
        <v>39897</v>
      </c>
      <c r="E1218">
        <v>49205</v>
      </c>
      <c r="F1218" t="s">
        <v>88</v>
      </c>
      <c r="G1218" t="s">
        <v>394</v>
      </c>
      <c r="H1218" t="s">
        <v>392</v>
      </c>
      <c r="I1218" t="s">
        <v>395</v>
      </c>
      <c r="J1218">
        <v>7</v>
      </c>
      <c r="K1218">
        <v>20</v>
      </c>
      <c r="L1218">
        <v>30150000</v>
      </c>
      <c r="M1218">
        <v>3930000</v>
      </c>
      <c r="N1218">
        <v>28</v>
      </c>
      <c r="O1218" t="s">
        <v>114</v>
      </c>
      <c r="P1218">
        <v>1</v>
      </c>
      <c r="Q1218">
        <v>0</v>
      </c>
      <c r="R1218">
        <v>0</v>
      </c>
      <c r="S1218">
        <v>0</v>
      </c>
      <c r="T1218">
        <v>14</v>
      </c>
      <c r="U1218">
        <v>0</v>
      </c>
      <c r="V1218">
        <v>12</v>
      </c>
      <c r="W1218">
        <v>19</v>
      </c>
      <c r="X1218">
        <v>18</v>
      </c>
      <c r="Y1218">
        <v>12</v>
      </c>
      <c r="Z1218">
        <v>2</v>
      </c>
      <c r="AA1218">
        <v>4</v>
      </c>
      <c r="AB1218">
        <v>0</v>
      </c>
      <c r="AC1218">
        <v>0</v>
      </c>
      <c r="AD1218">
        <v>18</v>
      </c>
      <c r="AE1218">
        <v>2</v>
      </c>
      <c r="AF1218">
        <v>9</v>
      </c>
      <c r="AG1218">
        <v>0</v>
      </c>
      <c r="AH1218">
        <v>1</v>
      </c>
      <c r="AI1218">
        <v>1</v>
      </c>
    </row>
    <row r="1219" spans="1:35" hidden="1" x14ac:dyDescent="0.25">
      <c r="A1219">
        <v>2021</v>
      </c>
      <c r="B1219" s="1">
        <v>44506</v>
      </c>
      <c r="C1219">
        <v>30</v>
      </c>
      <c r="D1219">
        <v>36219</v>
      </c>
      <c r="E1219">
        <v>49205</v>
      </c>
      <c r="F1219" t="s">
        <v>88</v>
      </c>
      <c r="G1219" t="s">
        <v>63</v>
      </c>
      <c r="H1219" t="s">
        <v>392</v>
      </c>
      <c r="I1219" t="s">
        <v>65</v>
      </c>
      <c r="J1219">
        <v>6</v>
      </c>
      <c r="K1219">
        <v>4</v>
      </c>
      <c r="L1219">
        <v>31150000</v>
      </c>
      <c r="M1219">
        <v>8950000</v>
      </c>
      <c r="N1219" t="s">
        <v>235</v>
      </c>
      <c r="O1219" t="s">
        <v>123</v>
      </c>
      <c r="P1219">
        <v>1</v>
      </c>
      <c r="Q1219">
        <v>0</v>
      </c>
      <c r="R1219">
        <v>0</v>
      </c>
      <c r="S1219">
        <v>0</v>
      </c>
      <c r="T1219">
        <v>8</v>
      </c>
      <c r="U1219">
        <v>4</v>
      </c>
      <c r="V1219">
        <v>18</v>
      </c>
      <c r="W1219">
        <v>26</v>
      </c>
      <c r="X1219">
        <v>26</v>
      </c>
      <c r="Y1219">
        <v>17</v>
      </c>
      <c r="Z1219">
        <v>2</v>
      </c>
      <c r="AA1219">
        <v>5</v>
      </c>
      <c r="AB1219">
        <v>0</v>
      </c>
      <c r="AC1219">
        <v>2</v>
      </c>
      <c r="AD1219">
        <v>14</v>
      </c>
      <c r="AE1219">
        <v>9</v>
      </c>
      <c r="AF1219">
        <v>5</v>
      </c>
      <c r="AG1219">
        <v>5</v>
      </c>
      <c r="AH1219">
        <v>1</v>
      </c>
      <c r="AI1219">
        <v>1</v>
      </c>
    </row>
    <row r="1220" spans="1:35" hidden="1" x14ac:dyDescent="0.25">
      <c r="A1220">
        <v>2021</v>
      </c>
      <c r="B1220" s="1">
        <v>44514</v>
      </c>
      <c r="C1220">
        <v>32</v>
      </c>
      <c r="D1220">
        <v>38616</v>
      </c>
      <c r="E1220">
        <v>49205</v>
      </c>
      <c r="F1220" t="s">
        <v>88</v>
      </c>
      <c r="G1220" t="s">
        <v>70</v>
      </c>
      <c r="J1220">
        <v>5</v>
      </c>
      <c r="K1220">
        <v>11</v>
      </c>
      <c r="L1220">
        <v>37500000</v>
      </c>
      <c r="M1220">
        <v>8000000</v>
      </c>
      <c r="N1220" t="s">
        <v>105</v>
      </c>
      <c r="O1220" t="s">
        <v>129</v>
      </c>
      <c r="P1220">
        <v>3</v>
      </c>
      <c r="Q1220">
        <v>2</v>
      </c>
      <c r="R1220">
        <v>1</v>
      </c>
      <c r="S1220">
        <v>1</v>
      </c>
      <c r="T1220">
        <v>4</v>
      </c>
      <c r="U1220">
        <v>5</v>
      </c>
      <c r="V1220">
        <v>15</v>
      </c>
      <c r="W1220">
        <v>9</v>
      </c>
      <c r="X1220">
        <v>9</v>
      </c>
      <c r="Y1220">
        <v>15</v>
      </c>
      <c r="Z1220">
        <v>4</v>
      </c>
      <c r="AA1220">
        <v>2</v>
      </c>
      <c r="AB1220">
        <v>1</v>
      </c>
      <c r="AC1220">
        <v>3</v>
      </c>
      <c r="AD1220">
        <v>13</v>
      </c>
      <c r="AE1220">
        <v>9</v>
      </c>
      <c r="AF1220">
        <v>5</v>
      </c>
      <c r="AG1220">
        <v>1</v>
      </c>
      <c r="AH1220">
        <v>1</v>
      </c>
      <c r="AI1220">
        <v>1</v>
      </c>
    </row>
    <row r="1221" spans="1:35" hidden="1" x14ac:dyDescent="0.25">
      <c r="A1221">
        <v>2021</v>
      </c>
      <c r="B1221" s="1">
        <v>44521</v>
      </c>
      <c r="C1221">
        <v>34</v>
      </c>
      <c r="D1221">
        <v>43583</v>
      </c>
      <c r="E1221">
        <v>49205</v>
      </c>
      <c r="F1221" t="s">
        <v>88</v>
      </c>
      <c r="G1221" t="s">
        <v>326</v>
      </c>
      <c r="H1221" t="s">
        <v>392</v>
      </c>
      <c r="I1221" t="s">
        <v>379</v>
      </c>
      <c r="J1221">
        <v>4</v>
      </c>
      <c r="K1221">
        <v>11</v>
      </c>
      <c r="L1221">
        <v>29550000</v>
      </c>
      <c r="M1221">
        <v>21150000</v>
      </c>
      <c r="N1221" t="s">
        <v>92</v>
      </c>
      <c r="O1221" t="s">
        <v>233</v>
      </c>
      <c r="P1221">
        <v>2</v>
      </c>
      <c r="Q1221">
        <v>0</v>
      </c>
      <c r="R1221">
        <v>0</v>
      </c>
      <c r="S1221">
        <v>0</v>
      </c>
      <c r="T1221">
        <v>11</v>
      </c>
      <c r="U1221">
        <v>4</v>
      </c>
      <c r="V1221">
        <v>6</v>
      </c>
      <c r="W1221">
        <v>8</v>
      </c>
      <c r="X1221">
        <v>8</v>
      </c>
      <c r="Y1221">
        <v>6</v>
      </c>
      <c r="Z1221">
        <v>1</v>
      </c>
      <c r="AA1221">
        <v>9</v>
      </c>
      <c r="AB1221">
        <v>0</v>
      </c>
      <c r="AC1221">
        <v>1</v>
      </c>
      <c r="AD1221">
        <v>23</v>
      </c>
      <c r="AE1221">
        <v>9</v>
      </c>
      <c r="AF1221">
        <v>6</v>
      </c>
      <c r="AG1221">
        <v>6</v>
      </c>
      <c r="AH1221">
        <v>2</v>
      </c>
      <c r="AI1221">
        <v>1</v>
      </c>
    </row>
    <row r="1222" spans="1:35" hidden="1" x14ac:dyDescent="0.25">
      <c r="A1222">
        <v>2021</v>
      </c>
      <c r="B1222" s="1">
        <v>44528</v>
      </c>
      <c r="C1222">
        <v>36</v>
      </c>
      <c r="D1222">
        <v>37309</v>
      </c>
      <c r="E1222">
        <v>49205</v>
      </c>
      <c r="F1222" t="s">
        <v>88</v>
      </c>
      <c r="G1222" t="s">
        <v>69</v>
      </c>
      <c r="H1222" t="s">
        <v>392</v>
      </c>
      <c r="I1222" t="s">
        <v>378</v>
      </c>
      <c r="J1222">
        <v>4</v>
      </c>
      <c r="K1222">
        <v>11</v>
      </c>
      <c r="L1222">
        <v>29550000</v>
      </c>
      <c r="M1222">
        <v>27500000</v>
      </c>
      <c r="N1222" t="s">
        <v>92</v>
      </c>
      <c r="O1222" t="s">
        <v>122</v>
      </c>
      <c r="P1222">
        <v>1</v>
      </c>
      <c r="Q1222">
        <v>0</v>
      </c>
      <c r="R1222">
        <v>0</v>
      </c>
      <c r="S1222">
        <v>0</v>
      </c>
      <c r="T1222">
        <v>10</v>
      </c>
      <c r="U1222">
        <v>3</v>
      </c>
      <c r="V1222">
        <v>14</v>
      </c>
      <c r="W1222">
        <v>19</v>
      </c>
      <c r="X1222">
        <v>16</v>
      </c>
      <c r="Y1222">
        <v>14</v>
      </c>
      <c r="Z1222">
        <v>2</v>
      </c>
      <c r="AA1222">
        <v>4</v>
      </c>
      <c r="AB1222">
        <v>1</v>
      </c>
      <c r="AC1222">
        <v>1</v>
      </c>
      <c r="AD1222">
        <v>16</v>
      </c>
      <c r="AE1222">
        <v>11</v>
      </c>
      <c r="AF1222">
        <v>5</v>
      </c>
      <c r="AG1222">
        <v>6</v>
      </c>
      <c r="AH1222">
        <v>1</v>
      </c>
      <c r="AI1222">
        <v>1</v>
      </c>
    </row>
    <row r="1223" spans="1:35" hidden="1" x14ac:dyDescent="0.25">
      <c r="A1223">
        <v>2021</v>
      </c>
      <c r="B1223" s="1">
        <v>44535</v>
      </c>
      <c r="C1223">
        <v>37</v>
      </c>
      <c r="D1223">
        <v>44187</v>
      </c>
      <c r="E1223">
        <v>49205</v>
      </c>
      <c r="F1223" t="s">
        <v>88</v>
      </c>
      <c r="G1223" t="s">
        <v>83</v>
      </c>
      <c r="H1223" t="s">
        <v>392</v>
      </c>
      <c r="I1223" t="s">
        <v>312</v>
      </c>
      <c r="J1223">
        <v>4</v>
      </c>
      <c r="K1223">
        <v>18</v>
      </c>
      <c r="L1223">
        <v>35750000</v>
      </c>
      <c r="M1223">
        <v>29000000</v>
      </c>
      <c r="N1223" t="s">
        <v>193</v>
      </c>
      <c r="O1223">
        <v>29</v>
      </c>
      <c r="P1223">
        <v>1</v>
      </c>
      <c r="Q1223">
        <v>1</v>
      </c>
      <c r="R1223">
        <v>0</v>
      </c>
      <c r="S1223">
        <v>1</v>
      </c>
      <c r="T1223">
        <v>2</v>
      </c>
      <c r="U1223">
        <v>5</v>
      </c>
      <c r="V1223">
        <v>7</v>
      </c>
      <c r="W1223">
        <v>22</v>
      </c>
      <c r="X1223">
        <v>22</v>
      </c>
      <c r="Y1223">
        <v>7</v>
      </c>
      <c r="Z1223">
        <v>2</v>
      </c>
      <c r="AA1223">
        <v>2</v>
      </c>
      <c r="AB1223">
        <v>3</v>
      </c>
      <c r="AC1223">
        <v>0</v>
      </c>
      <c r="AD1223">
        <v>11</v>
      </c>
      <c r="AE1223">
        <v>12</v>
      </c>
      <c r="AF1223">
        <v>4</v>
      </c>
      <c r="AG1223">
        <v>6</v>
      </c>
      <c r="AH1223">
        <v>0</v>
      </c>
      <c r="AI1223">
        <v>0</v>
      </c>
    </row>
    <row r="1224" spans="1:35" hidden="1" x14ac:dyDescent="0.25">
      <c r="A1224">
        <v>2021</v>
      </c>
      <c r="B1224" s="1">
        <v>44346</v>
      </c>
      <c r="C1224">
        <v>1</v>
      </c>
      <c r="D1224">
        <v>0</v>
      </c>
      <c r="E1224">
        <v>42372</v>
      </c>
      <c r="F1224" t="s">
        <v>69</v>
      </c>
      <c r="G1224" t="s">
        <v>310</v>
      </c>
      <c r="H1224" t="s">
        <v>90</v>
      </c>
      <c r="I1224" t="s">
        <v>362</v>
      </c>
      <c r="J1224">
        <v>5</v>
      </c>
      <c r="K1224">
        <v>16</v>
      </c>
      <c r="L1224">
        <v>32200000</v>
      </c>
      <c r="M1224">
        <v>6500000</v>
      </c>
      <c r="N1224" t="s">
        <v>104</v>
      </c>
      <c r="O1224">
        <v>29</v>
      </c>
      <c r="P1224">
        <v>1</v>
      </c>
      <c r="Q1224">
        <v>0</v>
      </c>
      <c r="R1224">
        <v>0</v>
      </c>
      <c r="S1224">
        <v>0</v>
      </c>
      <c r="T1224">
        <v>3</v>
      </c>
      <c r="U1224">
        <v>1</v>
      </c>
      <c r="V1224">
        <v>18</v>
      </c>
      <c r="W1224">
        <v>9</v>
      </c>
      <c r="X1224">
        <v>8</v>
      </c>
      <c r="Y1224">
        <v>17</v>
      </c>
      <c r="Z1224">
        <v>4</v>
      </c>
      <c r="AA1224">
        <v>4</v>
      </c>
      <c r="AB1224">
        <v>0</v>
      </c>
      <c r="AC1224">
        <v>0</v>
      </c>
      <c r="AD1224">
        <v>11</v>
      </c>
      <c r="AE1224">
        <v>14</v>
      </c>
      <c r="AF1224">
        <v>5</v>
      </c>
      <c r="AG1224">
        <v>6</v>
      </c>
      <c r="AH1224">
        <v>1</v>
      </c>
      <c r="AI1224">
        <v>1</v>
      </c>
    </row>
    <row r="1225" spans="1:35" hidden="1" x14ac:dyDescent="0.25">
      <c r="A1225">
        <v>2021</v>
      </c>
      <c r="B1225" s="1">
        <v>44502</v>
      </c>
      <c r="C1225">
        <v>4</v>
      </c>
      <c r="D1225">
        <v>15193</v>
      </c>
      <c r="E1225">
        <v>42372</v>
      </c>
      <c r="F1225" t="s">
        <v>69</v>
      </c>
      <c r="G1225" t="s">
        <v>77</v>
      </c>
      <c r="H1225" t="s">
        <v>378</v>
      </c>
      <c r="I1225" t="s">
        <v>319</v>
      </c>
      <c r="J1225">
        <v>2</v>
      </c>
      <c r="K1225">
        <v>3</v>
      </c>
      <c r="L1225">
        <v>26500000</v>
      </c>
      <c r="M1225">
        <v>62850000</v>
      </c>
      <c r="N1225" t="s">
        <v>116</v>
      </c>
      <c r="O1225" t="s">
        <v>137</v>
      </c>
      <c r="P1225">
        <v>2</v>
      </c>
      <c r="Q1225">
        <v>2</v>
      </c>
      <c r="R1225">
        <v>0</v>
      </c>
      <c r="S1225">
        <v>2</v>
      </c>
      <c r="T1225">
        <v>7</v>
      </c>
      <c r="U1225">
        <v>3</v>
      </c>
      <c r="V1225">
        <v>8</v>
      </c>
      <c r="W1225">
        <v>15</v>
      </c>
      <c r="X1225">
        <v>15</v>
      </c>
      <c r="Y1225">
        <v>8</v>
      </c>
      <c r="Z1225">
        <v>4</v>
      </c>
      <c r="AA1225">
        <v>3</v>
      </c>
      <c r="AB1225">
        <v>3</v>
      </c>
      <c r="AC1225">
        <v>0</v>
      </c>
      <c r="AD1225">
        <v>21</v>
      </c>
      <c r="AE1225">
        <v>13</v>
      </c>
      <c r="AF1225">
        <v>11</v>
      </c>
      <c r="AG1225">
        <v>3</v>
      </c>
      <c r="AH1225">
        <v>0</v>
      </c>
      <c r="AI1225">
        <v>0</v>
      </c>
    </row>
    <row r="1226" spans="1:35" hidden="1" x14ac:dyDescent="0.25">
      <c r="A1226">
        <v>2021</v>
      </c>
      <c r="B1226" s="1">
        <v>44367</v>
      </c>
      <c r="C1226">
        <v>5</v>
      </c>
      <c r="D1226">
        <v>0</v>
      </c>
      <c r="E1226">
        <v>42372</v>
      </c>
      <c r="F1226" t="s">
        <v>69</v>
      </c>
      <c r="G1226" t="s">
        <v>76</v>
      </c>
      <c r="H1226" t="s">
        <v>90</v>
      </c>
      <c r="I1226" t="s">
        <v>367</v>
      </c>
      <c r="J1226">
        <v>2</v>
      </c>
      <c r="K1226">
        <v>9</v>
      </c>
      <c r="L1226">
        <v>28750000</v>
      </c>
      <c r="M1226">
        <v>8780000</v>
      </c>
      <c r="N1226" t="s">
        <v>217</v>
      </c>
      <c r="O1226" t="s">
        <v>168</v>
      </c>
      <c r="P1226">
        <v>2</v>
      </c>
      <c r="Q1226">
        <v>1</v>
      </c>
      <c r="R1226">
        <v>1</v>
      </c>
      <c r="S1226">
        <v>1</v>
      </c>
      <c r="T1226">
        <v>4</v>
      </c>
      <c r="U1226">
        <v>3</v>
      </c>
      <c r="V1226">
        <v>17</v>
      </c>
      <c r="W1226">
        <v>15</v>
      </c>
      <c r="X1226">
        <v>15</v>
      </c>
      <c r="Y1226">
        <v>17</v>
      </c>
      <c r="Z1226">
        <v>2</v>
      </c>
      <c r="AA1226">
        <v>1</v>
      </c>
      <c r="AB1226">
        <v>2</v>
      </c>
      <c r="AC1226">
        <v>1</v>
      </c>
      <c r="AD1226">
        <v>12</v>
      </c>
      <c r="AE1226">
        <v>10</v>
      </c>
      <c r="AF1226">
        <v>7</v>
      </c>
      <c r="AG1226">
        <v>7</v>
      </c>
      <c r="AH1226">
        <v>1</v>
      </c>
      <c r="AI1226">
        <v>1</v>
      </c>
    </row>
    <row r="1227" spans="1:35" hidden="1" x14ac:dyDescent="0.25">
      <c r="A1227">
        <v>2021</v>
      </c>
      <c r="B1227" s="1">
        <v>44375</v>
      </c>
      <c r="C1227">
        <v>7</v>
      </c>
      <c r="D1227">
        <v>0</v>
      </c>
      <c r="E1227">
        <v>42372</v>
      </c>
      <c r="F1227" t="s">
        <v>69</v>
      </c>
      <c r="G1227" t="s">
        <v>394</v>
      </c>
      <c r="H1227" t="s">
        <v>90</v>
      </c>
      <c r="I1227" t="s">
        <v>78</v>
      </c>
      <c r="J1227">
        <v>2</v>
      </c>
      <c r="K1227">
        <v>19</v>
      </c>
      <c r="L1227">
        <v>32950000</v>
      </c>
      <c r="M1227">
        <v>3750000</v>
      </c>
      <c r="N1227" t="s">
        <v>270</v>
      </c>
      <c r="O1227">
        <v>26</v>
      </c>
      <c r="P1227">
        <v>2</v>
      </c>
      <c r="Q1227">
        <v>2</v>
      </c>
      <c r="R1227">
        <v>1</v>
      </c>
      <c r="S1227">
        <v>1</v>
      </c>
      <c r="T1227">
        <v>6</v>
      </c>
      <c r="U1227">
        <v>5</v>
      </c>
      <c r="V1227">
        <v>12</v>
      </c>
      <c r="W1227">
        <v>15</v>
      </c>
      <c r="X1227">
        <v>15</v>
      </c>
      <c r="Y1227">
        <v>11</v>
      </c>
      <c r="Z1227">
        <v>3</v>
      </c>
      <c r="AA1227">
        <v>3</v>
      </c>
      <c r="AB1227">
        <v>0</v>
      </c>
      <c r="AC1227">
        <v>2</v>
      </c>
      <c r="AD1227">
        <v>18</v>
      </c>
      <c r="AE1227">
        <v>12</v>
      </c>
      <c r="AF1227">
        <v>10</v>
      </c>
      <c r="AG1227">
        <v>5</v>
      </c>
      <c r="AH1227">
        <v>0</v>
      </c>
      <c r="AI1227">
        <v>0</v>
      </c>
    </row>
    <row r="1228" spans="1:35" hidden="1" x14ac:dyDescent="0.25">
      <c r="A1228">
        <v>2021</v>
      </c>
      <c r="B1228" s="1">
        <v>44381</v>
      </c>
      <c r="C1228">
        <v>9</v>
      </c>
      <c r="D1228">
        <v>0</v>
      </c>
      <c r="E1228">
        <v>42372</v>
      </c>
      <c r="F1228" t="s">
        <v>69</v>
      </c>
      <c r="G1228" t="s">
        <v>63</v>
      </c>
      <c r="H1228" t="s">
        <v>90</v>
      </c>
      <c r="I1228" t="s">
        <v>65</v>
      </c>
      <c r="J1228">
        <v>2</v>
      </c>
      <c r="K1228">
        <v>4</v>
      </c>
      <c r="L1228">
        <v>29400000</v>
      </c>
      <c r="M1228">
        <v>7150000</v>
      </c>
      <c r="N1228">
        <v>26</v>
      </c>
      <c r="O1228" t="s">
        <v>123</v>
      </c>
      <c r="P1228">
        <v>2</v>
      </c>
      <c r="Q1228">
        <v>1</v>
      </c>
      <c r="R1228">
        <v>2</v>
      </c>
      <c r="S1228">
        <v>0</v>
      </c>
      <c r="T1228">
        <v>3</v>
      </c>
      <c r="U1228">
        <v>4</v>
      </c>
      <c r="V1228">
        <v>18</v>
      </c>
      <c r="W1228">
        <v>14</v>
      </c>
      <c r="X1228">
        <v>14</v>
      </c>
      <c r="Y1228">
        <v>18</v>
      </c>
      <c r="Z1228">
        <v>3</v>
      </c>
      <c r="AA1228">
        <v>6</v>
      </c>
      <c r="AB1228">
        <v>3</v>
      </c>
      <c r="AC1228">
        <v>0</v>
      </c>
      <c r="AD1228">
        <v>16</v>
      </c>
      <c r="AE1228">
        <v>15</v>
      </c>
      <c r="AF1228">
        <v>6</v>
      </c>
      <c r="AG1228">
        <v>9</v>
      </c>
      <c r="AH1228">
        <v>1</v>
      </c>
      <c r="AI1228">
        <v>1</v>
      </c>
    </row>
    <row r="1229" spans="1:35" hidden="1" x14ac:dyDescent="0.25">
      <c r="A1229">
        <v>2021</v>
      </c>
      <c r="B1229" s="1">
        <v>44387</v>
      </c>
      <c r="C1229">
        <v>11</v>
      </c>
      <c r="D1229">
        <v>0</v>
      </c>
      <c r="E1229">
        <v>42372</v>
      </c>
      <c r="F1229" t="s">
        <v>69</v>
      </c>
      <c r="G1229" t="s">
        <v>56</v>
      </c>
      <c r="H1229" t="s">
        <v>90</v>
      </c>
      <c r="I1229" t="s">
        <v>341</v>
      </c>
      <c r="J1229">
        <v>3</v>
      </c>
      <c r="K1229">
        <v>2</v>
      </c>
      <c r="L1229">
        <v>18400000</v>
      </c>
      <c r="M1229">
        <v>30500000</v>
      </c>
      <c r="N1229" t="s">
        <v>332</v>
      </c>
      <c r="O1229" t="s">
        <v>409</v>
      </c>
      <c r="P1229">
        <v>2</v>
      </c>
      <c r="Q1229">
        <v>2</v>
      </c>
      <c r="R1229">
        <v>1</v>
      </c>
      <c r="S1229">
        <v>1</v>
      </c>
      <c r="T1229">
        <v>3</v>
      </c>
      <c r="U1229">
        <v>2</v>
      </c>
      <c r="V1229">
        <v>18</v>
      </c>
      <c r="W1229">
        <v>16</v>
      </c>
      <c r="X1229">
        <v>16</v>
      </c>
      <c r="Y1229">
        <v>18</v>
      </c>
      <c r="Z1229">
        <v>2</v>
      </c>
      <c r="AA1229">
        <v>4</v>
      </c>
      <c r="AB1229">
        <v>0</v>
      </c>
      <c r="AC1229">
        <v>3</v>
      </c>
      <c r="AD1229">
        <v>22</v>
      </c>
      <c r="AE1229">
        <v>16</v>
      </c>
      <c r="AF1229">
        <v>10</v>
      </c>
      <c r="AG1229">
        <v>10</v>
      </c>
      <c r="AH1229">
        <v>0</v>
      </c>
      <c r="AI1229">
        <v>0</v>
      </c>
    </row>
    <row r="1230" spans="1:35" hidden="1" x14ac:dyDescent="0.25">
      <c r="A1230">
        <v>2021</v>
      </c>
      <c r="B1230" s="1">
        <v>44402</v>
      </c>
      <c r="C1230">
        <v>13</v>
      </c>
      <c r="D1230">
        <v>0</v>
      </c>
      <c r="E1230">
        <v>42372</v>
      </c>
      <c r="F1230" t="s">
        <v>69</v>
      </c>
      <c r="G1230" t="s">
        <v>37</v>
      </c>
      <c r="H1230" t="s">
        <v>90</v>
      </c>
      <c r="I1230" t="s">
        <v>342</v>
      </c>
      <c r="J1230">
        <v>5</v>
      </c>
      <c r="K1230">
        <v>13</v>
      </c>
      <c r="L1230">
        <v>20650000</v>
      </c>
      <c r="M1230">
        <v>27750000</v>
      </c>
      <c r="N1230" t="s">
        <v>189</v>
      </c>
      <c r="O1230" t="s">
        <v>145</v>
      </c>
      <c r="P1230">
        <v>2</v>
      </c>
      <c r="Q1230">
        <v>1</v>
      </c>
      <c r="R1230">
        <v>2</v>
      </c>
      <c r="S1230">
        <v>0</v>
      </c>
      <c r="T1230">
        <v>8</v>
      </c>
      <c r="U1230">
        <v>2</v>
      </c>
      <c r="V1230">
        <v>14</v>
      </c>
      <c r="W1230">
        <v>13</v>
      </c>
      <c r="X1230">
        <v>13</v>
      </c>
      <c r="Y1230">
        <v>11</v>
      </c>
      <c r="Z1230">
        <v>2</v>
      </c>
      <c r="AA1230">
        <v>2</v>
      </c>
      <c r="AB1230">
        <v>1</v>
      </c>
      <c r="AC1230">
        <v>0</v>
      </c>
      <c r="AD1230">
        <v>11</v>
      </c>
      <c r="AE1230">
        <v>13</v>
      </c>
      <c r="AF1230">
        <v>5</v>
      </c>
      <c r="AG1230">
        <v>7</v>
      </c>
      <c r="AH1230">
        <v>1</v>
      </c>
      <c r="AI1230">
        <v>1</v>
      </c>
    </row>
    <row r="1231" spans="1:35" hidden="1" x14ac:dyDescent="0.25">
      <c r="A1231">
        <v>2021</v>
      </c>
      <c r="B1231" s="1">
        <v>44415</v>
      </c>
      <c r="C1231">
        <v>15</v>
      </c>
      <c r="D1231">
        <v>0</v>
      </c>
      <c r="E1231">
        <v>42372</v>
      </c>
      <c r="F1231" t="s">
        <v>69</v>
      </c>
      <c r="G1231" t="s">
        <v>62</v>
      </c>
      <c r="H1231" t="s">
        <v>90</v>
      </c>
      <c r="I1231" t="s">
        <v>390</v>
      </c>
      <c r="J1231">
        <v>6</v>
      </c>
      <c r="K1231">
        <v>17</v>
      </c>
      <c r="L1231">
        <v>16550000</v>
      </c>
      <c r="M1231">
        <v>37400000</v>
      </c>
      <c r="N1231" t="s">
        <v>168</v>
      </c>
      <c r="O1231" t="s">
        <v>80</v>
      </c>
      <c r="P1231">
        <v>1</v>
      </c>
      <c r="Q1231">
        <v>2</v>
      </c>
      <c r="R1231">
        <v>1</v>
      </c>
      <c r="S1231">
        <v>2</v>
      </c>
      <c r="T1231">
        <v>8</v>
      </c>
      <c r="U1231">
        <v>2</v>
      </c>
      <c r="V1231">
        <v>12</v>
      </c>
      <c r="W1231">
        <v>16</v>
      </c>
      <c r="X1231">
        <v>15</v>
      </c>
      <c r="Y1231">
        <v>12</v>
      </c>
      <c r="Z1231">
        <v>2</v>
      </c>
      <c r="AA1231">
        <v>5</v>
      </c>
      <c r="AB1231">
        <v>1</v>
      </c>
      <c r="AC1231">
        <v>2</v>
      </c>
      <c r="AD1231">
        <v>15</v>
      </c>
      <c r="AE1231">
        <v>11</v>
      </c>
      <c r="AF1231">
        <v>7</v>
      </c>
      <c r="AG1231">
        <v>5</v>
      </c>
      <c r="AH1231">
        <v>-1</v>
      </c>
      <c r="AI1231">
        <v>0</v>
      </c>
    </row>
    <row r="1232" spans="1:35" hidden="1" x14ac:dyDescent="0.25">
      <c r="A1232">
        <v>2021</v>
      </c>
      <c r="B1232" s="1">
        <v>44430</v>
      </c>
      <c r="C1232">
        <v>17</v>
      </c>
      <c r="D1232">
        <v>0</v>
      </c>
      <c r="E1232">
        <v>42372</v>
      </c>
      <c r="F1232" t="s">
        <v>69</v>
      </c>
      <c r="G1232" t="s">
        <v>88</v>
      </c>
      <c r="H1232" t="s">
        <v>90</v>
      </c>
      <c r="I1232" t="s">
        <v>392</v>
      </c>
      <c r="J1232">
        <v>6</v>
      </c>
      <c r="K1232">
        <v>11</v>
      </c>
      <c r="L1232">
        <v>31300000</v>
      </c>
      <c r="M1232">
        <v>19150000</v>
      </c>
      <c r="N1232" t="s">
        <v>217</v>
      </c>
      <c r="O1232" t="s">
        <v>235</v>
      </c>
      <c r="P1232">
        <v>0</v>
      </c>
      <c r="Q1232">
        <v>1</v>
      </c>
      <c r="R1232">
        <v>0</v>
      </c>
      <c r="S1232">
        <v>0</v>
      </c>
      <c r="T1232">
        <v>4</v>
      </c>
      <c r="U1232">
        <v>2</v>
      </c>
      <c r="V1232">
        <v>12</v>
      </c>
      <c r="W1232">
        <v>7</v>
      </c>
      <c r="X1232">
        <v>6</v>
      </c>
      <c r="Y1232">
        <v>8</v>
      </c>
      <c r="Z1232">
        <v>1</v>
      </c>
      <c r="AA1232">
        <v>4</v>
      </c>
      <c r="AB1232">
        <v>1</v>
      </c>
      <c r="AC1232">
        <v>1</v>
      </c>
      <c r="AD1232">
        <v>16</v>
      </c>
      <c r="AE1232">
        <v>8</v>
      </c>
      <c r="AF1232">
        <v>9</v>
      </c>
      <c r="AG1232">
        <v>5</v>
      </c>
      <c r="AH1232">
        <v>-1</v>
      </c>
      <c r="AI1232">
        <v>0</v>
      </c>
    </row>
    <row r="1233" spans="1:35" hidden="1" x14ac:dyDescent="0.25">
      <c r="A1233">
        <v>2021</v>
      </c>
      <c r="B1233" s="1">
        <v>44444</v>
      </c>
      <c r="C1233">
        <v>19</v>
      </c>
      <c r="D1233">
        <v>0</v>
      </c>
      <c r="E1233">
        <v>42372</v>
      </c>
      <c r="F1233" t="s">
        <v>69</v>
      </c>
      <c r="G1233" t="s">
        <v>391</v>
      </c>
      <c r="H1233" t="s">
        <v>90</v>
      </c>
      <c r="I1233" t="s">
        <v>397</v>
      </c>
      <c r="J1233">
        <v>8</v>
      </c>
      <c r="K1233">
        <v>19</v>
      </c>
      <c r="L1233">
        <v>23750000</v>
      </c>
      <c r="M1233">
        <v>6400000</v>
      </c>
      <c r="N1233" t="s">
        <v>332</v>
      </c>
      <c r="O1233" t="s">
        <v>66</v>
      </c>
      <c r="P1233">
        <v>0</v>
      </c>
      <c r="Q1233">
        <v>0</v>
      </c>
      <c r="R1233">
        <v>0</v>
      </c>
      <c r="S1233">
        <v>0</v>
      </c>
      <c r="T1233">
        <v>9</v>
      </c>
      <c r="U1233">
        <v>7</v>
      </c>
      <c r="V1233">
        <v>10</v>
      </c>
      <c r="W1233">
        <v>9</v>
      </c>
      <c r="X1233">
        <v>9</v>
      </c>
      <c r="Y1233">
        <v>10</v>
      </c>
      <c r="Z1233">
        <v>2</v>
      </c>
      <c r="AA1233">
        <v>3</v>
      </c>
      <c r="AB1233">
        <v>2</v>
      </c>
      <c r="AC1233">
        <v>3</v>
      </c>
      <c r="AD1233">
        <v>16</v>
      </c>
      <c r="AE1233">
        <v>9</v>
      </c>
      <c r="AF1233">
        <v>8</v>
      </c>
      <c r="AG1233">
        <v>6</v>
      </c>
      <c r="AH1233">
        <v>0</v>
      </c>
      <c r="AI1233">
        <v>0</v>
      </c>
    </row>
    <row r="1234" spans="1:35" hidden="1" x14ac:dyDescent="0.25">
      <c r="A1234">
        <v>2021</v>
      </c>
      <c r="B1234" s="1">
        <v>44457</v>
      </c>
      <c r="C1234">
        <v>21</v>
      </c>
      <c r="D1234">
        <v>0</v>
      </c>
      <c r="E1234">
        <v>42372</v>
      </c>
      <c r="F1234" t="s">
        <v>69</v>
      </c>
      <c r="G1234" t="s">
        <v>44</v>
      </c>
      <c r="H1234" t="s">
        <v>90</v>
      </c>
      <c r="I1234" t="s">
        <v>368</v>
      </c>
      <c r="J1234">
        <v>11</v>
      </c>
      <c r="K1234">
        <v>14</v>
      </c>
      <c r="L1234">
        <v>25200000</v>
      </c>
      <c r="M1234">
        <v>7300000</v>
      </c>
      <c r="N1234" t="s">
        <v>202</v>
      </c>
      <c r="O1234" t="s">
        <v>120</v>
      </c>
      <c r="P1234">
        <v>2</v>
      </c>
      <c r="Q1234">
        <v>1</v>
      </c>
      <c r="R1234">
        <v>0</v>
      </c>
      <c r="S1234">
        <v>0</v>
      </c>
      <c r="T1234">
        <v>9</v>
      </c>
      <c r="U1234">
        <v>3</v>
      </c>
      <c r="V1234">
        <v>18</v>
      </c>
      <c r="W1234">
        <v>7</v>
      </c>
      <c r="X1234">
        <v>6</v>
      </c>
      <c r="Y1234">
        <v>18</v>
      </c>
      <c r="Z1234">
        <v>2</v>
      </c>
      <c r="AA1234">
        <v>4</v>
      </c>
      <c r="AB1234">
        <v>0</v>
      </c>
      <c r="AC1234">
        <v>0</v>
      </c>
      <c r="AD1234">
        <v>27</v>
      </c>
      <c r="AE1234">
        <v>15</v>
      </c>
      <c r="AF1234">
        <v>15</v>
      </c>
      <c r="AG1234">
        <v>9</v>
      </c>
      <c r="AH1234">
        <v>1</v>
      </c>
      <c r="AI1234">
        <v>1</v>
      </c>
    </row>
    <row r="1235" spans="1:35" hidden="1" x14ac:dyDescent="0.25">
      <c r="A1235">
        <v>2021</v>
      </c>
      <c r="B1235" s="1">
        <v>44465</v>
      </c>
      <c r="C1235">
        <v>22</v>
      </c>
      <c r="D1235">
        <v>0</v>
      </c>
      <c r="E1235">
        <v>42372</v>
      </c>
      <c r="F1235" t="s">
        <v>69</v>
      </c>
      <c r="G1235" t="s">
        <v>83</v>
      </c>
      <c r="H1235" t="s">
        <v>410</v>
      </c>
      <c r="I1235" t="s">
        <v>336</v>
      </c>
      <c r="J1235">
        <v>9</v>
      </c>
      <c r="K1235">
        <v>15</v>
      </c>
      <c r="L1235">
        <v>20300000</v>
      </c>
      <c r="M1235">
        <v>40800000</v>
      </c>
      <c r="N1235" t="s">
        <v>122</v>
      </c>
      <c r="O1235" t="s">
        <v>149</v>
      </c>
      <c r="P1235">
        <v>4</v>
      </c>
      <c r="Q1235">
        <v>2</v>
      </c>
      <c r="R1235">
        <v>2</v>
      </c>
      <c r="S1235">
        <v>0</v>
      </c>
      <c r="T1235">
        <v>3</v>
      </c>
      <c r="U1235">
        <v>7</v>
      </c>
      <c r="V1235">
        <v>17</v>
      </c>
      <c r="W1235">
        <v>18</v>
      </c>
      <c r="X1235">
        <v>17</v>
      </c>
      <c r="Y1235">
        <v>16</v>
      </c>
      <c r="Z1235">
        <v>5</v>
      </c>
      <c r="AA1235">
        <v>1</v>
      </c>
      <c r="AB1235">
        <v>0</v>
      </c>
      <c r="AC1235">
        <v>0</v>
      </c>
      <c r="AD1235">
        <v>16</v>
      </c>
      <c r="AE1235">
        <v>15</v>
      </c>
      <c r="AF1235">
        <v>7</v>
      </c>
      <c r="AG1235">
        <v>5</v>
      </c>
      <c r="AH1235">
        <v>2</v>
      </c>
      <c r="AI1235">
        <v>1</v>
      </c>
    </row>
    <row r="1236" spans="1:35" hidden="1" x14ac:dyDescent="0.25">
      <c r="A1236">
        <v>2021</v>
      </c>
      <c r="B1236" s="1">
        <v>44479</v>
      </c>
      <c r="C1236">
        <v>25</v>
      </c>
      <c r="D1236">
        <v>3340</v>
      </c>
      <c r="E1236">
        <v>42372</v>
      </c>
      <c r="F1236" t="s">
        <v>69</v>
      </c>
      <c r="G1236" t="s">
        <v>38</v>
      </c>
      <c r="H1236" t="s">
        <v>378</v>
      </c>
      <c r="I1236" t="s">
        <v>340</v>
      </c>
      <c r="J1236">
        <v>7</v>
      </c>
      <c r="K1236">
        <v>18</v>
      </c>
      <c r="L1236">
        <v>18150000</v>
      </c>
      <c r="M1236">
        <v>8950000</v>
      </c>
      <c r="N1236">
        <v>27</v>
      </c>
      <c r="O1236" t="s">
        <v>209</v>
      </c>
      <c r="P1236">
        <v>0</v>
      </c>
      <c r="Q1236">
        <v>2</v>
      </c>
      <c r="R1236">
        <v>0</v>
      </c>
      <c r="S1236">
        <v>1</v>
      </c>
      <c r="T1236">
        <v>5</v>
      </c>
      <c r="U1236">
        <v>2</v>
      </c>
      <c r="V1236">
        <v>14</v>
      </c>
      <c r="W1236">
        <v>9</v>
      </c>
      <c r="X1236">
        <v>8</v>
      </c>
      <c r="Y1236">
        <v>13</v>
      </c>
      <c r="Z1236">
        <v>2</v>
      </c>
      <c r="AA1236">
        <v>3</v>
      </c>
      <c r="AB1236">
        <v>1</v>
      </c>
      <c r="AC1236">
        <v>0</v>
      </c>
      <c r="AD1236">
        <v>16</v>
      </c>
      <c r="AE1236">
        <v>8</v>
      </c>
      <c r="AF1236">
        <v>11</v>
      </c>
      <c r="AG1236">
        <v>1</v>
      </c>
      <c r="AH1236">
        <v>-2</v>
      </c>
      <c r="AI1236">
        <v>0</v>
      </c>
    </row>
    <row r="1237" spans="1:35" hidden="1" x14ac:dyDescent="0.25">
      <c r="A1237">
        <v>2021</v>
      </c>
      <c r="B1237" s="1">
        <v>44486</v>
      </c>
      <c r="C1237">
        <v>27</v>
      </c>
      <c r="D1237">
        <v>1486</v>
      </c>
      <c r="E1237">
        <v>42372</v>
      </c>
      <c r="F1237" t="s">
        <v>69</v>
      </c>
      <c r="G1237" t="s">
        <v>55</v>
      </c>
      <c r="H1237" t="s">
        <v>378</v>
      </c>
      <c r="I1237" t="s">
        <v>223</v>
      </c>
      <c r="J1237">
        <v>8</v>
      </c>
      <c r="K1237">
        <v>10</v>
      </c>
      <c r="L1237">
        <v>21550000</v>
      </c>
      <c r="M1237">
        <v>20850000</v>
      </c>
      <c r="N1237" t="s">
        <v>113</v>
      </c>
      <c r="O1237">
        <v>25</v>
      </c>
      <c r="P1237">
        <v>0</v>
      </c>
      <c r="Q1237">
        <v>1</v>
      </c>
      <c r="R1237">
        <v>0</v>
      </c>
      <c r="S1237">
        <v>1</v>
      </c>
      <c r="T1237">
        <v>6</v>
      </c>
      <c r="U1237">
        <v>1</v>
      </c>
      <c r="V1237">
        <v>22</v>
      </c>
      <c r="W1237">
        <v>15</v>
      </c>
      <c r="X1237">
        <v>14</v>
      </c>
      <c r="Y1237">
        <v>22</v>
      </c>
      <c r="Z1237">
        <v>2</v>
      </c>
      <c r="AA1237">
        <v>6</v>
      </c>
      <c r="AB1237">
        <v>0</v>
      </c>
      <c r="AC1237">
        <v>1</v>
      </c>
      <c r="AD1237">
        <v>16</v>
      </c>
      <c r="AE1237">
        <v>6</v>
      </c>
      <c r="AF1237">
        <v>6</v>
      </c>
      <c r="AG1237">
        <v>3</v>
      </c>
      <c r="AH1237">
        <v>-1</v>
      </c>
      <c r="AI1237">
        <v>0</v>
      </c>
    </row>
    <row r="1238" spans="1:35" hidden="1" x14ac:dyDescent="0.25">
      <c r="A1238">
        <v>2021</v>
      </c>
      <c r="B1238" s="1">
        <v>44499</v>
      </c>
      <c r="C1238">
        <v>29</v>
      </c>
      <c r="D1238">
        <v>7196</v>
      </c>
      <c r="E1238">
        <v>42372</v>
      </c>
      <c r="F1238" t="s">
        <v>69</v>
      </c>
      <c r="G1238" t="s">
        <v>326</v>
      </c>
      <c r="H1238" t="s">
        <v>378</v>
      </c>
      <c r="I1238" t="s">
        <v>379</v>
      </c>
      <c r="J1238">
        <v>10</v>
      </c>
      <c r="K1238">
        <v>16</v>
      </c>
      <c r="L1238">
        <v>27350000</v>
      </c>
      <c r="M1238">
        <v>22050000</v>
      </c>
      <c r="N1238" t="s">
        <v>233</v>
      </c>
      <c r="O1238" t="s">
        <v>332</v>
      </c>
      <c r="P1238">
        <v>0</v>
      </c>
      <c r="Q1238">
        <v>1</v>
      </c>
      <c r="R1238">
        <v>0</v>
      </c>
      <c r="S1238">
        <v>0</v>
      </c>
      <c r="T1238">
        <v>8</v>
      </c>
      <c r="U1238">
        <v>2</v>
      </c>
      <c r="V1238">
        <v>11</v>
      </c>
      <c r="W1238">
        <v>9</v>
      </c>
      <c r="X1238">
        <v>9</v>
      </c>
      <c r="Y1238">
        <v>10</v>
      </c>
      <c r="Z1238">
        <v>1</v>
      </c>
      <c r="AA1238">
        <v>6</v>
      </c>
      <c r="AB1238">
        <v>0</v>
      </c>
      <c r="AC1238">
        <v>1</v>
      </c>
      <c r="AD1238">
        <v>29</v>
      </c>
      <c r="AE1238">
        <v>10</v>
      </c>
      <c r="AF1238">
        <v>13</v>
      </c>
      <c r="AG1238">
        <v>6</v>
      </c>
      <c r="AH1238">
        <v>-1</v>
      </c>
      <c r="AI1238">
        <v>0</v>
      </c>
    </row>
    <row r="1239" spans="1:35" hidden="1" x14ac:dyDescent="0.25">
      <c r="A1239">
        <v>2021</v>
      </c>
      <c r="B1239" s="1">
        <v>44510</v>
      </c>
      <c r="C1239">
        <v>31</v>
      </c>
      <c r="D1239">
        <v>10792</v>
      </c>
      <c r="E1239">
        <v>42372</v>
      </c>
      <c r="F1239" t="s">
        <v>69</v>
      </c>
      <c r="G1239" t="s">
        <v>361</v>
      </c>
      <c r="H1239" t="s">
        <v>378</v>
      </c>
      <c r="I1239" t="s">
        <v>333</v>
      </c>
      <c r="J1239">
        <v>10</v>
      </c>
      <c r="K1239">
        <v>9</v>
      </c>
      <c r="L1239">
        <v>29000000</v>
      </c>
      <c r="M1239">
        <v>8580000</v>
      </c>
      <c r="N1239" t="s">
        <v>239</v>
      </c>
      <c r="O1239" t="s">
        <v>123</v>
      </c>
      <c r="P1239">
        <v>2</v>
      </c>
      <c r="Q1239">
        <v>1</v>
      </c>
      <c r="R1239">
        <v>1</v>
      </c>
      <c r="S1239">
        <v>0</v>
      </c>
      <c r="T1239">
        <v>6</v>
      </c>
      <c r="U1239">
        <v>3</v>
      </c>
      <c r="V1239">
        <v>9</v>
      </c>
      <c r="W1239">
        <v>10</v>
      </c>
      <c r="X1239">
        <v>10</v>
      </c>
      <c r="Y1239">
        <v>9</v>
      </c>
      <c r="Z1239">
        <v>3</v>
      </c>
      <c r="AA1239">
        <v>2</v>
      </c>
      <c r="AB1239">
        <v>0</v>
      </c>
      <c r="AC1239">
        <v>2</v>
      </c>
      <c r="AD1239">
        <v>13</v>
      </c>
      <c r="AE1239">
        <v>14</v>
      </c>
      <c r="AF1239">
        <v>7</v>
      </c>
      <c r="AG1239">
        <v>4</v>
      </c>
      <c r="AH1239">
        <v>1</v>
      </c>
      <c r="AI1239">
        <v>1</v>
      </c>
    </row>
    <row r="1240" spans="1:35" hidden="1" x14ac:dyDescent="0.25">
      <c r="A1240">
        <v>2021</v>
      </c>
      <c r="B1240" s="1">
        <v>44516</v>
      </c>
      <c r="C1240">
        <v>33</v>
      </c>
      <c r="D1240">
        <v>6233</v>
      </c>
      <c r="E1240">
        <v>42372</v>
      </c>
      <c r="F1240" t="s">
        <v>69</v>
      </c>
      <c r="G1240" t="s">
        <v>89</v>
      </c>
      <c r="H1240" t="s">
        <v>378</v>
      </c>
      <c r="I1240" t="s">
        <v>71</v>
      </c>
      <c r="J1240">
        <v>11</v>
      </c>
      <c r="K1240">
        <v>1</v>
      </c>
      <c r="L1240">
        <v>17400000</v>
      </c>
      <c r="M1240">
        <v>42100000</v>
      </c>
      <c r="N1240" t="s">
        <v>352</v>
      </c>
      <c r="O1240" t="s">
        <v>235</v>
      </c>
      <c r="P1240">
        <v>0</v>
      </c>
      <c r="Q1240">
        <v>1</v>
      </c>
      <c r="R1240">
        <v>0</v>
      </c>
      <c r="S1240">
        <v>1</v>
      </c>
      <c r="T1240">
        <v>3</v>
      </c>
      <c r="U1240">
        <v>6</v>
      </c>
      <c r="V1240">
        <v>15</v>
      </c>
      <c r="W1240">
        <v>14</v>
      </c>
      <c r="X1240">
        <v>14</v>
      </c>
      <c r="Y1240">
        <v>15</v>
      </c>
      <c r="Z1240">
        <v>1</v>
      </c>
      <c r="AA1240">
        <v>1</v>
      </c>
      <c r="AB1240">
        <v>0</v>
      </c>
      <c r="AC1240">
        <v>1</v>
      </c>
      <c r="AD1240">
        <v>8</v>
      </c>
      <c r="AE1240">
        <v>9</v>
      </c>
      <c r="AF1240">
        <v>6</v>
      </c>
      <c r="AG1240">
        <v>4</v>
      </c>
      <c r="AH1240">
        <v>-1</v>
      </c>
      <c r="AI1240">
        <v>0</v>
      </c>
    </row>
    <row r="1241" spans="1:35" hidden="1" x14ac:dyDescent="0.25">
      <c r="A1241">
        <v>2021</v>
      </c>
      <c r="B1241" s="1">
        <v>44533</v>
      </c>
      <c r="C1241">
        <v>35</v>
      </c>
      <c r="D1241">
        <v>18795</v>
      </c>
      <c r="E1241">
        <v>42372</v>
      </c>
      <c r="F1241" t="s">
        <v>69</v>
      </c>
      <c r="G1241" t="s">
        <v>70</v>
      </c>
      <c r="J1241">
        <v>12</v>
      </c>
      <c r="K1241">
        <v>11</v>
      </c>
      <c r="L1241">
        <v>26000000</v>
      </c>
      <c r="M1241">
        <v>6300000</v>
      </c>
      <c r="N1241" t="s">
        <v>163</v>
      </c>
      <c r="O1241" t="s">
        <v>134</v>
      </c>
      <c r="P1241">
        <v>1</v>
      </c>
      <c r="Q1241">
        <v>0</v>
      </c>
      <c r="R1241">
        <v>0</v>
      </c>
      <c r="S1241">
        <v>0</v>
      </c>
      <c r="T1241">
        <v>8</v>
      </c>
      <c r="U1241">
        <v>2</v>
      </c>
      <c r="V1241">
        <v>15</v>
      </c>
      <c r="W1241">
        <v>14</v>
      </c>
      <c r="X1241">
        <v>14</v>
      </c>
      <c r="Y1241">
        <v>13</v>
      </c>
      <c r="Z1241">
        <v>1</v>
      </c>
      <c r="AA1241">
        <v>2</v>
      </c>
      <c r="AB1241">
        <v>1</v>
      </c>
      <c r="AC1241">
        <v>2</v>
      </c>
      <c r="AD1241">
        <v>19</v>
      </c>
      <c r="AE1241">
        <v>8</v>
      </c>
      <c r="AF1241">
        <v>12</v>
      </c>
      <c r="AG1241">
        <v>5</v>
      </c>
      <c r="AH1241">
        <v>1</v>
      </c>
      <c r="AI1241">
        <v>1</v>
      </c>
    </row>
    <row r="1242" spans="1:35" hidden="1" x14ac:dyDescent="0.25">
      <c r="A1242">
        <v>2021</v>
      </c>
      <c r="B1242" s="1">
        <v>44536</v>
      </c>
      <c r="C1242">
        <v>37</v>
      </c>
      <c r="D1242">
        <v>19308</v>
      </c>
      <c r="E1242">
        <v>42372</v>
      </c>
      <c r="F1242" t="s">
        <v>69</v>
      </c>
      <c r="G1242" t="s">
        <v>95</v>
      </c>
      <c r="H1242" t="s">
        <v>378</v>
      </c>
      <c r="I1242" t="s">
        <v>97</v>
      </c>
      <c r="J1242">
        <v>13</v>
      </c>
      <c r="K1242">
        <v>3</v>
      </c>
      <c r="L1242">
        <v>23000000</v>
      </c>
      <c r="M1242">
        <v>7650000</v>
      </c>
      <c r="N1242">
        <v>27</v>
      </c>
      <c r="O1242" t="s">
        <v>411</v>
      </c>
      <c r="P1242">
        <v>0</v>
      </c>
      <c r="Q1242">
        <v>0</v>
      </c>
      <c r="R1242">
        <v>0</v>
      </c>
      <c r="S1242">
        <v>0</v>
      </c>
      <c r="T1242">
        <v>8</v>
      </c>
      <c r="U1242">
        <v>1</v>
      </c>
      <c r="V1242">
        <v>11</v>
      </c>
      <c r="W1242">
        <v>10</v>
      </c>
      <c r="X1242">
        <v>9</v>
      </c>
      <c r="Y1242">
        <v>9</v>
      </c>
      <c r="Z1242">
        <v>0</v>
      </c>
      <c r="AA1242">
        <v>3</v>
      </c>
      <c r="AB1242">
        <v>4</v>
      </c>
      <c r="AC1242">
        <v>0</v>
      </c>
      <c r="AD1242">
        <v>22</v>
      </c>
      <c r="AE1242">
        <v>4</v>
      </c>
      <c r="AF1242">
        <v>10</v>
      </c>
      <c r="AG1242">
        <v>2</v>
      </c>
      <c r="AH1242">
        <v>0</v>
      </c>
      <c r="AI1242">
        <v>0</v>
      </c>
    </row>
    <row r="1243" spans="1:35" hidden="1" x14ac:dyDescent="0.25">
      <c r="A1243">
        <v>2021</v>
      </c>
      <c r="B1243" s="1">
        <v>44353</v>
      </c>
      <c r="C1243">
        <v>2</v>
      </c>
      <c r="D1243">
        <v>0</v>
      </c>
      <c r="E1243">
        <v>13000</v>
      </c>
      <c r="F1243" t="s">
        <v>76</v>
      </c>
      <c r="G1243" t="s">
        <v>62</v>
      </c>
      <c r="H1243" t="s">
        <v>367</v>
      </c>
      <c r="I1243" t="s">
        <v>390</v>
      </c>
      <c r="J1243">
        <v>6</v>
      </c>
      <c r="K1243">
        <v>13</v>
      </c>
      <c r="L1243">
        <v>9830000</v>
      </c>
      <c r="M1243">
        <v>30000000</v>
      </c>
      <c r="N1243" t="s">
        <v>120</v>
      </c>
      <c r="O1243" t="s">
        <v>98</v>
      </c>
      <c r="P1243">
        <v>2</v>
      </c>
      <c r="Q1243">
        <v>0</v>
      </c>
      <c r="R1243">
        <v>1</v>
      </c>
      <c r="S1243">
        <v>0</v>
      </c>
      <c r="T1243">
        <v>3</v>
      </c>
      <c r="U1243">
        <v>12</v>
      </c>
      <c r="V1243">
        <v>16</v>
      </c>
      <c r="W1243">
        <v>14</v>
      </c>
      <c r="X1243">
        <v>14</v>
      </c>
      <c r="Y1243">
        <v>16</v>
      </c>
      <c r="Z1243">
        <v>3</v>
      </c>
      <c r="AA1243">
        <v>2</v>
      </c>
      <c r="AB1243">
        <v>1</v>
      </c>
      <c r="AC1243">
        <v>1</v>
      </c>
      <c r="AD1243">
        <v>9</v>
      </c>
      <c r="AE1243">
        <v>13</v>
      </c>
      <c r="AF1243">
        <v>2</v>
      </c>
      <c r="AG1243">
        <v>5</v>
      </c>
      <c r="AH1243">
        <v>2</v>
      </c>
      <c r="AI1243">
        <v>1</v>
      </c>
    </row>
    <row r="1244" spans="1:35" hidden="1" x14ac:dyDescent="0.25">
      <c r="A1244">
        <v>2021</v>
      </c>
      <c r="B1244" s="1">
        <v>44365</v>
      </c>
      <c r="C1244">
        <v>4</v>
      </c>
      <c r="D1244">
        <v>0</v>
      </c>
      <c r="E1244">
        <v>13000</v>
      </c>
      <c r="F1244" t="s">
        <v>76</v>
      </c>
      <c r="G1244" t="s">
        <v>63</v>
      </c>
      <c r="H1244" t="s">
        <v>367</v>
      </c>
      <c r="I1244" t="s">
        <v>65</v>
      </c>
      <c r="J1244">
        <v>4</v>
      </c>
      <c r="K1244">
        <v>1</v>
      </c>
      <c r="L1244">
        <v>9380000</v>
      </c>
      <c r="M1244">
        <v>10950000</v>
      </c>
      <c r="N1244" t="s">
        <v>114</v>
      </c>
      <c r="O1244" t="s">
        <v>174</v>
      </c>
      <c r="P1244">
        <v>0</v>
      </c>
      <c r="Q1244">
        <v>0</v>
      </c>
      <c r="R1244">
        <v>0</v>
      </c>
      <c r="S1244">
        <v>0</v>
      </c>
      <c r="T1244">
        <v>9</v>
      </c>
      <c r="U1244">
        <v>4</v>
      </c>
      <c r="V1244">
        <v>18</v>
      </c>
      <c r="W1244">
        <v>13</v>
      </c>
      <c r="X1244">
        <v>13</v>
      </c>
      <c r="Y1244">
        <v>16</v>
      </c>
      <c r="Z1244">
        <v>1</v>
      </c>
      <c r="AA1244">
        <v>1</v>
      </c>
      <c r="AB1244">
        <v>0</v>
      </c>
      <c r="AC1244">
        <v>6</v>
      </c>
      <c r="AD1244">
        <v>9</v>
      </c>
      <c r="AE1244">
        <v>5</v>
      </c>
      <c r="AF1244">
        <v>3</v>
      </c>
      <c r="AG1244">
        <v>3</v>
      </c>
      <c r="AH1244">
        <v>0</v>
      </c>
      <c r="AI1244">
        <v>0</v>
      </c>
    </row>
    <row r="1245" spans="1:35" hidden="1" x14ac:dyDescent="0.25">
      <c r="A1245">
        <v>2021</v>
      </c>
      <c r="B1245" s="1">
        <v>44371</v>
      </c>
      <c r="C1245">
        <v>6</v>
      </c>
      <c r="D1245">
        <v>0</v>
      </c>
      <c r="E1245">
        <v>13000</v>
      </c>
      <c r="F1245" t="s">
        <v>76</v>
      </c>
      <c r="G1245" t="s">
        <v>55</v>
      </c>
      <c r="H1245" t="s">
        <v>367</v>
      </c>
      <c r="I1245" t="s">
        <v>46</v>
      </c>
      <c r="J1245">
        <v>9</v>
      </c>
      <c r="K1245">
        <v>6</v>
      </c>
      <c r="L1245">
        <v>9830000</v>
      </c>
      <c r="M1245">
        <v>31750000</v>
      </c>
      <c r="N1245" t="s">
        <v>120</v>
      </c>
      <c r="O1245" t="s">
        <v>149</v>
      </c>
      <c r="P1245">
        <v>1</v>
      </c>
      <c r="Q1245">
        <v>0</v>
      </c>
      <c r="R1245">
        <v>0</v>
      </c>
      <c r="S1245">
        <v>0</v>
      </c>
      <c r="T1245">
        <v>6</v>
      </c>
      <c r="U1245">
        <v>5</v>
      </c>
      <c r="V1245">
        <v>22</v>
      </c>
      <c r="W1245">
        <v>17</v>
      </c>
      <c r="X1245">
        <v>15</v>
      </c>
      <c r="Y1245">
        <v>21</v>
      </c>
      <c r="Z1245">
        <v>2</v>
      </c>
      <c r="AA1245">
        <v>1</v>
      </c>
      <c r="AB1245">
        <v>0</v>
      </c>
      <c r="AC1245">
        <v>4</v>
      </c>
      <c r="AD1245">
        <v>9</v>
      </c>
      <c r="AE1245">
        <v>3</v>
      </c>
      <c r="AF1245">
        <v>6</v>
      </c>
      <c r="AG1245">
        <v>1</v>
      </c>
      <c r="AH1245">
        <v>1</v>
      </c>
      <c r="AI1245">
        <v>1</v>
      </c>
    </row>
    <row r="1246" spans="1:35" hidden="1" x14ac:dyDescent="0.25">
      <c r="A1246">
        <v>2021</v>
      </c>
      <c r="B1246" s="1">
        <v>44376</v>
      </c>
      <c r="C1246">
        <v>7</v>
      </c>
      <c r="D1246">
        <v>0</v>
      </c>
      <c r="E1246">
        <v>13000</v>
      </c>
      <c r="F1246" t="s">
        <v>76</v>
      </c>
      <c r="G1246" t="s">
        <v>56</v>
      </c>
      <c r="H1246" t="s">
        <v>367</v>
      </c>
      <c r="I1246" t="s">
        <v>341</v>
      </c>
      <c r="J1246">
        <v>7</v>
      </c>
      <c r="K1246">
        <v>1</v>
      </c>
      <c r="L1246">
        <v>10980000</v>
      </c>
      <c r="M1246">
        <v>33950000</v>
      </c>
      <c r="N1246" t="s">
        <v>117</v>
      </c>
      <c r="O1246" t="s">
        <v>221</v>
      </c>
      <c r="P1246">
        <v>0</v>
      </c>
      <c r="Q1246">
        <v>1</v>
      </c>
      <c r="R1246">
        <v>0</v>
      </c>
      <c r="S1246">
        <v>0</v>
      </c>
      <c r="T1246">
        <v>5</v>
      </c>
      <c r="U1246">
        <v>8</v>
      </c>
      <c r="V1246">
        <v>24</v>
      </c>
      <c r="W1246">
        <v>16</v>
      </c>
      <c r="X1246">
        <v>16</v>
      </c>
      <c r="Y1246">
        <v>23</v>
      </c>
      <c r="Z1246">
        <v>4</v>
      </c>
      <c r="AA1246">
        <v>2</v>
      </c>
      <c r="AB1246">
        <v>1</v>
      </c>
      <c r="AC1246">
        <v>0</v>
      </c>
      <c r="AD1246">
        <v>12</v>
      </c>
      <c r="AE1246">
        <v>12</v>
      </c>
      <c r="AF1246">
        <v>6</v>
      </c>
      <c r="AG1246">
        <v>3</v>
      </c>
      <c r="AH1246">
        <v>-1</v>
      </c>
      <c r="AI1246">
        <v>0</v>
      </c>
    </row>
    <row r="1247" spans="1:35" hidden="1" x14ac:dyDescent="0.25">
      <c r="A1247">
        <v>2021</v>
      </c>
      <c r="B1247" s="1">
        <v>44385</v>
      </c>
      <c r="C1247">
        <v>10</v>
      </c>
      <c r="D1247">
        <v>0</v>
      </c>
      <c r="E1247">
        <v>13000</v>
      </c>
      <c r="F1247" t="s">
        <v>76</v>
      </c>
      <c r="G1247" t="s">
        <v>391</v>
      </c>
      <c r="H1247" t="s">
        <v>367</v>
      </c>
      <c r="I1247" t="s">
        <v>238</v>
      </c>
      <c r="J1247">
        <v>8</v>
      </c>
      <c r="K1247">
        <v>17</v>
      </c>
      <c r="L1247">
        <v>8550000</v>
      </c>
      <c r="M1247">
        <v>7500000</v>
      </c>
      <c r="N1247">
        <v>26</v>
      </c>
      <c r="O1247" t="s">
        <v>135</v>
      </c>
      <c r="P1247">
        <v>1</v>
      </c>
      <c r="Q1247">
        <v>1</v>
      </c>
      <c r="R1247">
        <v>0</v>
      </c>
      <c r="S1247">
        <v>0</v>
      </c>
      <c r="T1247">
        <v>4</v>
      </c>
      <c r="U1247">
        <v>7</v>
      </c>
      <c r="V1247">
        <v>16</v>
      </c>
      <c r="W1247">
        <v>9</v>
      </c>
      <c r="X1247">
        <v>9</v>
      </c>
      <c r="Y1247">
        <v>15</v>
      </c>
      <c r="Z1247">
        <v>2</v>
      </c>
      <c r="AA1247">
        <v>3</v>
      </c>
      <c r="AB1247">
        <v>0</v>
      </c>
      <c r="AC1247">
        <v>1</v>
      </c>
      <c r="AD1247">
        <v>13</v>
      </c>
      <c r="AE1247">
        <v>11</v>
      </c>
      <c r="AF1247">
        <v>6</v>
      </c>
      <c r="AG1247">
        <v>4</v>
      </c>
      <c r="AH1247">
        <v>0</v>
      </c>
      <c r="AI1247">
        <v>0</v>
      </c>
    </row>
    <row r="1248" spans="1:35" hidden="1" x14ac:dyDescent="0.25">
      <c r="A1248">
        <v>2021</v>
      </c>
      <c r="B1248" s="1">
        <v>44395</v>
      </c>
      <c r="C1248">
        <v>12</v>
      </c>
      <c r="D1248">
        <v>0</v>
      </c>
      <c r="E1248">
        <v>13000</v>
      </c>
      <c r="F1248" t="s">
        <v>76</v>
      </c>
      <c r="G1248" t="s">
        <v>95</v>
      </c>
      <c r="H1248" t="s">
        <v>367</v>
      </c>
      <c r="I1248" t="s">
        <v>97</v>
      </c>
      <c r="J1248">
        <v>10</v>
      </c>
      <c r="K1248">
        <v>1</v>
      </c>
      <c r="L1248">
        <v>9480000</v>
      </c>
      <c r="M1248">
        <v>55700000</v>
      </c>
      <c r="N1248" t="s">
        <v>252</v>
      </c>
      <c r="O1248" t="s">
        <v>107</v>
      </c>
      <c r="P1248">
        <v>0</v>
      </c>
      <c r="Q1248">
        <v>3</v>
      </c>
      <c r="R1248">
        <v>0</v>
      </c>
      <c r="S1248">
        <v>0</v>
      </c>
      <c r="T1248">
        <v>4</v>
      </c>
      <c r="U1248">
        <v>6</v>
      </c>
      <c r="V1248">
        <v>8</v>
      </c>
      <c r="W1248">
        <v>16</v>
      </c>
      <c r="X1248">
        <v>16</v>
      </c>
      <c r="Y1248">
        <v>8</v>
      </c>
      <c r="Z1248">
        <v>5</v>
      </c>
      <c r="AA1248">
        <v>1</v>
      </c>
      <c r="AB1248">
        <v>4</v>
      </c>
      <c r="AC1248">
        <v>3</v>
      </c>
      <c r="AD1248">
        <v>11</v>
      </c>
      <c r="AE1248">
        <v>15</v>
      </c>
      <c r="AF1248">
        <v>4</v>
      </c>
      <c r="AG1248">
        <v>9</v>
      </c>
      <c r="AH1248">
        <v>-3</v>
      </c>
      <c r="AI1248">
        <v>0</v>
      </c>
    </row>
    <row r="1249" spans="1:35" hidden="1" x14ac:dyDescent="0.25">
      <c r="A1249">
        <v>2021</v>
      </c>
      <c r="B1249" s="1">
        <v>44429</v>
      </c>
      <c r="C1249">
        <v>17</v>
      </c>
      <c r="D1249">
        <v>0</v>
      </c>
      <c r="E1249">
        <v>13000</v>
      </c>
      <c r="F1249" t="s">
        <v>76</v>
      </c>
      <c r="G1249" t="s">
        <v>394</v>
      </c>
      <c r="H1249" t="s">
        <v>367</v>
      </c>
      <c r="I1249" t="s">
        <v>374</v>
      </c>
      <c r="J1249">
        <v>7</v>
      </c>
      <c r="K1249">
        <v>20</v>
      </c>
      <c r="L1249">
        <v>8530000</v>
      </c>
      <c r="M1249">
        <v>4030000</v>
      </c>
      <c r="N1249" t="s">
        <v>66</v>
      </c>
      <c r="O1249" t="s">
        <v>104</v>
      </c>
      <c r="P1249">
        <v>1</v>
      </c>
      <c r="Q1249">
        <v>1</v>
      </c>
      <c r="R1249">
        <v>0</v>
      </c>
      <c r="S1249">
        <v>1</v>
      </c>
      <c r="T1249">
        <v>6</v>
      </c>
      <c r="U1249">
        <v>1</v>
      </c>
      <c r="V1249">
        <v>12</v>
      </c>
      <c r="W1249">
        <v>24</v>
      </c>
      <c r="X1249">
        <v>20</v>
      </c>
      <c r="Y1249">
        <v>12</v>
      </c>
      <c r="Z1249">
        <v>1</v>
      </c>
      <c r="AA1249">
        <v>1</v>
      </c>
      <c r="AB1249">
        <v>1</v>
      </c>
      <c r="AC1249">
        <v>3</v>
      </c>
      <c r="AD1249">
        <v>16</v>
      </c>
      <c r="AE1249">
        <v>8</v>
      </c>
      <c r="AF1249">
        <v>9</v>
      </c>
      <c r="AG1249">
        <v>3</v>
      </c>
      <c r="AH1249">
        <v>0</v>
      </c>
      <c r="AI1249">
        <v>0</v>
      </c>
    </row>
    <row r="1250" spans="1:35" hidden="1" x14ac:dyDescent="0.25">
      <c r="A1250">
        <v>2021</v>
      </c>
      <c r="B1250" s="1">
        <v>44437</v>
      </c>
      <c r="C1250">
        <v>18</v>
      </c>
      <c r="D1250">
        <v>0</v>
      </c>
      <c r="E1250">
        <v>13000</v>
      </c>
      <c r="F1250" t="s">
        <v>76</v>
      </c>
      <c r="G1250" t="s">
        <v>37</v>
      </c>
      <c r="H1250" t="s">
        <v>367</v>
      </c>
      <c r="I1250" t="s">
        <v>342</v>
      </c>
      <c r="J1250">
        <v>8</v>
      </c>
      <c r="K1250">
        <v>10</v>
      </c>
      <c r="L1250">
        <v>6450000</v>
      </c>
      <c r="M1250">
        <v>34750000</v>
      </c>
      <c r="N1250" t="s">
        <v>66</v>
      </c>
      <c r="O1250" t="s">
        <v>122</v>
      </c>
      <c r="P1250">
        <v>0</v>
      </c>
      <c r="Q1250">
        <v>0</v>
      </c>
      <c r="R1250">
        <v>0</v>
      </c>
      <c r="S1250">
        <v>0</v>
      </c>
      <c r="T1250">
        <v>6</v>
      </c>
      <c r="U1250">
        <v>6</v>
      </c>
      <c r="V1250">
        <v>13</v>
      </c>
      <c r="W1250">
        <v>15</v>
      </c>
      <c r="X1250">
        <v>15</v>
      </c>
      <c r="Y1250">
        <v>13</v>
      </c>
      <c r="Z1250">
        <v>3</v>
      </c>
      <c r="AA1250">
        <v>2</v>
      </c>
      <c r="AB1250">
        <v>3</v>
      </c>
      <c r="AC1250">
        <v>1</v>
      </c>
      <c r="AD1250">
        <v>8</v>
      </c>
      <c r="AE1250">
        <v>7</v>
      </c>
      <c r="AF1250">
        <v>3</v>
      </c>
      <c r="AG1250">
        <v>3</v>
      </c>
      <c r="AH1250">
        <v>0</v>
      </c>
      <c r="AI1250">
        <v>0</v>
      </c>
    </row>
    <row r="1251" spans="1:35" hidden="1" x14ac:dyDescent="0.25">
      <c r="A1251">
        <v>2021</v>
      </c>
      <c r="B1251" s="1">
        <v>44451</v>
      </c>
      <c r="C1251">
        <v>20</v>
      </c>
      <c r="D1251">
        <v>0</v>
      </c>
      <c r="E1251">
        <v>13000</v>
      </c>
      <c r="F1251" t="s">
        <v>76</v>
      </c>
      <c r="G1251" t="s">
        <v>88</v>
      </c>
      <c r="H1251" t="s">
        <v>367</v>
      </c>
      <c r="I1251" t="s">
        <v>392</v>
      </c>
      <c r="J1251">
        <v>9</v>
      </c>
      <c r="K1251">
        <v>6</v>
      </c>
      <c r="L1251">
        <v>7230000</v>
      </c>
      <c r="M1251">
        <v>27050000</v>
      </c>
      <c r="N1251" t="s">
        <v>134</v>
      </c>
      <c r="O1251" t="s">
        <v>209</v>
      </c>
      <c r="P1251">
        <v>1</v>
      </c>
      <c r="Q1251">
        <v>1</v>
      </c>
      <c r="R1251">
        <v>0</v>
      </c>
      <c r="S1251">
        <v>0</v>
      </c>
      <c r="T1251">
        <v>4</v>
      </c>
      <c r="U1251">
        <v>5</v>
      </c>
      <c r="V1251">
        <v>10</v>
      </c>
      <c r="W1251">
        <v>10</v>
      </c>
      <c r="X1251">
        <v>9</v>
      </c>
      <c r="Y1251">
        <v>9</v>
      </c>
      <c r="Z1251">
        <v>1</v>
      </c>
      <c r="AA1251">
        <v>3</v>
      </c>
      <c r="AB1251">
        <v>2</v>
      </c>
      <c r="AC1251">
        <v>2</v>
      </c>
      <c r="AD1251">
        <v>11</v>
      </c>
      <c r="AE1251">
        <v>8</v>
      </c>
      <c r="AF1251">
        <v>4</v>
      </c>
      <c r="AG1251">
        <v>3</v>
      </c>
      <c r="AH1251">
        <v>0</v>
      </c>
      <c r="AI1251">
        <v>0</v>
      </c>
    </row>
    <row r="1252" spans="1:35" hidden="1" x14ac:dyDescent="0.25">
      <c r="A1252">
        <v>2021</v>
      </c>
      <c r="B1252" s="1">
        <v>44466</v>
      </c>
      <c r="C1252">
        <v>22</v>
      </c>
      <c r="D1252">
        <v>0</v>
      </c>
      <c r="E1252">
        <v>13000</v>
      </c>
      <c r="F1252" t="s">
        <v>76</v>
      </c>
      <c r="G1252" t="s">
        <v>70</v>
      </c>
      <c r="J1252">
        <v>12</v>
      </c>
      <c r="K1252">
        <v>10</v>
      </c>
      <c r="L1252">
        <v>6280000</v>
      </c>
      <c r="M1252">
        <v>9000000</v>
      </c>
      <c r="N1252" t="s">
        <v>114</v>
      </c>
      <c r="O1252" t="s">
        <v>193</v>
      </c>
      <c r="P1252">
        <v>0</v>
      </c>
      <c r="Q1252">
        <v>0</v>
      </c>
      <c r="R1252">
        <v>0</v>
      </c>
      <c r="S1252">
        <v>0</v>
      </c>
      <c r="T1252">
        <v>8</v>
      </c>
      <c r="U1252">
        <v>4</v>
      </c>
      <c r="V1252">
        <v>10</v>
      </c>
      <c r="W1252">
        <v>16</v>
      </c>
      <c r="X1252">
        <v>16</v>
      </c>
      <c r="Y1252">
        <v>10</v>
      </c>
      <c r="Z1252">
        <v>2</v>
      </c>
      <c r="AA1252">
        <v>3</v>
      </c>
      <c r="AB1252">
        <v>1</v>
      </c>
      <c r="AC1252">
        <v>2</v>
      </c>
      <c r="AD1252">
        <v>16</v>
      </c>
      <c r="AE1252">
        <v>6</v>
      </c>
      <c r="AF1252">
        <v>9</v>
      </c>
      <c r="AG1252">
        <v>2</v>
      </c>
      <c r="AH1252">
        <v>0</v>
      </c>
      <c r="AI1252">
        <v>0</v>
      </c>
    </row>
    <row r="1253" spans="1:35" hidden="1" x14ac:dyDescent="0.25">
      <c r="A1253">
        <v>2021</v>
      </c>
      <c r="B1253" s="1">
        <v>44476</v>
      </c>
      <c r="C1253">
        <v>24</v>
      </c>
      <c r="D1253">
        <v>1500</v>
      </c>
      <c r="E1253">
        <v>13000</v>
      </c>
      <c r="F1253" t="s">
        <v>76</v>
      </c>
      <c r="G1253" t="s">
        <v>69</v>
      </c>
      <c r="H1253" t="s">
        <v>375</v>
      </c>
      <c r="I1253" t="s">
        <v>378</v>
      </c>
      <c r="J1253">
        <v>10</v>
      </c>
      <c r="K1253">
        <v>9</v>
      </c>
      <c r="L1253">
        <v>7850000</v>
      </c>
      <c r="M1253">
        <v>24000000</v>
      </c>
      <c r="N1253" t="s">
        <v>135</v>
      </c>
      <c r="O1253" t="s">
        <v>217</v>
      </c>
      <c r="P1253">
        <v>0</v>
      </c>
      <c r="Q1253">
        <v>2</v>
      </c>
      <c r="R1253">
        <v>0</v>
      </c>
      <c r="S1253">
        <v>1</v>
      </c>
      <c r="T1253">
        <v>11</v>
      </c>
      <c r="U1253">
        <v>7</v>
      </c>
      <c r="V1253">
        <v>12</v>
      </c>
      <c r="W1253">
        <v>16</v>
      </c>
      <c r="X1253">
        <v>15</v>
      </c>
      <c r="Y1253">
        <v>11</v>
      </c>
      <c r="Z1253">
        <v>2</v>
      </c>
      <c r="AA1253">
        <v>4</v>
      </c>
      <c r="AB1253">
        <v>2</v>
      </c>
      <c r="AC1253">
        <v>1</v>
      </c>
      <c r="AD1253">
        <v>15</v>
      </c>
      <c r="AE1253">
        <v>12</v>
      </c>
      <c r="AF1253">
        <v>3</v>
      </c>
      <c r="AG1253">
        <v>0</v>
      </c>
      <c r="AH1253">
        <v>-2</v>
      </c>
      <c r="AI1253">
        <v>0</v>
      </c>
    </row>
    <row r="1254" spans="1:35" hidden="1" x14ac:dyDescent="0.25">
      <c r="A1254">
        <v>2021</v>
      </c>
      <c r="B1254" s="1">
        <v>44486</v>
      </c>
      <c r="C1254">
        <v>27</v>
      </c>
      <c r="D1254">
        <v>2963</v>
      </c>
      <c r="E1254">
        <v>13000</v>
      </c>
      <c r="F1254" t="s">
        <v>76</v>
      </c>
      <c r="G1254" t="s">
        <v>89</v>
      </c>
      <c r="H1254" t="s">
        <v>375</v>
      </c>
      <c r="I1254" t="s">
        <v>71</v>
      </c>
      <c r="J1254">
        <v>12</v>
      </c>
      <c r="K1254">
        <v>1</v>
      </c>
      <c r="L1254">
        <v>7330000</v>
      </c>
      <c r="M1254">
        <v>56000000</v>
      </c>
      <c r="N1254">
        <v>27</v>
      </c>
      <c r="O1254" t="s">
        <v>128</v>
      </c>
      <c r="P1254">
        <v>2</v>
      </c>
      <c r="Q1254">
        <v>1</v>
      </c>
      <c r="R1254">
        <v>0</v>
      </c>
      <c r="S1254">
        <v>0</v>
      </c>
      <c r="T1254">
        <v>3</v>
      </c>
      <c r="U1254">
        <v>8</v>
      </c>
      <c r="V1254">
        <v>8</v>
      </c>
      <c r="W1254">
        <v>7</v>
      </c>
      <c r="X1254">
        <v>6</v>
      </c>
      <c r="Y1254">
        <v>8</v>
      </c>
      <c r="Z1254">
        <v>2</v>
      </c>
      <c r="AA1254">
        <v>3</v>
      </c>
      <c r="AB1254">
        <v>1</v>
      </c>
      <c r="AC1254">
        <v>1</v>
      </c>
      <c r="AD1254">
        <v>9</v>
      </c>
      <c r="AE1254">
        <v>22</v>
      </c>
      <c r="AF1254">
        <v>3</v>
      </c>
      <c r="AG1254">
        <v>10</v>
      </c>
      <c r="AH1254">
        <v>1</v>
      </c>
      <c r="AI1254">
        <v>1</v>
      </c>
    </row>
    <row r="1255" spans="1:35" hidden="1" x14ac:dyDescent="0.25">
      <c r="A1255">
        <v>2021</v>
      </c>
      <c r="B1255" s="1">
        <v>44495</v>
      </c>
      <c r="C1255">
        <v>28</v>
      </c>
      <c r="D1255">
        <v>3852</v>
      </c>
      <c r="E1255">
        <v>13000</v>
      </c>
      <c r="F1255" t="s">
        <v>76</v>
      </c>
      <c r="G1255" t="s">
        <v>83</v>
      </c>
      <c r="H1255" t="s">
        <v>375</v>
      </c>
      <c r="I1255" t="s">
        <v>312</v>
      </c>
      <c r="J1255">
        <v>11</v>
      </c>
      <c r="K1255">
        <v>18</v>
      </c>
      <c r="L1255">
        <v>8230000</v>
      </c>
      <c r="M1255">
        <v>42150000</v>
      </c>
      <c r="N1255" t="s">
        <v>209</v>
      </c>
      <c r="O1255">
        <v>29</v>
      </c>
      <c r="P1255">
        <v>2</v>
      </c>
      <c r="Q1255">
        <v>0</v>
      </c>
      <c r="R1255">
        <v>1</v>
      </c>
      <c r="S1255">
        <v>0</v>
      </c>
      <c r="T1255">
        <v>3</v>
      </c>
      <c r="U1255">
        <v>11</v>
      </c>
      <c r="V1255">
        <v>11</v>
      </c>
      <c r="W1255">
        <v>17</v>
      </c>
      <c r="X1255">
        <v>17</v>
      </c>
      <c r="Y1255">
        <v>11</v>
      </c>
      <c r="Z1255">
        <v>5</v>
      </c>
      <c r="AA1255">
        <v>4</v>
      </c>
      <c r="AB1255">
        <v>0</v>
      </c>
      <c r="AC1255">
        <v>1</v>
      </c>
      <c r="AD1255">
        <v>11</v>
      </c>
      <c r="AE1255">
        <v>19</v>
      </c>
      <c r="AF1255">
        <v>3</v>
      </c>
      <c r="AG1255">
        <v>11</v>
      </c>
      <c r="AH1255">
        <v>2</v>
      </c>
      <c r="AI1255">
        <v>1</v>
      </c>
    </row>
    <row r="1256" spans="1:35" hidden="1" x14ac:dyDescent="0.25">
      <c r="A1256">
        <v>2021</v>
      </c>
      <c r="B1256" s="1">
        <v>44523</v>
      </c>
      <c r="C1256">
        <v>30</v>
      </c>
      <c r="D1256">
        <v>9051</v>
      </c>
      <c r="E1256">
        <v>13000</v>
      </c>
      <c r="F1256" t="s">
        <v>76</v>
      </c>
      <c r="G1256" t="s">
        <v>44</v>
      </c>
      <c r="H1256" t="s">
        <v>408</v>
      </c>
      <c r="I1256" t="s">
        <v>78</v>
      </c>
      <c r="J1256">
        <v>11</v>
      </c>
      <c r="K1256">
        <v>18</v>
      </c>
      <c r="L1256">
        <v>10780000</v>
      </c>
      <c r="M1256">
        <v>6750000</v>
      </c>
      <c r="N1256" t="s">
        <v>73</v>
      </c>
      <c r="O1256" t="s">
        <v>66</v>
      </c>
      <c r="P1256">
        <v>1</v>
      </c>
      <c r="Q1256">
        <v>1</v>
      </c>
      <c r="R1256">
        <v>0</v>
      </c>
      <c r="S1256">
        <v>0</v>
      </c>
      <c r="T1256">
        <v>6</v>
      </c>
      <c r="U1256">
        <v>2</v>
      </c>
      <c r="V1256">
        <v>19</v>
      </c>
      <c r="W1256">
        <v>16</v>
      </c>
      <c r="X1256">
        <v>16</v>
      </c>
      <c r="Y1256">
        <v>19</v>
      </c>
      <c r="Z1256">
        <v>4</v>
      </c>
      <c r="AA1256">
        <v>7</v>
      </c>
      <c r="AB1256">
        <v>2</v>
      </c>
      <c r="AC1256">
        <v>1</v>
      </c>
      <c r="AD1256">
        <v>15</v>
      </c>
      <c r="AE1256">
        <v>12</v>
      </c>
      <c r="AF1256">
        <v>4</v>
      </c>
      <c r="AG1256">
        <v>5</v>
      </c>
      <c r="AH1256">
        <v>0</v>
      </c>
      <c r="AI1256">
        <v>0</v>
      </c>
    </row>
    <row r="1257" spans="1:35" hidden="1" x14ac:dyDescent="0.25">
      <c r="A1257">
        <v>2021</v>
      </c>
      <c r="B1257" s="1">
        <v>44513</v>
      </c>
      <c r="C1257">
        <v>32</v>
      </c>
      <c r="D1257">
        <v>5015</v>
      </c>
      <c r="E1257">
        <v>13000</v>
      </c>
      <c r="F1257" t="s">
        <v>76</v>
      </c>
      <c r="G1257" t="s">
        <v>326</v>
      </c>
      <c r="H1257" t="s">
        <v>408</v>
      </c>
      <c r="I1257" t="s">
        <v>379</v>
      </c>
      <c r="J1257">
        <v>14</v>
      </c>
      <c r="K1257">
        <v>13</v>
      </c>
      <c r="L1257">
        <v>8030000</v>
      </c>
      <c r="M1257">
        <v>26650000</v>
      </c>
      <c r="N1257" t="s">
        <v>135</v>
      </c>
      <c r="O1257" t="s">
        <v>386</v>
      </c>
      <c r="P1257">
        <v>0</v>
      </c>
      <c r="Q1257">
        <v>0</v>
      </c>
      <c r="R1257">
        <v>0</v>
      </c>
      <c r="S1257">
        <v>0</v>
      </c>
      <c r="T1257">
        <v>14</v>
      </c>
      <c r="U1257">
        <v>2</v>
      </c>
      <c r="V1257">
        <v>13</v>
      </c>
      <c r="W1257">
        <v>13</v>
      </c>
      <c r="X1257">
        <v>13</v>
      </c>
      <c r="Y1257">
        <v>13</v>
      </c>
      <c r="Z1257">
        <v>0</v>
      </c>
      <c r="AA1257">
        <v>2</v>
      </c>
      <c r="AB1257">
        <v>2</v>
      </c>
      <c r="AC1257">
        <v>5</v>
      </c>
      <c r="AD1257">
        <v>9</v>
      </c>
      <c r="AE1257">
        <v>6</v>
      </c>
      <c r="AF1257">
        <v>3</v>
      </c>
      <c r="AG1257">
        <v>4</v>
      </c>
      <c r="AH1257">
        <v>0</v>
      </c>
      <c r="AI1257">
        <v>0</v>
      </c>
    </row>
    <row r="1258" spans="1:35" hidden="1" x14ac:dyDescent="0.25">
      <c r="A1258">
        <v>2021</v>
      </c>
      <c r="B1258" s="1">
        <v>44521</v>
      </c>
      <c r="C1258">
        <v>34</v>
      </c>
      <c r="D1258">
        <v>2801</v>
      </c>
      <c r="E1258">
        <v>13000</v>
      </c>
      <c r="F1258" t="s">
        <v>76</v>
      </c>
      <c r="G1258" t="s">
        <v>361</v>
      </c>
      <c r="H1258" t="s">
        <v>408</v>
      </c>
      <c r="I1258" t="s">
        <v>333</v>
      </c>
      <c r="J1258">
        <v>16</v>
      </c>
      <c r="K1258">
        <v>10</v>
      </c>
      <c r="L1258">
        <v>10900000</v>
      </c>
      <c r="M1258">
        <v>7780000</v>
      </c>
      <c r="N1258" t="s">
        <v>114</v>
      </c>
      <c r="O1258" t="s">
        <v>98</v>
      </c>
      <c r="P1258">
        <v>1</v>
      </c>
      <c r="Q1258">
        <v>1</v>
      </c>
      <c r="R1258">
        <v>0</v>
      </c>
      <c r="S1258">
        <v>0</v>
      </c>
      <c r="T1258">
        <v>10</v>
      </c>
      <c r="U1258">
        <v>1</v>
      </c>
      <c r="V1258">
        <v>10</v>
      </c>
      <c r="W1258">
        <v>21</v>
      </c>
      <c r="X1258">
        <v>21</v>
      </c>
      <c r="Y1258">
        <v>10</v>
      </c>
      <c r="Z1258">
        <v>1</v>
      </c>
      <c r="AA1258">
        <v>3</v>
      </c>
      <c r="AB1258">
        <v>0</v>
      </c>
      <c r="AC1258">
        <v>5</v>
      </c>
      <c r="AD1258">
        <v>19</v>
      </c>
      <c r="AE1258">
        <v>5</v>
      </c>
      <c r="AF1258">
        <v>10</v>
      </c>
      <c r="AG1258">
        <v>2</v>
      </c>
      <c r="AH1258">
        <v>0</v>
      </c>
      <c r="AI1258">
        <v>0</v>
      </c>
    </row>
    <row r="1259" spans="1:35" hidden="1" x14ac:dyDescent="0.25">
      <c r="A1259">
        <v>2021</v>
      </c>
      <c r="B1259" s="1">
        <v>44529</v>
      </c>
      <c r="C1259">
        <v>35</v>
      </c>
      <c r="D1259">
        <v>10004</v>
      </c>
      <c r="E1259">
        <v>13000</v>
      </c>
      <c r="F1259" t="s">
        <v>76</v>
      </c>
      <c r="G1259" t="s">
        <v>38</v>
      </c>
      <c r="H1259" t="s">
        <v>408</v>
      </c>
      <c r="I1259" t="s">
        <v>340</v>
      </c>
      <c r="J1259">
        <v>15</v>
      </c>
      <c r="K1259">
        <v>17</v>
      </c>
      <c r="L1259">
        <v>10680000</v>
      </c>
      <c r="M1259">
        <v>10550000</v>
      </c>
      <c r="N1259" t="s">
        <v>73</v>
      </c>
      <c r="O1259" t="s">
        <v>41</v>
      </c>
      <c r="P1259">
        <v>2</v>
      </c>
      <c r="Q1259">
        <v>1</v>
      </c>
      <c r="R1259">
        <v>0</v>
      </c>
      <c r="S1259">
        <v>0</v>
      </c>
      <c r="T1259">
        <v>4</v>
      </c>
      <c r="U1259">
        <v>5</v>
      </c>
      <c r="V1259">
        <v>16</v>
      </c>
      <c r="W1259">
        <v>20</v>
      </c>
      <c r="X1259">
        <v>20</v>
      </c>
      <c r="Y1259">
        <v>14</v>
      </c>
      <c r="Z1259">
        <v>1</v>
      </c>
      <c r="AA1259">
        <v>1</v>
      </c>
      <c r="AB1259">
        <v>6</v>
      </c>
      <c r="AC1259">
        <v>0</v>
      </c>
      <c r="AD1259">
        <v>12</v>
      </c>
      <c r="AE1259">
        <v>14</v>
      </c>
      <c r="AF1259">
        <v>7</v>
      </c>
      <c r="AG1259">
        <v>6</v>
      </c>
      <c r="AH1259">
        <v>1</v>
      </c>
      <c r="AI1259">
        <v>1</v>
      </c>
    </row>
    <row r="1260" spans="1:35" hidden="1" x14ac:dyDescent="0.25">
      <c r="A1260">
        <v>2021</v>
      </c>
      <c r="B1260" s="1">
        <v>44540</v>
      </c>
      <c r="C1260">
        <v>38</v>
      </c>
      <c r="D1260">
        <v>11728</v>
      </c>
      <c r="E1260">
        <v>13000</v>
      </c>
      <c r="F1260" t="s">
        <v>76</v>
      </c>
      <c r="G1260" t="s">
        <v>77</v>
      </c>
      <c r="H1260" t="s">
        <v>408</v>
      </c>
      <c r="I1260" t="s">
        <v>400</v>
      </c>
      <c r="J1260">
        <v>9</v>
      </c>
      <c r="K1260">
        <v>2</v>
      </c>
      <c r="L1260">
        <v>8030000</v>
      </c>
      <c r="M1260">
        <v>21050000</v>
      </c>
      <c r="N1260" t="s">
        <v>163</v>
      </c>
      <c r="O1260">
        <v>23</v>
      </c>
      <c r="P1260">
        <v>2</v>
      </c>
      <c r="Q1260">
        <v>0</v>
      </c>
      <c r="R1260">
        <v>0</v>
      </c>
      <c r="S1260">
        <v>0</v>
      </c>
      <c r="T1260">
        <v>4</v>
      </c>
      <c r="U1260">
        <v>6</v>
      </c>
      <c r="V1260">
        <v>15</v>
      </c>
      <c r="W1260">
        <v>7</v>
      </c>
      <c r="X1260">
        <v>7</v>
      </c>
      <c r="Y1260">
        <v>15</v>
      </c>
      <c r="Z1260">
        <v>6</v>
      </c>
      <c r="AA1260">
        <v>1</v>
      </c>
      <c r="AB1260">
        <v>1</v>
      </c>
      <c r="AC1260">
        <v>0</v>
      </c>
      <c r="AD1260">
        <v>13</v>
      </c>
      <c r="AE1260">
        <v>12</v>
      </c>
      <c r="AF1260">
        <v>5</v>
      </c>
      <c r="AG1260">
        <v>3</v>
      </c>
      <c r="AH1260">
        <v>2</v>
      </c>
      <c r="AI1260">
        <v>1</v>
      </c>
    </row>
    <row r="1261" spans="1:35" hidden="1" x14ac:dyDescent="0.25">
      <c r="A1261">
        <v>2021</v>
      </c>
      <c r="B1261" s="1">
        <v>44346</v>
      </c>
      <c r="C1261">
        <v>1</v>
      </c>
      <c r="D1261">
        <v>0</v>
      </c>
      <c r="E1261">
        <v>57018</v>
      </c>
      <c r="F1261" t="s">
        <v>89</v>
      </c>
      <c r="G1261" t="s">
        <v>63</v>
      </c>
      <c r="H1261" t="s">
        <v>71</v>
      </c>
      <c r="I1261" t="s">
        <v>65</v>
      </c>
      <c r="J1261">
        <v>15</v>
      </c>
      <c r="K1261">
        <v>4</v>
      </c>
      <c r="L1261">
        <v>46300000</v>
      </c>
      <c r="M1261">
        <v>9900000</v>
      </c>
      <c r="N1261" t="s">
        <v>163</v>
      </c>
      <c r="O1261" t="s">
        <v>100</v>
      </c>
      <c r="P1261">
        <v>1</v>
      </c>
      <c r="Q1261">
        <v>2</v>
      </c>
      <c r="R1261">
        <v>1</v>
      </c>
      <c r="S1261">
        <v>0</v>
      </c>
      <c r="T1261">
        <v>5</v>
      </c>
      <c r="U1261">
        <v>4</v>
      </c>
      <c r="V1261">
        <v>16</v>
      </c>
      <c r="W1261">
        <v>19</v>
      </c>
      <c r="X1261">
        <v>19</v>
      </c>
      <c r="Y1261">
        <v>16</v>
      </c>
      <c r="Z1261">
        <v>3</v>
      </c>
      <c r="AA1261">
        <v>3</v>
      </c>
      <c r="AB1261">
        <v>2</v>
      </c>
      <c r="AC1261">
        <v>3</v>
      </c>
      <c r="AD1261">
        <v>13</v>
      </c>
      <c r="AE1261">
        <v>18</v>
      </c>
      <c r="AF1261">
        <v>5</v>
      </c>
      <c r="AG1261">
        <v>8</v>
      </c>
      <c r="AH1261">
        <v>-1</v>
      </c>
      <c r="AI1261">
        <v>0</v>
      </c>
    </row>
    <row r="1262" spans="1:35" hidden="1" x14ac:dyDescent="0.25">
      <c r="A1262">
        <v>2021</v>
      </c>
      <c r="B1262" s="1">
        <v>44360</v>
      </c>
      <c r="C1262">
        <v>3</v>
      </c>
      <c r="D1262">
        <v>0</v>
      </c>
      <c r="E1262">
        <v>57018</v>
      </c>
      <c r="F1262" t="s">
        <v>89</v>
      </c>
      <c r="G1262" t="s">
        <v>62</v>
      </c>
      <c r="H1262" t="s">
        <v>71</v>
      </c>
      <c r="I1262" t="s">
        <v>390</v>
      </c>
      <c r="J1262">
        <v>9</v>
      </c>
      <c r="K1262">
        <v>16</v>
      </c>
      <c r="L1262">
        <v>37800000</v>
      </c>
      <c r="M1262">
        <v>34200000</v>
      </c>
      <c r="N1262" t="s">
        <v>86</v>
      </c>
      <c r="O1262" t="s">
        <v>98</v>
      </c>
      <c r="P1262">
        <v>1</v>
      </c>
      <c r="Q1262">
        <v>0</v>
      </c>
      <c r="R1262">
        <v>1</v>
      </c>
      <c r="S1262">
        <v>0</v>
      </c>
      <c r="T1262">
        <v>4</v>
      </c>
      <c r="U1262">
        <v>5</v>
      </c>
      <c r="V1262">
        <v>14</v>
      </c>
      <c r="W1262">
        <v>22</v>
      </c>
      <c r="X1262">
        <v>19</v>
      </c>
      <c r="Y1262">
        <v>12</v>
      </c>
      <c r="Z1262">
        <v>1</v>
      </c>
      <c r="AA1262">
        <v>1</v>
      </c>
      <c r="AB1262">
        <v>2</v>
      </c>
      <c r="AC1262">
        <v>1</v>
      </c>
      <c r="AD1262">
        <v>9</v>
      </c>
      <c r="AE1262">
        <v>5</v>
      </c>
      <c r="AF1262">
        <v>5</v>
      </c>
      <c r="AG1262">
        <v>2</v>
      </c>
      <c r="AH1262">
        <v>1</v>
      </c>
      <c r="AI1262">
        <v>1</v>
      </c>
    </row>
    <row r="1263" spans="1:35" hidden="1" x14ac:dyDescent="0.25">
      <c r="A1263">
        <v>2021</v>
      </c>
      <c r="B1263" s="1">
        <v>44369</v>
      </c>
      <c r="C1263">
        <v>5</v>
      </c>
      <c r="D1263">
        <v>0</v>
      </c>
      <c r="E1263">
        <v>57018</v>
      </c>
      <c r="F1263" t="s">
        <v>89</v>
      </c>
      <c r="G1263" t="s">
        <v>394</v>
      </c>
      <c r="H1263" t="s">
        <v>71</v>
      </c>
      <c r="I1263" t="s">
        <v>78</v>
      </c>
      <c r="J1263">
        <v>3</v>
      </c>
      <c r="K1263">
        <v>17</v>
      </c>
      <c r="L1263">
        <v>33250000</v>
      </c>
      <c r="M1263">
        <v>3380000</v>
      </c>
      <c r="N1263" t="s">
        <v>100</v>
      </c>
      <c r="O1263" t="s">
        <v>99</v>
      </c>
      <c r="P1263">
        <v>1</v>
      </c>
      <c r="Q1263">
        <v>1</v>
      </c>
      <c r="R1263">
        <v>1</v>
      </c>
      <c r="S1263">
        <v>0</v>
      </c>
      <c r="T1263">
        <v>9</v>
      </c>
      <c r="U1263">
        <v>7</v>
      </c>
      <c r="V1263">
        <v>9</v>
      </c>
      <c r="W1263">
        <v>10</v>
      </c>
      <c r="X1263">
        <v>10</v>
      </c>
      <c r="Y1263">
        <v>9</v>
      </c>
      <c r="Z1263">
        <v>0</v>
      </c>
      <c r="AA1263">
        <v>1</v>
      </c>
      <c r="AB1263">
        <v>0</v>
      </c>
      <c r="AC1263">
        <v>2</v>
      </c>
      <c r="AD1263">
        <v>14</v>
      </c>
      <c r="AE1263">
        <v>13</v>
      </c>
      <c r="AF1263">
        <v>11</v>
      </c>
      <c r="AG1263">
        <v>8</v>
      </c>
      <c r="AH1263">
        <v>0</v>
      </c>
      <c r="AI1263">
        <v>0</v>
      </c>
    </row>
    <row r="1264" spans="1:35" hidden="1" x14ac:dyDescent="0.25">
      <c r="A1264">
        <v>2021</v>
      </c>
      <c r="B1264" s="1">
        <v>44379</v>
      </c>
      <c r="C1264">
        <v>8</v>
      </c>
      <c r="D1264">
        <v>0</v>
      </c>
      <c r="E1264">
        <v>57018</v>
      </c>
      <c r="F1264" t="s">
        <v>89</v>
      </c>
      <c r="G1264" t="s">
        <v>76</v>
      </c>
      <c r="H1264" t="s">
        <v>71</v>
      </c>
      <c r="I1264" t="s">
        <v>367</v>
      </c>
      <c r="J1264">
        <v>9</v>
      </c>
      <c r="K1264">
        <v>8</v>
      </c>
      <c r="L1264">
        <v>39600000</v>
      </c>
      <c r="M1264">
        <v>10780000</v>
      </c>
      <c r="N1264" t="s">
        <v>74</v>
      </c>
      <c r="O1264" t="s">
        <v>116</v>
      </c>
      <c r="P1264">
        <v>4</v>
      </c>
      <c r="Q1264">
        <v>1</v>
      </c>
      <c r="R1264">
        <v>3</v>
      </c>
      <c r="S1264">
        <v>1</v>
      </c>
      <c r="T1264">
        <v>4</v>
      </c>
      <c r="U1264">
        <v>4</v>
      </c>
      <c r="V1264">
        <v>13</v>
      </c>
      <c r="W1264">
        <v>12</v>
      </c>
      <c r="X1264">
        <v>10</v>
      </c>
      <c r="Y1264">
        <v>12</v>
      </c>
      <c r="Z1264">
        <v>2</v>
      </c>
      <c r="AA1264">
        <v>5</v>
      </c>
      <c r="AB1264">
        <v>1</v>
      </c>
      <c r="AC1264">
        <v>1</v>
      </c>
      <c r="AD1264">
        <v>19</v>
      </c>
      <c r="AE1264">
        <v>7</v>
      </c>
      <c r="AF1264">
        <v>6</v>
      </c>
      <c r="AG1264">
        <v>2</v>
      </c>
      <c r="AH1264">
        <v>3</v>
      </c>
      <c r="AI1264">
        <v>1</v>
      </c>
    </row>
    <row r="1265" spans="1:35" hidden="1" x14ac:dyDescent="0.25">
      <c r="A1265">
        <v>2021</v>
      </c>
      <c r="B1265" s="1">
        <v>44385</v>
      </c>
      <c r="C1265">
        <v>10</v>
      </c>
      <c r="D1265">
        <v>0</v>
      </c>
      <c r="E1265">
        <v>57018</v>
      </c>
      <c r="F1265" t="s">
        <v>89</v>
      </c>
      <c r="G1265" t="s">
        <v>77</v>
      </c>
      <c r="H1265" t="s">
        <v>71</v>
      </c>
      <c r="I1265" t="s">
        <v>40</v>
      </c>
      <c r="J1265">
        <v>4</v>
      </c>
      <c r="K1265">
        <v>7</v>
      </c>
      <c r="L1265">
        <v>36900000</v>
      </c>
      <c r="M1265">
        <v>65450000</v>
      </c>
      <c r="N1265" t="s">
        <v>100</v>
      </c>
      <c r="O1265" t="s">
        <v>123</v>
      </c>
      <c r="P1265">
        <v>2</v>
      </c>
      <c r="Q1265">
        <v>1</v>
      </c>
      <c r="R1265">
        <v>0</v>
      </c>
      <c r="S1265">
        <v>0</v>
      </c>
      <c r="T1265">
        <v>3</v>
      </c>
      <c r="U1265">
        <v>6</v>
      </c>
      <c r="V1265">
        <v>19</v>
      </c>
      <c r="W1265">
        <v>10</v>
      </c>
      <c r="X1265">
        <v>8</v>
      </c>
      <c r="Y1265">
        <v>17</v>
      </c>
      <c r="Z1265">
        <v>5</v>
      </c>
      <c r="AA1265">
        <v>4</v>
      </c>
      <c r="AB1265">
        <v>2</v>
      </c>
      <c r="AC1265">
        <v>3</v>
      </c>
      <c r="AD1265">
        <v>12</v>
      </c>
      <c r="AE1265">
        <v>16</v>
      </c>
      <c r="AF1265">
        <v>3</v>
      </c>
      <c r="AG1265">
        <v>7</v>
      </c>
      <c r="AH1265">
        <v>1</v>
      </c>
      <c r="AI1265">
        <v>1</v>
      </c>
    </row>
    <row r="1266" spans="1:35" hidden="1" x14ac:dyDescent="0.25">
      <c r="A1266">
        <v>2021</v>
      </c>
      <c r="B1266" s="1">
        <v>44402</v>
      </c>
      <c r="C1266">
        <v>13</v>
      </c>
      <c r="D1266">
        <v>0</v>
      </c>
      <c r="E1266">
        <v>23018</v>
      </c>
      <c r="F1266" t="s">
        <v>89</v>
      </c>
      <c r="G1266" t="s">
        <v>38</v>
      </c>
      <c r="H1266" t="s">
        <v>71</v>
      </c>
      <c r="I1266" t="s">
        <v>398</v>
      </c>
      <c r="J1266">
        <v>2</v>
      </c>
      <c r="K1266">
        <v>8</v>
      </c>
      <c r="L1266">
        <v>32200000</v>
      </c>
      <c r="M1266">
        <v>9630000</v>
      </c>
      <c r="N1266" t="s">
        <v>73</v>
      </c>
      <c r="O1266">
        <v>28</v>
      </c>
      <c r="P1266">
        <v>3</v>
      </c>
      <c r="Q1266">
        <v>0</v>
      </c>
      <c r="R1266">
        <v>0</v>
      </c>
      <c r="S1266">
        <v>0</v>
      </c>
      <c r="T1266">
        <v>8</v>
      </c>
      <c r="U1266">
        <v>8</v>
      </c>
      <c r="V1266">
        <v>17</v>
      </c>
      <c r="W1266">
        <v>14</v>
      </c>
      <c r="X1266">
        <v>13</v>
      </c>
      <c r="Y1266">
        <v>17</v>
      </c>
      <c r="Z1266">
        <v>5</v>
      </c>
      <c r="AA1266">
        <v>2</v>
      </c>
      <c r="AB1266">
        <v>3</v>
      </c>
      <c r="AC1266">
        <v>0</v>
      </c>
      <c r="AD1266">
        <v>12</v>
      </c>
      <c r="AE1266">
        <v>11</v>
      </c>
      <c r="AF1266">
        <v>1</v>
      </c>
      <c r="AG1266">
        <v>3</v>
      </c>
      <c r="AH1266">
        <v>3</v>
      </c>
      <c r="AI1266">
        <v>1</v>
      </c>
    </row>
    <row r="1267" spans="1:35" hidden="1" x14ac:dyDescent="0.25">
      <c r="A1267">
        <v>2021</v>
      </c>
      <c r="B1267" s="1">
        <v>44409</v>
      </c>
      <c r="C1267">
        <v>14</v>
      </c>
      <c r="D1267">
        <v>0</v>
      </c>
      <c r="E1267">
        <v>57018</v>
      </c>
      <c r="F1267" t="s">
        <v>89</v>
      </c>
      <c r="G1267" t="s">
        <v>69</v>
      </c>
      <c r="H1267" t="s">
        <v>71</v>
      </c>
      <c r="I1267" t="s">
        <v>90</v>
      </c>
      <c r="J1267">
        <v>2</v>
      </c>
      <c r="K1267">
        <v>4</v>
      </c>
      <c r="L1267">
        <v>38500000</v>
      </c>
      <c r="M1267">
        <v>19650000</v>
      </c>
      <c r="N1267" t="s">
        <v>66</v>
      </c>
      <c r="O1267" t="s">
        <v>163</v>
      </c>
      <c r="P1267">
        <v>2</v>
      </c>
      <c r="Q1267">
        <v>0</v>
      </c>
      <c r="R1267">
        <v>0</v>
      </c>
      <c r="S1267">
        <v>0</v>
      </c>
      <c r="T1267">
        <v>4</v>
      </c>
      <c r="U1267">
        <v>2</v>
      </c>
      <c r="V1267">
        <v>14</v>
      </c>
      <c r="W1267">
        <v>12</v>
      </c>
      <c r="X1267">
        <v>11</v>
      </c>
      <c r="Y1267">
        <v>13</v>
      </c>
      <c r="Z1267">
        <v>1</v>
      </c>
      <c r="AA1267">
        <v>1</v>
      </c>
      <c r="AB1267">
        <v>1</v>
      </c>
      <c r="AC1267">
        <v>1</v>
      </c>
      <c r="AD1267">
        <v>11</v>
      </c>
      <c r="AE1267">
        <v>8</v>
      </c>
      <c r="AF1267">
        <v>7</v>
      </c>
      <c r="AG1267">
        <v>4</v>
      </c>
      <c r="AH1267">
        <v>2</v>
      </c>
      <c r="AI1267">
        <v>1</v>
      </c>
    </row>
    <row r="1268" spans="1:35" hidden="1" x14ac:dyDescent="0.25">
      <c r="A1268">
        <v>2021</v>
      </c>
      <c r="B1268" s="1">
        <v>44423</v>
      </c>
      <c r="C1268">
        <v>16</v>
      </c>
      <c r="D1268">
        <v>0</v>
      </c>
      <c r="E1268">
        <v>57018</v>
      </c>
      <c r="F1268" t="s">
        <v>89</v>
      </c>
      <c r="G1268" t="s">
        <v>95</v>
      </c>
      <c r="H1268" t="s">
        <v>71</v>
      </c>
      <c r="I1268" t="s">
        <v>97</v>
      </c>
      <c r="J1268">
        <v>1</v>
      </c>
      <c r="K1268">
        <v>2</v>
      </c>
      <c r="L1268">
        <v>35300000</v>
      </c>
      <c r="M1268">
        <v>71600000</v>
      </c>
      <c r="N1268" t="s">
        <v>235</v>
      </c>
      <c r="O1268" t="s">
        <v>149</v>
      </c>
      <c r="P1268">
        <v>2</v>
      </c>
      <c r="Q1268">
        <v>0</v>
      </c>
      <c r="R1268">
        <v>1</v>
      </c>
      <c r="S1268">
        <v>0</v>
      </c>
      <c r="T1268">
        <v>11</v>
      </c>
      <c r="U1268">
        <v>2</v>
      </c>
      <c r="V1268">
        <v>14</v>
      </c>
      <c r="W1268">
        <v>14</v>
      </c>
      <c r="X1268">
        <v>14</v>
      </c>
      <c r="Y1268">
        <v>13</v>
      </c>
      <c r="Z1268">
        <v>1</v>
      </c>
      <c r="AA1268">
        <v>4</v>
      </c>
      <c r="AB1268">
        <v>1</v>
      </c>
      <c r="AC1268">
        <v>1</v>
      </c>
      <c r="AD1268">
        <v>15</v>
      </c>
      <c r="AE1268">
        <v>1</v>
      </c>
      <c r="AF1268">
        <v>5</v>
      </c>
      <c r="AG1268">
        <v>0</v>
      </c>
      <c r="AH1268">
        <v>2</v>
      </c>
      <c r="AI1268">
        <v>1</v>
      </c>
    </row>
    <row r="1269" spans="1:35" hidden="1" x14ac:dyDescent="0.25">
      <c r="A1269">
        <v>2021</v>
      </c>
      <c r="B1269" s="1">
        <v>44504</v>
      </c>
      <c r="C1269">
        <v>19</v>
      </c>
      <c r="D1269">
        <v>56624</v>
      </c>
      <c r="E1269">
        <v>57018</v>
      </c>
      <c r="F1269" t="s">
        <v>89</v>
      </c>
      <c r="G1269" t="s">
        <v>83</v>
      </c>
      <c r="H1269" t="s">
        <v>71</v>
      </c>
      <c r="I1269" t="s">
        <v>312</v>
      </c>
      <c r="J1269">
        <v>1</v>
      </c>
      <c r="K1269">
        <v>18</v>
      </c>
      <c r="L1269">
        <v>55600000</v>
      </c>
      <c r="M1269">
        <v>36300000</v>
      </c>
      <c r="N1269" t="s">
        <v>235</v>
      </c>
      <c r="O1269" t="s">
        <v>105</v>
      </c>
      <c r="P1269">
        <v>2</v>
      </c>
      <c r="Q1269">
        <v>1</v>
      </c>
      <c r="R1269">
        <v>1</v>
      </c>
      <c r="S1269">
        <v>0</v>
      </c>
      <c r="T1269">
        <v>1</v>
      </c>
      <c r="U1269">
        <v>8</v>
      </c>
      <c r="V1269">
        <v>10</v>
      </c>
      <c r="W1269">
        <v>14</v>
      </c>
      <c r="X1269">
        <v>13</v>
      </c>
      <c r="Y1269">
        <v>10</v>
      </c>
      <c r="Z1269">
        <v>4</v>
      </c>
      <c r="AA1269">
        <v>2</v>
      </c>
      <c r="AB1269">
        <v>2</v>
      </c>
      <c r="AC1269">
        <v>2</v>
      </c>
      <c r="AD1269">
        <v>15</v>
      </c>
      <c r="AE1269">
        <v>14</v>
      </c>
      <c r="AF1269">
        <v>7</v>
      </c>
      <c r="AG1269">
        <v>7</v>
      </c>
      <c r="AH1269">
        <v>1</v>
      </c>
      <c r="AI1269">
        <v>1</v>
      </c>
    </row>
    <row r="1270" spans="1:35" hidden="1" x14ac:dyDescent="0.25">
      <c r="A1270">
        <v>2021</v>
      </c>
      <c r="B1270" s="1">
        <v>44458</v>
      </c>
      <c r="C1270">
        <v>21</v>
      </c>
      <c r="D1270">
        <v>0</v>
      </c>
      <c r="E1270">
        <v>57018</v>
      </c>
      <c r="F1270" t="s">
        <v>89</v>
      </c>
      <c r="G1270" t="s">
        <v>391</v>
      </c>
      <c r="H1270" t="s">
        <v>71</v>
      </c>
      <c r="I1270" t="s">
        <v>397</v>
      </c>
      <c r="J1270">
        <v>1</v>
      </c>
      <c r="K1270">
        <v>19</v>
      </c>
      <c r="L1270">
        <v>56000000</v>
      </c>
      <c r="M1270">
        <v>7350000</v>
      </c>
      <c r="N1270" t="s">
        <v>128</v>
      </c>
      <c r="O1270">
        <v>28</v>
      </c>
      <c r="P1270">
        <v>3</v>
      </c>
      <c r="Q1270">
        <v>0</v>
      </c>
      <c r="R1270">
        <v>2</v>
      </c>
      <c r="S1270">
        <v>0</v>
      </c>
      <c r="T1270">
        <v>6</v>
      </c>
      <c r="U1270">
        <v>4</v>
      </c>
      <c r="V1270">
        <v>18</v>
      </c>
      <c r="W1270">
        <v>13</v>
      </c>
      <c r="X1270">
        <v>12</v>
      </c>
      <c r="Y1270">
        <v>17</v>
      </c>
      <c r="Z1270">
        <v>1</v>
      </c>
      <c r="AA1270">
        <v>7</v>
      </c>
      <c r="AB1270">
        <v>0</v>
      </c>
      <c r="AC1270">
        <v>3</v>
      </c>
      <c r="AD1270">
        <v>22</v>
      </c>
      <c r="AE1270">
        <v>7</v>
      </c>
      <c r="AF1270">
        <v>9</v>
      </c>
      <c r="AG1270">
        <v>5</v>
      </c>
      <c r="AH1270">
        <v>3</v>
      </c>
      <c r="AI1270">
        <v>1</v>
      </c>
    </row>
    <row r="1271" spans="1:35" hidden="1" x14ac:dyDescent="0.25">
      <c r="A1271">
        <v>2021</v>
      </c>
      <c r="B1271" s="1">
        <v>44472</v>
      </c>
      <c r="C1271">
        <v>23</v>
      </c>
      <c r="D1271">
        <v>7166</v>
      </c>
      <c r="E1271">
        <v>57018</v>
      </c>
      <c r="F1271" t="s">
        <v>89</v>
      </c>
      <c r="G1271" t="s">
        <v>37</v>
      </c>
      <c r="H1271" t="s">
        <v>71</v>
      </c>
      <c r="I1271" t="s">
        <v>342</v>
      </c>
      <c r="J1271">
        <v>1</v>
      </c>
      <c r="K1271">
        <v>6</v>
      </c>
      <c r="L1271">
        <v>48400000</v>
      </c>
      <c r="M1271">
        <v>38600000</v>
      </c>
      <c r="N1271" t="s">
        <v>100</v>
      </c>
      <c r="O1271" t="s">
        <v>137</v>
      </c>
      <c r="P1271">
        <v>1</v>
      </c>
      <c r="Q1271">
        <v>0</v>
      </c>
      <c r="R1271">
        <v>0</v>
      </c>
      <c r="S1271">
        <v>0</v>
      </c>
      <c r="T1271">
        <v>7</v>
      </c>
      <c r="U1271">
        <v>6</v>
      </c>
      <c r="V1271">
        <v>16</v>
      </c>
      <c r="W1271">
        <v>15</v>
      </c>
      <c r="X1271">
        <v>13</v>
      </c>
      <c r="Y1271">
        <v>16</v>
      </c>
      <c r="Z1271">
        <v>4</v>
      </c>
      <c r="AA1271">
        <v>2</v>
      </c>
      <c r="AB1271">
        <v>2</v>
      </c>
      <c r="AC1271">
        <v>1</v>
      </c>
      <c r="AD1271">
        <v>10</v>
      </c>
      <c r="AE1271">
        <v>6</v>
      </c>
      <c r="AF1271">
        <v>6</v>
      </c>
      <c r="AG1271">
        <v>2</v>
      </c>
      <c r="AH1271">
        <v>1</v>
      </c>
      <c r="AI1271">
        <v>1</v>
      </c>
    </row>
    <row r="1272" spans="1:35" hidden="1" x14ac:dyDescent="0.25">
      <c r="A1272">
        <v>2021</v>
      </c>
      <c r="B1272" s="1">
        <v>44478</v>
      </c>
      <c r="C1272">
        <v>25</v>
      </c>
      <c r="D1272">
        <v>10265</v>
      </c>
      <c r="E1272">
        <v>57018</v>
      </c>
      <c r="F1272" t="s">
        <v>89</v>
      </c>
      <c r="G1272" t="s">
        <v>361</v>
      </c>
      <c r="H1272" t="s">
        <v>71</v>
      </c>
      <c r="I1272" t="s">
        <v>333</v>
      </c>
      <c r="J1272">
        <v>1</v>
      </c>
      <c r="K1272">
        <v>13</v>
      </c>
      <c r="L1272">
        <v>37000000</v>
      </c>
      <c r="M1272">
        <v>8180000</v>
      </c>
      <c r="N1272">
        <v>28</v>
      </c>
      <c r="O1272">
        <v>27</v>
      </c>
      <c r="P1272">
        <v>3</v>
      </c>
      <c r="Q1272">
        <v>1</v>
      </c>
      <c r="R1272">
        <v>2</v>
      </c>
      <c r="S1272">
        <v>0</v>
      </c>
      <c r="T1272">
        <v>8</v>
      </c>
      <c r="U1272">
        <v>5</v>
      </c>
      <c r="V1272">
        <v>12</v>
      </c>
      <c r="W1272">
        <v>10</v>
      </c>
      <c r="X1272">
        <v>10</v>
      </c>
      <c r="Y1272">
        <v>11</v>
      </c>
      <c r="Z1272">
        <v>4</v>
      </c>
      <c r="AA1272">
        <v>1</v>
      </c>
      <c r="AB1272">
        <v>2</v>
      </c>
      <c r="AC1272">
        <v>2</v>
      </c>
      <c r="AD1272">
        <v>12</v>
      </c>
      <c r="AE1272">
        <v>11</v>
      </c>
      <c r="AF1272">
        <v>6</v>
      </c>
      <c r="AG1272">
        <v>3</v>
      </c>
      <c r="AH1272">
        <v>2</v>
      </c>
      <c r="AI1272">
        <v>1</v>
      </c>
    </row>
    <row r="1273" spans="1:35" hidden="1" x14ac:dyDescent="0.25">
      <c r="A1273">
        <v>2021</v>
      </c>
      <c r="B1273" s="1">
        <v>44483</v>
      </c>
      <c r="C1273">
        <v>26</v>
      </c>
      <c r="D1273">
        <v>16514</v>
      </c>
      <c r="E1273">
        <v>57018</v>
      </c>
      <c r="F1273" t="s">
        <v>89</v>
      </c>
      <c r="G1273" t="s">
        <v>326</v>
      </c>
      <c r="H1273" t="s">
        <v>71</v>
      </c>
      <c r="I1273" t="s">
        <v>379</v>
      </c>
      <c r="J1273">
        <v>1</v>
      </c>
      <c r="K1273">
        <v>12</v>
      </c>
      <c r="L1273">
        <v>34200000</v>
      </c>
      <c r="M1273">
        <v>18900000</v>
      </c>
      <c r="N1273" t="s">
        <v>86</v>
      </c>
      <c r="O1273" t="s">
        <v>149</v>
      </c>
      <c r="P1273">
        <v>3</v>
      </c>
      <c r="Q1273">
        <v>1</v>
      </c>
      <c r="R1273">
        <v>0</v>
      </c>
      <c r="S1273">
        <v>0</v>
      </c>
      <c r="T1273">
        <v>4</v>
      </c>
      <c r="U1273">
        <v>2</v>
      </c>
      <c r="V1273">
        <v>10</v>
      </c>
      <c r="W1273">
        <v>13</v>
      </c>
      <c r="X1273">
        <v>12</v>
      </c>
      <c r="Y1273">
        <v>10</v>
      </c>
      <c r="Z1273">
        <v>0</v>
      </c>
      <c r="AA1273">
        <v>4</v>
      </c>
      <c r="AB1273">
        <v>0</v>
      </c>
      <c r="AC1273">
        <v>1</v>
      </c>
      <c r="AD1273">
        <v>14</v>
      </c>
      <c r="AE1273">
        <v>5</v>
      </c>
      <c r="AF1273">
        <v>8</v>
      </c>
      <c r="AG1273">
        <v>3</v>
      </c>
      <c r="AH1273">
        <v>2</v>
      </c>
      <c r="AI1273">
        <v>1</v>
      </c>
    </row>
    <row r="1274" spans="1:35" hidden="1" x14ac:dyDescent="0.25">
      <c r="A1274">
        <v>2021</v>
      </c>
      <c r="B1274" s="1">
        <v>44493</v>
      </c>
      <c r="C1274">
        <v>28</v>
      </c>
      <c r="D1274">
        <v>30627</v>
      </c>
      <c r="E1274">
        <v>57018</v>
      </c>
      <c r="F1274" t="s">
        <v>89</v>
      </c>
      <c r="G1274" t="s">
        <v>70</v>
      </c>
      <c r="J1274">
        <v>1</v>
      </c>
      <c r="K1274">
        <v>10</v>
      </c>
      <c r="L1274">
        <v>54500000</v>
      </c>
      <c r="M1274">
        <v>7600000</v>
      </c>
      <c r="N1274" t="s">
        <v>135</v>
      </c>
      <c r="O1274" t="s">
        <v>129</v>
      </c>
      <c r="P1274">
        <v>2</v>
      </c>
      <c r="Q1274">
        <v>1</v>
      </c>
      <c r="R1274">
        <v>2</v>
      </c>
      <c r="S1274">
        <v>1</v>
      </c>
      <c r="T1274">
        <v>7</v>
      </c>
      <c r="U1274">
        <v>2</v>
      </c>
      <c r="V1274">
        <v>12</v>
      </c>
      <c r="W1274">
        <v>13</v>
      </c>
      <c r="X1274">
        <v>12</v>
      </c>
      <c r="Y1274">
        <v>9</v>
      </c>
      <c r="Z1274">
        <v>3</v>
      </c>
      <c r="AA1274">
        <v>7</v>
      </c>
      <c r="AB1274">
        <v>1</v>
      </c>
      <c r="AC1274">
        <v>0</v>
      </c>
      <c r="AD1274">
        <v>21</v>
      </c>
      <c r="AE1274">
        <v>7</v>
      </c>
      <c r="AF1274">
        <v>6</v>
      </c>
      <c r="AG1274">
        <v>3</v>
      </c>
      <c r="AH1274">
        <v>1</v>
      </c>
      <c r="AI1274">
        <v>1</v>
      </c>
    </row>
    <row r="1275" spans="1:35" hidden="1" x14ac:dyDescent="0.25">
      <c r="A1275">
        <v>2021</v>
      </c>
      <c r="B1275" s="1">
        <v>44507</v>
      </c>
      <c r="C1275">
        <v>30</v>
      </c>
      <c r="D1275">
        <v>60142</v>
      </c>
      <c r="E1275">
        <v>62018</v>
      </c>
      <c r="F1275" t="s">
        <v>89</v>
      </c>
      <c r="G1275" t="s">
        <v>310</v>
      </c>
      <c r="H1275" t="s">
        <v>71</v>
      </c>
      <c r="I1275" t="s">
        <v>368</v>
      </c>
      <c r="J1275">
        <v>1</v>
      </c>
      <c r="K1275">
        <v>9</v>
      </c>
      <c r="L1275">
        <v>50700000</v>
      </c>
      <c r="M1275">
        <v>5400000</v>
      </c>
      <c r="N1275" t="s">
        <v>134</v>
      </c>
      <c r="O1275" t="s">
        <v>309</v>
      </c>
      <c r="P1275">
        <v>1</v>
      </c>
      <c r="Q1275">
        <v>0</v>
      </c>
      <c r="R1275">
        <v>0</v>
      </c>
      <c r="S1275">
        <v>0</v>
      </c>
      <c r="T1275">
        <v>9</v>
      </c>
      <c r="U1275">
        <v>1</v>
      </c>
      <c r="V1275">
        <v>21</v>
      </c>
      <c r="W1275">
        <v>10</v>
      </c>
      <c r="X1275">
        <v>9</v>
      </c>
      <c r="Y1275">
        <v>19</v>
      </c>
      <c r="Z1275">
        <v>4</v>
      </c>
      <c r="AA1275">
        <v>6</v>
      </c>
      <c r="AB1275">
        <v>1</v>
      </c>
      <c r="AC1275">
        <v>2</v>
      </c>
      <c r="AD1275">
        <v>18</v>
      </c>
      <c r="AE1275">
        <v>16</v>
      </c>
      <c r="AF1275">
        <v>10</v>
      </c>
      <c r="AG1275">
        <v>8</v>
      </c>
      <c r="AH1275">
        <v>1</v>
      </c>
      <c r="AI1275">
        <v>1</v>
      </c>
    </row>
    <row r="1276" spans="1:35" hidden="1" x14ac:dyDescent="0.25">
      <c r="A1276">
        <v>2021</v>
      </c>
      <c r="B1276" s="1">
        <v>44510</v>
      </c>
      <c r="C1276">
        <v>31</v>
      </c>
      <c r="D1276">
        <v>58714</v>
      </c>
      <c r="E1276">
        <v>62018</v>
      </c>
      <c r="F1276" t="s">
        <v>89</v>
      </c>
      <c r="G1276" t="s">
        <v>88</v>
      </c>
      <c r="H1276" t="s">
        <v>71</v>
      </c>
      <c r="I1276" t="s">
        <v>392</v>
      </c>
      <c r="J1276">
        <v>1</v>
      </c>
      <c r="K1276">
        <v>5</v>
      </c>
      <c r="L1276">
        <v>44300000</v>
      </c>
      <c r="M1276">
        <v>31950000</v>
      </c>
      <c r="N1276" t="s">
        <v>193</v>
      </c>
      <c r="O1276" t="s">
        <v>92</v>
      </c>
      <c r="P1276">
        <v>3</v>
      </c>
      <c r="Q1276">
        <v>0</v>
      </c>
      <c r="R1276">
        <v>1</v>
      </c>
      <c r="S1276">
        <v>0</v>
      </c>
      <c r="T1276">
        <v>8</v>
      </c>
      <c r="U1276">
        <v>5</v>
      </c>
      <c r="V1276">
        <v>20</v>
      </c>
      <c r="W1276">
        <v>4</v>
      </c>
      <c r="X1276">
        <v>4</v>
      </c>
      <c r="Y1276">
        <v>20</v>
      </c>
      <c r="Z1276">
        <v>0</v>
      </c>
      <c r="AA1276">
        <v>2</v>
      </c>
      <c r="AB1276">
        <v>1</v>
      </c>
      <c r="AC1276">
        <v>1</v>
      </c>
      <c r="AD1276">
        <v>11</v>
      </c>
      <c r="AE1276">
        <v>7</v>
      </c>
      <c r="AF1276">
        <v>5</v>
      </c>
      <c r="AG1276">
        <v>4</v>
      </c>
      <c r="AH1276">
        <v>3</v>
      </c>
      <c r="AI1276">
        <v>1</v>
      </c>
    </row>
    <row r="1277" spans="1:35" hidden="1" x14ac:dyDescent="0.25">
      <c r="A1277">
        <v>2021</v>
      </c>
      <c r="B1277" s="1">
        <v>44520</v>
      </c>
      <c r="C1277">
        <v>34</v>
      </c>
      <c r="D1277">
        <v>61476</v>
      </c>
      <c r="E1277">
        <v>62018</v>
      </c>
      <c r="F1277" t="s">
        <v>89</v>
      </c>
      <c r="G1277" t="s">
        <v>44</v>
      </c>
      <c r="H1277" t="s">
        <v>71</v>
      </c>
      <c r="I1277" t="s">
        <v>78</v>
      </c>
      <c r="J1277">
        <v>1</v>
      </c>
      <c r="K1277">
        <v>15</v>
      </c>
      <c r="L1277">
        <v>42800000</v>
      </c>
      <c r="M1277">
        <v>7100000</v>
      </c>
      <c r="N1277" t="s">
        <v>200</v>
      </c>
      <c r="O1277" t="s">
        <v>74</v>
      </c>
      <c r="P1277">
        <v>2</v>
      </c>
      <c r="Q1277">
        <v>0</v>
      </c>
      <c r="R1277">
        <v>0</v>
      </c>
      <c r="S1277">
        <v>0</v>
      </c>
      <c r="T1277">
        <v>5</v>
      </c>
      <c r="U1277">
        <v>1</v>
      </c>
      <c r="V1277">
        <v>20</v>
      </c>
      <c r="W1277">
        <v>13</v>
      </c>
      <c r="X1277">
        <v>11</v>
      </c>
      <c r="Y1277">
        <v>18</v>
      </c>
      <c r="Z1277">
        <v>0</v>
      </c>
      <c r="AA1277">
        <v>3</v>
      </c>
      <c r="AB1277">
        <v>1</v>
      </c>
      <c r="AC1277">
        <v>0</v>
      </c>
      <c r="AD1277">
        <v>18</v>
      </c>
      <c r="AE1277">
        <v>2</v>
      </c>
      <c r="AF1277">
        <v>8</v>
      </c>
      <c r="AG1277">
        <v>1</v>
      </c>
      <c r="AH1277">
        <v>2</v>
      </c>
      <c r="AI1277">
        <v>1</v>
      </c>
    </row>
    <row r="1278" spans="1:35" hidden="1" x14ac:dyDescent="0.25">
      <c r="A1278">
        <v>2021</v>
      </c>
      <c r="B1278" s="1">
        <v>44528</v>
      </c>
      <c r="C1278">
        <v>36</v>
      </c>
      <c r="D1278">
        <v>59896</v>
      </c>
      <c r="E1278">
        <v>61018</v>
      </c>
      <c r="F1278" t="s">
        <v>89</v>
      </c>
      <c r="G1278" t="s">
        <v>55</v>
      </c>
      <c r="H1278" t="s">
        <v>71</v>
      </c>
      <c r="I1278" t="s">
        <v>223</v>
      </c>
      <c r="J1278">
        <v>1</v>
      </c>
      <c r="K1278">
        <v>7</v>
      </c>
      <c r="L1278">
        <v>48200000</v>
      </c>
      <c r="M1278">
        <v>15750000</v>
      </c>
      <c r="N1278" t="s">
        <v>74</v>
      </c>
      <c r="O1278" t="s">
        <v>128</v>
      </c>
      <c r="P1278">
        <v>2</v>
      </c>
      <c r="Q1278">
        <v>1</v>
      </c>
      <c r="R1278">
        <v>1</v>
      </c>
      <c r="S1278">
        <v>1</v>
      </c>
      <c r="T1278">
        <v>7</v>
      </c>
      <c r="U1278">
        <v>3</v>
      </c>
      <c r="V1278">
        <v>22</v>
      </c>
      <c r="W1278">
        <v>18</v>
      </c>
      <c r="X1278">
        <v>16</v>
      </c>
      <c r="Y1278">
        <v>22</v>
      </c>
      <c r="Z1278">
        <v>3</v>
      </c>
      <c r="AA1278">
        <v>2</v>
      </c>
      <c r="AB1278">
        <v>0</v>
      </c>
      <c r="AC1278">
        <v>0</v>
      </c>
      <c r="AD1278">
        <v>9</v>
      </c>
      <c r="AE1278">
        <v>6</v>
      </c>
      <c r="AF1278">
        <v>5</v>
      </c>
      <c r="AG1278">
        <v>1</v>
      </c>
      <c r="AH1278">
        <v>1</v>
      </c>
      <c r="AI1278">
        <v>1</v>
      </c>
    </row>
    <row r="1279" spans="1:35" hidden="1" x14ac:dyDescent="0.25">
      <c r="A1279">
        <v>2021</v>
      </c>
      <c r="B1279" s="1">
        <v>44535</v>
      </c>
      <c r="C1279">
        <v>37</v>
      </c>
      <c r="D1279">
        <v>61573</v>
      </c>
      <c r="E1279">
        <v>62018</v>
      </c>
      <c r="F1279" t="s">
        <v>89</v>
      </c>
      <c r="G1279" t="s">
        <v>56</v>
      </c>
      <c r="H1279" t="s">
        <v>71</v>
      </c>
      <c r="I1279" t="s">
        <v>341</v>
      </c>
      <c r="J1279">
        <v>1</v>
      </c>
      <c r="K1279">
        <v>6</v>
      </c>
      <c r="L1279">
        <v>48200000</v>
      </c>
      <c r="M1279">
        <v>28100000</v>
      </c>
      <c r="N1279" t="s">
        <v>123</v>
      </c>
      <c r="O1279" t="s">
        <v>220</v>
      </c>
      <c r="P1279">
        <v>4</v>
      </c>
      <c r="Q1279">
        <v>3</v>
      </c>
      <c r="R1279">
        <v>1</v>
      </c>
      <c r="S1279">
        <v>1</v>
      </c>
      <c r="T1279">
        <v>5</v>
      </c>
      <c r="U1279">
        <v>3</v>
      </c>
      <c r="V1279">
        <v>5</v>
      </c>
      <c r="W1279">
        <v>10</v>
      </c>
      <c r="X1279">
        <v>10</v>
      </c>
      <c r="Y1279">
        <v>4</v>
      </c>
      <c r="Z1279">
        <v>8</v>
      </c>
      <c r="AA1279">
        <v>2</v>
      </c>
      <c r="AB1279">
        <v>1</v>
      </c>
      <c r="AC1279">
        <v>0</v>
      </c>
      <c r="AD1279">
        <v>13</v>
      </c>
      <c r="AE1279">
        <v>18</v>
      </c>
      <c r="AF1279">
        <v>4</v>
      </c>
      <c r="AG1279">
        <v>5</v>
      </c>
      <c r="AH1279">
        <v>1</v>
      </c>
      <c r="AI1279">
        <v>1</v>
      </c>
    </row>
    <row r="1280" spans="1:35" hidden="1" x14ac:dyDescent="0.25">
      <c r="A1280">
        <v>2021</v>
      </c>
      <c r="B1280" s="1">
        <v>44354</v>
      </c>
      <c r="C1280">
        <v>2</v>
      </c>
      <c r="D1280">
        <v>0</v>
      </c>
      <c r="E1280">
        <v>35000</v>
      </c>
      <c r="F1280" t="s">
        <v>391</v>
      </c>
      <c r="G1280" t="s">
        <v>89</v>
      </c>
      <c r="H1280" t="s">
        <v>238</v>
      </c>
      <c r="I1280" t="s">
        <v>71</v>
      </c>
      <c r="J1280">
        <v>11</v>
      </c>
      <c r="K1280">
        <v>15</v>
      </c>
      <c r="L1280">
        <v>6450000</v>
      </c>
      <c r="M1280">
        <v>34500000</v>
      </c>
      <c r="N1280" t="s">
        <v>209</v>
      </c>
      <c r="O1280" t="s">
        <v>200</v>
      </c>
      <c r="P1280">
        <v>0</v>
      </c>
      <c r="Q1280">
        <v>1</v>
      </c>
      <c r="R1280">
        <v>0</v>
      </c>
      <c r="S1280">
        <v>1</v>
      </c>
      <c r="T1280">
        <v>4</v>
      </c>
      <c r="U1280">
        <v>7</v>
      </c>
      <c r="V1280">
        <v>18</v>
      </c>
      <c r="W1280">
        <v>15</v>
      </c>
      <c r="X1280">
        <v>14</v>
      </c>
      <c r="Y1280">
        <v>17</v>
      </c>
      <c r="Z1280">
        <v>0</v>
      </c>
      <c r="AA1280">
        <v>1</v>
      </c>
      <c r="AB1280">
        <v>1</v>
      </c>
      <c r="AC1280">
        <v>0</v>
      </c>
      <c r="AD1280">
        <v>8</v>
      </c>
      <c r="AE1280">
        <v>10</v>
      </c>
      <c r="AF1280">
        <v>6</v>
      </c>
      <c r="AG1280">
        <v>5</v>
      </c>
      <c r="AH1280">
        <v>-1</v>
      </c>
      <c r="AI1280">
        <v>0</v>
      </c>
    </row>
    <row r="1281" spans="1:35" hidden="1" x14ac:dyDescent="0.25">
      <c r="A1281">
        <v>2021</v>
      </c>
      <c r="B1281" s="1">
        <v>44365</v>
      </c>
      <c r="C1281">
        <v>4</v>
      </c>
      <c r="D1281">
        <v>0</v>
      </c>
      <c r="E1281">
        <v>35000</v>
      </c>
      <c r="F1281" t="s">
        <v>391</v>
      </c>
      <c r="G1281" t="s">
        <v>83</v>
      </c>
      <c r="H1281" t="s">
        <v>238</v>
      </c>
      <c r="I1281" t="s">
        <v>333</v>
      </c>
      <c r="J1281">
        <v>17</v>
      </c>
      <c r="K1281">
        <v>16</v>
      </c>
      <c r="L1281">
        <v>6500000</v>
      </c>
      <c r="M1281">
        <v>34350000</v>
      </c>
      <c r="N1281">
        <v>27</v>
      </c>
      <c r="O1281" t="s">
        <v>144</v>
      </c>
      <c r="P1281">
        <v>1</v>
      </c>
      <c r="Q1281">
        <v>0</v>
      </c>
      <c r="R1281">
        <v>1</v>
      </c>
      <c r="S1281">
        <v>0</v>
      </c>
      <c r="T1281">
        <v>2</v>
      </c>
      <c r="U1281">
        <v>7</v>
      </c>
      <c r="V1281">
        <v>16</v>
      </c>
      <c r="W1281">
        <v>11</v>
      </c>
      <c r="X1281">
        <v>9</v>
      </c>
      <c r="Y1281">
        <v>15</v>
      </c>
      <c r="Z1281">
        <v>7</v>
      </c>
      <c r="AA1281">
        <v>3</v>
      </c>
      <c r="AB1281">
        <v>1</v>
      </c>
      <c r="AC1281">
        <v>2</v>
      </c>
      <c r="AD1281">
        <v>10</v>
      </c>
      <c r="AE1281">
        <v>14</v>
      </c>
      <c r="AF1281">
        <v>6</v>
      </c>
      <c r="AG1281">
        <v>5</v>
      </c>
      <c r="AH1281">
        <v>1</v>
      </c>
      <c r="AI1281">
        <v>1</v>
      </c>
    </row>
    <row r="1282" spans="1:35" hidden="1" x14ac:dyDescent="0.25">
      <c r="A1282">
        <v>2021</v>
      </c>
      <c r="B1282" s="1">
        <v>44375</v>
      </c>
      <c r="C1282">
        <v>7</v>
      </c>
      <c r="D1282">
        <v>0</v>
      </c>
      <c r="E1282">
        <v>35000</v>
      </c>
      <c r="F1282" t="s">
        <v>391</v>
      </c>
      <c r="G1282" t="s">
        <v>70</v>
      </c>
      <c r="H1282" t="s">
        <v>238</v>
      </c>
      <c r="I1282" t="s">
        <v>72</v>
      </c>
      <c r="J1282">
        <v>17</v>
      </c>
      <c r="K1282">
        <v>14</v>
      </c>
      <c r="L1282">
        <v>6900000</v>
      </c>
      <c r="M1282">
        <v>6100000</v>
      </c>
      <c r="N1282" t="s">
        <v>135</v>
      </c>
      <c r="O1282" t="s">
        <v>111</v>
      </c>
      <c r="P1282">
        <v>0</v>
      </c>
      <c r="Q1282">
        <v>0</v>
      </c>
      <c r="R1282">
        <v>0</v>
      </c>
      <c r="S1282">
        <v>0</v>
      </c>
      <c r="T1282">
        <v>3</v>
      </c>
      <c r="U1282">
        <v>7</v>
      </c>
      <c r="V1282">
        <v>11</v>
      </c>
      <c r="W1282">
        <v>17</v>
      </c>
      <c r="X1282">
        <v>16</v>
      </c>
      <c r="Y1282">
        <v>11</v>
      </c>
      <c r="Z1282">
        <v>3</v>
      </c>
      <c r="AA1282">
        <v>1</v>
      </c>
      <c r="AB1282">
        <v>3</v>
      </c>
      <c r="AC1282">
        <v>2</v>
      </c>
      <c r="AD1282">
        <v>8</v>
      </c>
      <c r="AE1282">
        <v>12</v>
      </c>
      <c r="AF1282">
        <v>3</v>
      </c>
      <c r="AG1282">
        <v>3</v>
      </c>
      <c r="AH1282">
        <v>0</v>
      </c>
      <c r="AI1282">
        <v>0</v>
      </c>
    </row>
    <row r="1283" spans="1:35" hidden="1" x14ac:dyDescent="0.25">
      <c r="A1283">
        <v>2021</v>
      </c>
      <c r="B1283" s="1">
        <v>44381</v>
      </c>
      <c r="C1283">
        <v>9</v>
      </c>
      <c r="D1283">
        <v>0</v>
      </c>
      <c r="E1283">
        <v>35000</v>
      </c>
      <c r="F1283" t="s">
        <v>391</v>
      </c>
      <c r="G1283" t="s">
        <v>95</v>
      </c>
      <c r="H1283" t="s">
        <v>238</v>
      </c>
      <c r="I1283" t="s">
        <v>97</v>
      </c>
      <c r="J1283">
        <v>16</v>
      </c>
      <c r="K1283">
        <v>3</v>
      </c>
      <c r="L1283">
        <v>7500000</v>
      </c>
      <c r="M1283">
        <v>36650000</v>
      </c>
      <c r="N1283" t="s">
        <v>135</v>
      </c>
      <c r="O1283" t="s">
        <v>100</v>
      </c>
      <c r="P1283">
        <v>0</v>
      </c>
      <c r="Q1283">
        <v>1</v>
      </c>
      <c r="R1283">
        <v>0</v>
      </c>
      <c r="S1283">
        <v>1</v>
      </c>
      <c r="T1283">
        <v>3</v>
      </c>
      <c r="U1283">
        <v>6</v>
      </c>
      <c r="V1283">
        <v>23</v>
      </c>
      <c r="W1283">
        <v>13</v>
      </c>
      <c r="X1283">
        <v>12</v>
      </c>
      <c r="Y1283">
        <v>23</v>
      </c>
      <c r="Z1283">
        <v>4</v>
      </c>
      <c r="AA1283">
        <v>1</v>
      </c>
      <c r="AB1283">
        <v>0</v>
      </c>
      <c r="AC1283">
        <v>1</v>
      </c>
      <c r="AD1283">
        <v>13</v>
      </c>
      <c r="AE1283">
        <v>14</v>
      </c>
      <c r="AF1283">
        <v>6</v>
      </c>
      <c r="AG1283">
        <v>3</v>
      </c>
      <c r="AH1283">
        <v>-1</v>
      </c>
      <c r="AI1283">
        <v>0</v>
      </c>
    </row>
    <row r="1284" spans="1:35" hidden="1" x14ac:dyDescent="0.25">
      <c r="A1284">
        <v>2021</v>
      </c>
      <c r="B1284" s="1">
        <v>44388</v>
      </c>
      <c r="C1284">
        <v>11</v>
      </c>
      <c r="D1284">
        <v>0</v>
      </c>
      <c r="E1284">
        <v>35000</v>
      </c>
      <c r="F1284" t="s">
        <v>391</v>
      </c>
      <c r="G1284" t="s">
        <v>55</v>
      </c>
      <c r="H1284" t="s">
        <v>238</v>
      </c>
      <c r="I1284" t="s">
        <v>46</v>
      </c>
      <c r="J1284">
        <v>18</v>
      </c>
      <c r="K1284">
        <v>12</v>
      </c>
      <c r="L1284">
        <v>7500000</v>
      </c>
      <c r="M1284">
        <v>18050000</v>
      </c>
      <c r="N1284" t="s">
        <v>86</v>
      </c>
      <c r="O1284" t="s">
        <v>74</v>
      </c>
      <c r="P1284">
        <v>1</v>
      </c>
      <c r="Q1284">
        <v>2</v>
      </c>
      <c r="R1284">
        <v>1</v>
      </c>
      <c r="S1284">
        <v>0</v>
      </c>
      <c r="T1284">
        <v>1</v>
      </c>
      <c r="U1284">
        <v>3</v>
      </c>
      <c r="V1284">
        <v>16</v>
      </c>
      <c r="W1284">
        <v>13</v>
      </c>
      <c r="X1284">
        <v>12</v>
      </c>
      <c r="Y1284">
        <v>16</v>
      </c>
      <c r="Z1284">
        <v>7</v>
      </c>
      <c r="AA1284">
        <v>2</v>
      </c>
      <c r="AB1284">
        <v>2</v>
      </c>
      <c r="AC1284">
        <v>3</v>
      </c>
      <c r="AD1284">
        <v>11</v>
      </c>
      <c r="AE1284">
        <v>13</v>
      </c>
      <c r="AF1284">
        <v>7</v>
      </c>
      <c r="AG1284">
        <v>3</v>
      </c>
      <c r="AH1284">
        <v>-1</v>
      </c>
      <c r="AI1284">
        <v>0</v>
      </c>
    </row>
    <row r="1285" spans="1:35" hidden="1" x14ac:dyDescent="0.25">
      <c r="A1285">
        <v>2021</v>
      </c>
      <c r="B1285" s="1">
        <v>44403</v>
      </c>
      <c r="C1285">
        <v>13</v>
      </c>
      <c r="D1285">
        <v>0</v>
      </c>
      <c r="E1285">
        <v>35000</v>
      </c>
      <c r="F1285" t="s">
        <v>391</v>
      </c>
      <c r="G1285" t="s">
        <v>361</v>
      </c>
      <c r="H1285" t="s">
        <v>238</v>
      </c>
      <c r="I1285" t="s">
        <v>340</v>
      </c>
      <c r="J1285">
        <v>17</v>
      </c>
      <c r="K1285">
        <v>7</v>
      </c>
      <c r="L1285">
        <v>5400000</v>
      </c>
      <c r="M1285">
        <v>6730000</v>
      </c>
      <c r="N1285" t="s">
        <v>176</v>
      </c>
      <c r="O1285" t="s">
        <v>116</v>
      </c>
      <c r="P1285">
        <v>0</v>
      </c>
      <c r="Q1285">
        <v>0</v>
      </c>
      <c r="R1285">
        <v>0</v>
      </c>
      <c r="S1285">
        <v>0</v>
      </c>
      <c r="T1285">
        <v>2</v>
      </c>
      <c r="U1285">
        <v>8</v>
      </c>
      <c r="V1285">
        <v>12</v>
      </c>
      <c r="W1285">
        <v>13</v>
      </c>
      <c r="X1285">
        <v>13</v>
      </c>
      <c r="Y1285">
        <v>12</v>
      </c>
      <c r="Z1285">
        <v>0</v>
      </c>
      <c r="AA1285">
        <v>0</v>
      </c>
      <c r="AB1285">
        <v>2</v>
      </c>
      <c r="AC1285">
        <v>1</v>
      </c>
      <c r="AD1285">
        <v>12</v>
      </c>
      <c r="AE1285">
        <v>14</v>
      </c>
      <c r="AF1285">
        <v>5</v>
      </c>
      <c r="AG1285">
        <v>11</v>
      </c>
      <c r="AH1285">
        <v>0</v>
      </c>
      <c r="AI1285">
        <v>0</v>
      </c>
    </row>
    <row r="1286" spans="1:35" hidden="1" x14ac:dyDescent="0.25">
      <c r="A1286">
        <v>2021</v>
      </c>
      <c r="B1286" s="1">
        <v>44415</v>
      </c>
      <c r="C1286">
        <v>15</v>
      </c>
      <c r="D1286">
        <v>0</v>
      </c>
      <c r="E1286">
        <v>35000</v>
      </c>
      <c r="F1286" t="s">
        <v>391</v>
      </c>
      <c r="G1286" t="s">
        <v>56</v>
      </c>
      <c r="H1286" t="s">
        <v>238</v>
      </c>
      <c r="I1286" t="s">
        <v>341</v>
      </c>
      <c r="J1286">
        <v>15</v>
      </c>
      <c r="K1286">
        <v>4</v>
      </c>
      <c r="L1286">
        <v>5250000</v>
      </c>
      <c r="M1286">
        <v>21800000</v>
      </c>
      <c r="N1286" t="s">
        <v>332</v>
      </c>
      <c r="O1286" t="s">
        <v>409</v>
      </c>
      <c r="P1286">
        <v>0</v>
      </c>
      <c r="Q1286">
        <v>0</v>
      </c>
      <c r="R1286">
        <v>0</v>
      </c>
      <c r="S1286">
        <v>0</v>
      </c>
      <c r="T1286">
        <v>9</v>
      </c>
      <c r="U1286">
        <v>8</v>
      </c>
      <c r="V1286">
        <v>17</v>
      </c>
      <c r="W1286">
        <v>14</v>
      </c>
      <c r="X1286">
        <v>14</v>
      </c>
      <c r="Y1286">
        <v>17</v>
      </c>
      <c r="Z1286">
        <v>4</v>
      </c>
      <c r="AA1286">
        <v>7</v>
      </c>
      <c r="AB1286">
        <v>0</v>
      </c>
      <c r="AC1286">
        <v>1</v>
      </c>
      <c r="AD1286">
        <v>17</v>
      </c>
      <c r="AE1286">
        <v>13</v>
      </c>
      <c r="AF1286">
        <v>8</v>
      </c>
      <c r="AG1286">
        <v>4</v>
      </c>
      <c r="AH1286">
        <v>0</v>
      </c>
      <c r="AI1286">
        <v>0</v>
      </c>
    </row>
    <row r="1287" spans="1:35" hidden="1" x14ac:dyDescent="0.25">
      <c r="A1287">
        <v>2021</v>
      </c>
      <c r="B1287" s="1">
        <v>44431</v>
      </c>
      <c r="C1287">
        <v>17</v>
      </c>
      <c r="D1287">
        <v>0</v>
      </c>
      <c r="E1287">
        <v>35000</v>
      </c>
      <c r="F1287" t="s">
        <v>391</v>
      </c>
      <c r="G1287" t="s">
        <v>62</v>
      </c>
      <c r="H1287" t="s">
        <v>238</v>
      </c>
      <c r="I1287" t="s">
        <v>390</v>
      </c>
      <c r="J1287">
        <v>17</v>
      </c>
      <c r="K1287">
        <v>15</v>
      </c>
      <c r="L1287">
        <v>6450000</v>
      </c>
      <c r="M1287">
        <v>26200000</v>
      </c>
      <c r="N1287" t="s">
        <v>41</v>
      </c>
      <c r="O1287" t="s">
        <v>174</v>
      </c>
      <c r="P1287">
        <v>0</v>
      </c>
      <c r="Q1287">
        <v>1</v>
      </c>
      <c r="R1287">
        <v>0</v>
      </c>
      <c r="S1287">
        <v>1</v>
      </c>
      <c r="T1287">
        <v>3</v>
      </c>
      <c r="U1287">
        <v>7</v>
      </c>
      <c r="V1287">
        <v>15</v>
      </c>
      <c r="W1287">
        <v>17</v>
      </c>
      <c r="X1287">
        <v>17</v>
      </c>
      <c r="Y1287">
        <v>15</v>
      </c>
      <c r="Z1287">
        <v>2</v>
      </c>
      <c r="AA1287">
        <v>4</v>
      </c>
      <c r="AB1287">
        <v>0</v>
      </c>
      <c r="AC1287">
        <v>0</v>
      </c>
      <c r="AD1287">
        <v>14</v>
      </c>
      <c r="AE1287">
        <v>12</v>
      </c>
      <c r="AF1287">
        <v>3</v>
      </c>
      <c r="AG1287">
        <v>6</v>
      </c>
      <c r="AH1287">
        <v>-1</v>
      </c>
      <c r="AI1287">
        <v>0</v>
      </c>
    </row>
    <row r="1288" spans="1:35" hidden="1" x14ac:dyDescent="0.25">
      <c r="A1288">
        <v>2021</v>
      </c>
      <c r="B1288" s="1">
        <v>44436</v>
      </c>
      <c r="C1288">
        <v>18</v>
      </c>
      <c r="D1288">
        <v>0</v>
      </c>
      <c r="E1288">
        <v>35000</v>
      </c>
      <c r="F1288" t="s">
        <v>391</v>
      </c>
      <c r="G1288" t="s">
        <v>394</v>
      </c>
      <c r="H1288" t="s">
        <v>412</v>
      </c>
      <c r="I1288" t="s">
        <v>374</v>
      </c>
      <c r="J1288">
        <v>18</v>
      </c>
      <c r="K1288">
        <v>20</v>
      </c>
      <c r="L1288">
        <v>6000000</v>
      </c>
      <c r="M1288">
        <v>4000000</v>
      </c>
      <c r="N1288" t="s">
        <v>80</v>
      </c>
      <c r="O1288" t="s">
        <v>80</v>
      </c>
      <c r="P1288">
        <v>0</v>
      </c>
      <c r="Q1288">
        <v>0</v>
      </c>
      <c r="R1288">
        <v>0</v>
      </c>
      <c r="S1288">
        <v>0</v>
      </c>
      <c r="T1288">
        <v>11</v>
      </c>
      <c r="U1288">
        <v>5</v>
      </c>
      <c r="V1288">
        <v>17</v>
      </c>
      <c r="W1288">
        <v>17</v>
      </c>
      <c r="X1288">
        <v>17</v>
      </c>
      <c r="Y1288">
        <v>15</v>
      </c>
      <c r="Z1288">
        <v>2</v>
      </c>
      <c r="AA1288">
        <v>7</v>
      </c>
      <c r="AB1288">
        <v>1</v>
      </c>
      <c r="AC1288">
        <v>2</v>
      </c>
      <c r="AD1288">
        <v>20</v>
      </c>
      <c r="AE1288">
        <v>15</v>
      </c>
      <c r="AF1288">
        <v>5</v>
      </c>
      <c r="AG1288">
        <v>9</v>
      </c>
      <c r="AH1288">
        <v>0</v>
      </c>
      <c r="AI1288">
        <v>0</v>
      </c>
    </row>
    <row r="1289" spans="1:35" hidden="1" x14ac:dyDescent="0.25">
      <c r="A1289">
        <v>2021</v>
      </c>
      <c r="B1289" s="1">
        <v>44453</v>
      </c>
      <c r="C1289">
        <v>20</v>
      </c>
      <c r="D1289">
        <v>0</v>
      </c>
      <c r="E1289">
        <v>35000</v>
      </c>
      <c r="F1289" t="s">
        <v>391</v>
      </c>
      <c r="G1289" t="s">
        <v>37</v>
      </c>
      <c r="H1289" t="s">
        <v>397</v>
      </c>
      <c r="I1289" t="s">
        <v>342</v>
      </c>
      <c r="J1289">
        <v>19</v>
      </c>
      <c r="K1289">
        <v>10</v>
      </c>
      <c r="L1289">
        <v>7350000</v>
      </c>
      <c r="M1289">
        <v>30000000</v>
      </c>
      <c r="N1289" t="s">
        <v>104</v>
      </c>
      <c r="O1289" t="s">
        <v>122</v>
      </c>
      <c r="P1289">
        <v>0</v>
      </c>
      <c r="Q1289">
        <v>1</v>
      </c>
      <c r="R1289">
        <v>0</v>
      </c>
      <c r="S1289">
        <v>1</v>
      </c>
      <c r="T1289">
        <v>5</v>
      </c>
      <c r="U1289">
        <v>4</v>
      </c>
      <c r="V1289">
        <v>21</v>
      </c>
      <c r="W1289">
        <v>20</v>
      </c>
      <c r="X1289">
        <v>19</v>
      </c>
      <c r="Y1289">
        <v>20</v>
      </c>
      <c r="Z1289">
        <v>3</v>
      </c>
      <c r="AA1289">
        <v>3</v>
      </c>
      <c r="AB1289">
        <v>2</v>
      </c>
      <c r="AC1289">
        <v>1</v>
      </c>
      <c r="AD1289">
        <v>14</v>
      </c>
      <c r="AE1289">
        <v>11</v>
      </c>
      <c r="AF1289">
        <v>7</v>
      </c>
      <c r="AG1289">
        <v>5</v>
      </c>
      <c r="AH1289">
        <v>-1</v>
      </c>
      <c r="AI1289">
        <v>0</v>
      </c>
    </row>
    <row r="1290" spans="1:35" hidden="1" x14ac:dyDescent="0.25">
      <c r="A1290">
        <v>2021</v>
      </c>
      <c r="B1290" s="1">
        <v>44465</v>
      </c>
      <c r="C1290">
        <v>22</v>
      </c>
      <c r="D1290">
        <v>0</v>
      </c>
      <c r="E1290">
        <v>46000</v>
      </c>
      <c r="F1290" t="s">
        <v>391</v>
      </c>
      <c r="G1290" t="s">
        <v>63</v>
      </c>
      <c r="H1290" t="s">
        <v>397</v>
      </c>
      <c r="I1290" t="s">
        <v>65</v>
      </c>
      <c r="J1290">
        <v>19</v>
      </c>
      <c r="K1290">
        <v>5</v>
      </c>
      <c r="L1290">
        <v>7800000</v>
      </c>
      <c r="M1290">
        <v>13000000</v>
      </c>
      <c r="N1290" t="s">
        <v>135</v>
      </c>
      <c r="O1290" t="s">
        <v>123</v>
      </c>
      <c r="P1290">
        <v>0</v>
      </c>
      <c r="Q1290">
        <v>1</v>
      </c>
      <c r="R1290">
        <v>0</v>
      </c>
      <c r="S1290">
        <v>1</v>
      </c>
      <c r="T1290">
        <v>3</v>
      </c>
      <c r="U1290">
        <v>3</v>
      </c>
      <c r="V1290">
        <v>19</v>
      </c>
      <c r="W1290">
        <v>14</v>
      </c>
      <c r="X1290">
        <v>13</v>
      </c>
      <c r="Y1290">
        <v>17</v>
      </c>
      <c r="Z1290">
        <v>6</v>
      </c>
      <c r="AA1290">
        <v>5</v>
      </c>
      <c r="AB1290">
        <v>2</v>
      </c>
      <c r="AC1290">
        <v>0</v>
      </c>
      <c r="AD1290">
        <v>18</v>
      </c>
      <c r="AE1290">
        <v>15</v>
      </c>
      <c r="AF1290">
        <v>8</v>
      </c>
      <c r="AG1290">
        <v>4</v>
      </c>
      <c r="AH1290">
        <v>-1</v>
      </c>
      <c r="AI1290">
        <v>0</v>
      </c>
    </row>
    <row r="1291" spans="1:35" hidden="1" x14ac:dyDescent="0.25">
      <c r="A1291">
        <v>2021</v>
      </c>
      <c r="B1291" s="1">
        <v>44476</v>
      </c>
      <c r="C1291">
        <v>24</v>
      </c>
      <c r="D1291">
        <v>1219</v>
      </c>
      <c r="E1291">
        <v>46000</v>
      </c>
      <c r="F1291" t="s">
        <v>391</v>
      </c>
      <c r="G1291" t="s">
        <v>44</v>
      </c>
      <c r="H1291" t="s">
        <v>397</v>
      </c>
      <c r="I1291" t="s">
        <v>368</v>
      </c>
      <c r="J1291">
        <v>19</v>
      </c>
      <c r="K1291">
        <v>15</v>
      </c>
      <c r="L1291">
        <v>7300000</v>
      </c>
      <c r="M1291">
        <v>6400000</v>
      </c>
      <c r="N1291" t="s">
        <v>104</v>
      </c>
      <c r="O1291" t="s">
        <v>168</v>
      </c>
      <c r="P1291">
        <v>3</v>
      </c>
      <c r="Q1291">
        <v>1</v>
      </c>
      <c r="R1291">
        <v>1</v>
      </c>
      <c r="S1291">
        <v>0</v>
      </c>
      <c r="T1291">
        <v>0</v>
      </c>
      <c r="U1291">
        <v>6</v>
      </c>
      <c r="V1291">
        <v>11</v>
      </c>
      <c r="W1291">
        <v>11</v>
      </c>
      <c r="X1291">
        <v>9</v>
      </c>
      <c r="Y1291">
        <v>11</v>
      </c>
      <c r="Z1291">
        <v>1</v>
      </c>
      <c r="AA1291">
        <v>5</v>
      </c>
      <c r="AB1291">
        <v>1</v>
      </c>
      <c r="AC1291">
        <v>1</v>
      </c>
      <c r="AD1291">
        <v>14</v>
      </c>
      <c r="AE1291">
        <v>9</v>
      </c>
      <c r="AF1291">
        <v>6</v>
      </c>
      <c r="AG1291">
        <v>4</v>
      </c>
      <c r="AH1291">
        <v>2</v>
      </c>
      <c r="AI1291">
        <v>1</v>
      </c>
    </row>
    <row r="1292" spans="1:35" hidden="1" x14ac:dyDescent="0.25">
      <c r="A1292">
        <v>2021</v>
      </c>
      <c r="B1292" s="1">
        <v>44478</v>
      </c>
      <c r="C1292">
        <v>25</v>
      </c>
      <c r="D1292">
        <v>2489</v>
      </c>
      <c r="E1292">
        <v>46000</v>
      </c>
      <c r="F1292" t="s">
        <v>391</v>
      </c>
      <c r="G1292" t="s">
        <v>88</v>
      </c>
      <c r="H1292" t="s">
        <v>397</v>
      </c>
      <c r="I1292" t="s">
        <v>392</v>
      </c>
      <c r="J1292">
        <v>19</v>
      </c>
      <c r="K1292">
        <v>5</v>
      </c>
      <c r="L1292">
        <v>7250000</v>
      </c>
      <c r="M1292">
        <v>32850000</v>
      </c>
      <c r="N1292" t="s">
        <v>176</v>
      </c>
      <c r="O1292" t="s">
        <v>208</v>
      </c>
      <c r="P1292">
        <v>1</v>
      </c>
      <c r="Q1292">
        <v>0</v>
      </c>
      <c r="R1292">
        <v>0</v>
      </c>
      <c r="S1292">
        <v>0</v>
      </c>
      <c r="T1292">
        <v>7</v>
      </c>
      <c r="U1292">
        <v>4</v>
      </c>
      <c r="V1292">
        <v>14</v>
      </c>
      <c r="W1292">
        <v>7</v>
      </c>
      <c r="X1292">
        <v>7</v>
      </c>
      <c r="Y1292">
        <v>14</v>
      </c>
      <c r="Z1292">
        <v>3</v>
      </c>
      <c r="AA1292">
        <v>2</v>
      </c>
      <c r="AB1292">
        <v>1</v>
      </c>
      <c r="AC1292">
        <v>1</v>
      </c>
      <c r="AD1292">
        <v>11</v>
      </c>
      <c r="AE1292">
        <v>9</v>
      </c>
      <c r="AF1292">
        <v>6</v>
      </c>
      <c r="AG1292">
        <v>2</v>
      </c>
      <c r="AH1292">
        <v>1</v>
      </c>
      <c r="AI1292">
        <v>1</v>
      </c>
    </row>
    <row r="1293" spans="1:35" hidden="1" x14ac:dyDescent="0.25">
      <c r="A1293">
        <v>2021</v>
      </c>
      <c r="B1293" s="1">
        <v>44487</v>
      </c>
      <c r="C1293">
        <v>27</v>
      </c>
      <c r="D1293">
        <v>5272</v>
      </c>
      <c r="E1293">
        <v>46000</v>
      </c>
      <c r="F1293" t="s">
        <v>391</v>
      </c>
      <c r="G1293" t="s">
        <v>326</v>
      </c>
      <c r="H1293" t="s">
        <v>397</v>
      </c>
      <c r="I1293" t="s">
        <v>379</v>
      </c>
      <c r="J1293">
        <v>18</v>
      </c>
      <c r="K1293">
        <v>13</v>
      </c>
      <c r="L1293">
        <v>7300000</v>
      </c>
      <c r="M1293">
        <v>16250000</v>
      </c>
      <c r="N1293" t="s">
        <v>332</v>
      </c>
      <c r="O1293" t="s">
        <v>168</v>
      </c>
      <c r="P1293">
        <v>0</v>
      </c>
      <c r="Q1293">
        <v>0</v>
      </c>
      <c r="R1293">
        <v>0</v>
      </c>
      <c r="S1293">
        <v>0</v>
      </c>
      <c r="T1293">
        <v>8</v>
      </c>
      <c r="U1293">
        <v>4</v>
      </c>
      <c r="V1293">
        <v>14</v>
      </c>
      <c r="W1293">
        <v>11</v>
      </c>
      <c r="X1293">
        <v>10</v>
      </c>
      <c r="Y1293">
        <v>14</v>
      </c>
      <c r="Z1293">
        <v>2</v>
      </c>
      <c r="AA1293">
        <v>3</v>
      </c>
      <c r="AB1293">
        <v>0</v>
      </c>
      <c r="AC1293">
        <v>2</v>
      </c>
      <c r="AD1293">
        <v>14</v>
      </c>
      <c r="AE1293">
        <v>10</v>
      </c>
      <c r="AF1293">
        <v>7</v>
      </c>
      <c r="AG1293">
        <v>3</v>
      </c>
      <c r="AH1293">
        <v>0</v>
      </c>
      <c r="AI1293">
        <v>0</v>
      </c>
    </row>
    <row r="1294" spans="1:35" hidden="1" x14ac:dyDescent="0.25">
      <c r="A1294">
        <v>2021</v>
      </c>
      <c r="B1294" s="1">
        <v>44501</v>
      </c>
      <c r="C1294">
        <v>29</v>
      </c>
      <c r="D1294">
        <v>3685</v>
      </c>
      <c r="E1294">
        <v>45000</v>
      </c>
      <c r="F1294" t="s">
        <v>391</v>
      </c>
      <c r="G1294" t="s">
        <v>76</v>
      </c>
      <c r="H1294" t="s">
        <v>397</v>
      </c>
      <c r="I1294" t="s">
        <v>375</v>
      </c>
      <c r="J1294">
        <v>19</v>
      </c>
      <c r="K1294">
        <v>9</v>
      </c>
      <c r="L1294">
        <v>7200000</v>
      </c>
      <c r="M1294">
        <v>7630000</v>
      </c>
      <c r="N1294" t="s">
        <v>163</v>
      </c>
      <c r="O1294" t="s">
        <v>163</v>
      </c>
      <c r="P1294">
        <v>2</v>
      </c>
      <c r="Q1294">
        <v>0</v>
      </c>
      <c r="R1294">
        <v>0</v>
      </c>
      <c r="S1294">
        <v>0</v>
      </c>
      <c r="T1294">
        <v>6</v>
      </c>
      <c r="U1294">
        <v>3</v>
      </c>
      <c r="V1294">
        <v>15</v>
      </c>
      <c r="W1294">
        <v>13</v>
      </c>
      <c r="X1294">
        <v>13</v>
      </c>
      <c r="Y1294">
        <v>13</v>
      </c>
      <c r="Z1294">
        <v>3</v>
      </c>
      <c r="AA1294">
        <v>4</v>
      </c>
      <c r="AB1294">
        <v>2</v>
      </c>
      <c r="AC1294">
        <v>0</v>
      </c>
      <c r="AD1294">
        <v>22</v>
      </c>
      <c r="AE1294">
        <v>16</v>
      </c>
      <c r="AF1294">
        <v>10</v>
      </c>
      <c r="AG1294">
        <v>8</v>
      </c>
      <c r="AH1294">
        <v>2</v>
      </c>
      <c r="AI1294">
        <v>1</v>
      </c>
    </row>
    <row r="1295" spans="1:35" hidden="1" x14ac:dyDescent="0.25">
      <c r="A1295">
        <v>2021</v>
      </c>
      <c r="B1295" s="1">
        <v>44511</v>
      </c>
      <c r="C1295">
        <v>31</v>
      </c>
      <c r="D1295">
        <v>5441</v>
      </c>
      <c r="E1295">
        <v>46000</v>
      </c>
      <c r="F1295" t="s">
        <v>391</v>
      </c>
      <c r="G1295" t="s">
        <v>310</v>
      </c>
      <c r="H1295" t="s">
        <v>397</v>
      </c>
      <c r="I1295" t="s">
        <v>368</v>
      </c>
      <c r="J1295">
        <v>18</v>
      </c>
      <c r="K1295">
        <v>11</v>
      </c>
      <c r="L1295">
        <v>6800000</v>
      </c>
      <c r="M1295">
        <v>5400000</v>
      </c>
      <c r="N1295" t="s">
        <v>117</v>
      </c>
      <c r="O1295" t="s">
        <v>205</v>
      </c>
      <c r="P1295">
        <v>2</v>
      </c>
      <c r="Q1295">
        <v>3</v>
      </c>
      <c r="R1295">
        <v>0</v>
      </c>
      <c r="S1295">
        <v>1</v>
      </c>
      <c r="T1295">
        <v>6</v>
      </c>
      <c r="U1295">
        <v>9</v>
      </c>
      <c r="V1295">
        <v>11</v>
      </c>
      <c r="W1295">
        <v>14</v>
      </c>
      <c r="X1295">
        <v>12</v>
      </c>
      <c r="Y1295">
        <v>11</v>
      </c>
      <c r="Z1295">
        <v>3</v>
      </c>
      <c r="AA1295">
        <v>1</v>
      </c>
      <c r="AB1295">
        <v>0</v>
      </c>
      <c r="AC1295">
        <v>1</v>
      </c>
      <c r="AD1295">
        <v>11</v>
      </c>
      <c r="AE1295">
        <v>14</v>
      </c>
      <c r="AF1295">
        <v>6</v>
      </c>
      <c r="AG1295">
        <v>3</v>
      </c>
      <c r="AH1295">
        <v>-1</v>
      </c>
      <c r="AI1295">
        <v>0</v>
      </c>
    </row>
    <row r="1296" spans="1:35" hidden="1" x14ac:dyDescent="0.25">
      <c r="A1296">
        <v>2021</v>
      </c>
      <c r="B1296" s="1">
        <v>44519</v>
      </c>
      <c r="C1296">
        <v>33</v>
      </c>
      <c r="D1296">
        <v>8096</v>
      </c>
      <c r="E1296">
        <v>23000</v>
      </c>
      <c r="F1296" t="s">
        <v>391</v>
      </c>
      <c r="G1296" t="s">
        <v>38</v>
      </c>
      <c r="H1296" t="s">
        <v>397</v>
      </c>
      <c r="I1296" t="s">
        <v>340</v>
      </c>
      <c r="J1296">
        <v>19</v>
      </c>
      <c r="K1296">
        <v>17</v>
      </c>
      <c r="L1296">
        <v>7250000</v>
      </c>
      <c r="M1296">
        <v>9350000</v>
      </c>
      <c r="N1296" t="s">
        <v>122</v>
      </c>
      <c r="O1296" t="s">
        <v>128</v>
      </c>
      <c r="P1296">
        <v>1</v>
      </c>
      <c r="Q1296">
        <v>0</v>
      </c>
      <c r="R1296">
        <v>0</v>
      </c>
      <c r="S1296">
        <v>0</v>
      </c>
      <c r="T1296">
        <v>3</v>
      </c>
      <c r="U1296">
        <v>5</v>
      </c>
      <c r="V1296">
        <v>19</v>
      </c>
      <c r="W1296">
        <v>14</v>
      </c>
      <c r="X1296">
        <v>13</v>
      </c>
      <c r="Y1296">
        <v>16</v>
      </c>
      <c r="Z1296">
        <v>4</v>
      </c>
      <c r="AA1296">
        <v>3</v>
      </c>
      <c r="AB1296">
        <v>0</v>
      </c>
      <c r="AC1296">
        <v>0</v>
      </c>
      <c r="AD1296">
        <v>16</v>
      </c>
      <c r="AE1296">
        <v>14</v>
      </c>
      <c r="AF1296">
        <v>6</v>
      </c>
      <c r="AG1296">
        <v>7</v>
      </c>
      <c r="AH1296">
        <v>1</v>
      </c>
      <c r="AI1296">
        <v>1</v>
      </c>
    </row>
    <row r="1297" spans="1:35" hidden="1" x14ac:dyDescent="0.25">
      <c r="A1297">
        <v>2021</v>
      </c>
      <c r="B1297" s="1">
        <v>44534</v>
      </c>
      <c r="C1297">
        <v>35</v>
      </c>
      <c r="D1297">
        <v>10523</v>
      </c>
      <c r="E1297">
        <v>35000</v>
      </c>
      <c r="F1297" t="s">
        <v>391</v>
      </c>
      <c r="G1297" t="s">
        <v>77</v>
      </c>
      <c r="H1297" t="s">
        <v>397</v>
      </c>
      <c r="I1297" t="s">
        <v>400</v>
      </c>
      <c r="J1297">
        <v>19</v>
      </c>
      <c r="K1297">
        <v>2</v>
      </c>
      <c r="L1297">
        <v>7250000</v>
      </c>
      <c r="M1297">
        <v>49300000</v>
      </c>
      <c r="N1297" t="s">
        <v>122</v>
      </c>
      <c r="O1297" t="s">
        <v>135</v>
      </c>
      <c r="P1297">
        <v>1</v>
      </c>
      <c r="Q1297">
        <v>1</v>
      </c>
      <c r="R1297">
        <v>0</v>
      </c>
      <c r="S1297">
        <v>1</v>
      </c>
      <c r="T1297">
        <v>6</v>
      </c>
      <c r="U1297">
        <v>6</v>
      </c>
      <c r="V1297">
        <v>13</v>
      </c>
      <c r="W1297">
        <v>11</v>
      </c>
      <c r="X1297">
        <v>11</v>
      </c>
      <c r="Y1297">
        <v>12</v>
      </c>
      <c r="Z1297">
        <v>6</v>
      </c>
      <c r="AA1297">
        <v>7</v>
      </c>
      <c r="AB1297">
        <v>0</v>
      </c>
      <c r="AC1297">
        <v>0</v>
      </c>
      <c r="AD1297">
        <v>15</v>
      </c>
      <c r="AE1297">
        <v>22</v>
      </c>
      <c r="AF1297">
        <v>4</v>
      </c>
      <c r="AG1297">
        <v>10</v>
      </c>
      <c r="AH1297">
        <v>0</v>
      </c>
      <c r="AI1297">
        <v>0</v>
      </c>
    </row>
    <row r="1298" spans="1:35" hidden="1" x14ac:dyDescent="0.25">
      <c r="A1298">
        <v>2021</v>
      </c>
      <c r="B1298" s="1">
        <v>44540</v>
      </c>
      <c r="C1298">
        <v>38</v>
      </c>
      <c r="D1298">
        <v>4215</v>
      </c>
      <c r="E1298">
        <v>46000</v>
      </c>
      <c r="F1298" t="s">
        <v>391</v>
      </c>
      <c r="G1298" t="s">
        <v>69</v>
      </c>
      <c r="H1298" t="s">
        <v>397</v>
      </c>
      <c r="I1298" t="s">
        <v>378</v>
      </c>
      <c r="J1298">
        <v>19</v>
      </c>
      <c r="K1298">
        <v>14</v>
      </c>
      <c r="L1298">
        <v>3780000</v>
      </c>
      <c r="M1298">
        <v>8250000</v>
      </c>
      <c r="N1298" t="s">
        <v>270</v>
      </c>
      <c r="O1298" t="s">
        <v>413</v>
      </c>
      <c r="P1298">
        <v>1</v>
      </c>
      <c r="Q1298">
        <v>1</v>
      </c>
      <c r="R1298">
        <v>1</v>
      </c>
      <c r="S1298">
        <v>1</v>
      </c>
      <c r="T1298">
        <v>6</v>
      </c>
      <c r="U1298">
        <v>4</v>
      </c>
      <c r="V1298">
        <v>17</v>
      </c>
      <c r="W1298">
        <v>14</v>
      </c>
      <c r="X1298">
        <v>14</v>
      </c>
      <c r="Y1298">
        <v>17</v>
      </c>
      <c r="Z1298">
        <v>3</v>
      </c>
      <c r="AA1298">
        <v>5</v>
      </c>
      <c r="AB1298">
        <v>1</v>
      </c>
      <c r="AC1298">
        <v>0</v>
      </c>
      <c r="AD1298">
        <v>18</v>
      </c>
      <c r="AE1298">
        <v>7</v>
      </c>
      <c r="AF1298">
        <v>8</v>
      </c>
      <c r="AG1298">
        <v>1</v>
      </c>
      <c r="AH1298">
        <v>0</v>
      </c>
      <c r="AI1298">
        <v>0</v>
      </c>
    </row>
    <row r="1299" spans="1:35" hidden="1" x14ac:dyDescent="0.25">
      <c r="A1299">
        <v>2021</v>
      </c>
      <c r="B1299" s="1">
        <v>44364</v>
      </c>
      <c r="C1299">
        <v>4</v>
      </c>
      <c r="D1299">
        <v>0</v>
      </c>
      <c r="E1299">
        <v>56000</v>
      </c>
      <c r="F1299" t="s">
        <v>37</v>
      </c>
      <c r="G1299" t="s">
        <v>89</v>
      </c>
      <c r="H1299" t="s">
        <v>399</v>
      </c>
      <c r="I1299" t="s">
        <v>71</v>
      </c>
      <c r="J1299">
        <v>14</v>
      </c>
      <c r="K1299">
        <v>5</v>
      </c>
      <c r="L1299">
        <v>33450000</v>
      </c>
      <c r="M1299">
        <v>32250000</v>
      </c>
      <c r="N1299" t="s">
        <v>117</v>
      </c>
      <c r="O1299" t="s">
        <v>128</v>
      </c>
      <c r="P1299">
        <v>0</v>
      </c>
      <c r="Q1299">
        <v>1</v>
      </c>
      <c r="R1299">
        <v>0</v>
      </c>
      <c r="S1299">
        <v>1</v>
      </c>
      <c r="T1299">
        <v>8</v>
      </c>
      <c r="U1299">
        <v>1</v>
      </c>
      <c r="V1299">
        <v>13</v>
      </c>
      <c r="W1299">
        <v>13</v>
      </c>
      <c r="X1299">
        <v>12</v>
      </c>
      <c r="Y1299">
        <v>12</v>
      </c>
      <c r="Z1299">
        <v>1</v>
      </c>
      <c r="AA1299">
        <v>1</v>
      </c>
      <c r="AB1299">
        <v>1</v>
      </c>
      <c r="AC1299">
        <v>0</v>
      </c>
      <c r="AD1299">
        <v>11</v>
      </c>
      <c r="AE1299">
        <v>6</v>
      </c>
      <c r="AF1299">
        <v>7</v>
      </c>
      <c r="AG1299">
        <v>4</v>
      </c>
      <c r="AH1299">
        <v>-1</v>
      </c>
      <c r="AI1299">
        <v>0</v>
      </c>
    </row>
    <row r="1300" spans="1:35" hidden="1" x14ac:dyDescent="0.25">
      <c r="A1300">
        <v>2021</v>
      </c>
      <c r="B1300" s="1">
        <v>44367</v>
      </c>
      <c r="C1300">
        <v>5</v>
      </c>
      <c r="D1300">
        <v>0</v>
      </c>
      <c r="E1300">
        <v>56000</v>
      </c>
      <c r="F1300" t="s">
        <v>37</v>
      </c>
      <c r="G1300" t="s">
        <v>361</v>
      </c>
      <c r="H1300" t="s">
        <v>342</v>
      </c>
      <c r="I1300" t="s">
        <v>340</v>
      </c>
      <c r="J1300">
        <v>15</v>
      </c>
      <c r="K1300">
        <v>13</v>
      </c>
      <c r="L1300">
        <v>27250000</v>
      </c>
      <c r="M1300">
        <v>7800000</v>
      </c>
      <c r="N1300" t="s">
        <v>80</v>
      </c>
      <c r="O1300" t="s">
        <v>104</v>
      </c>
      <c r="P1300">
        <v>1</v>
      </c>
      <c r="Q1300">
        <v>1</v>
      </c>
      <c r="R1300">
        <v>1</v>
      </c>
      <c r="S1300">
        <v>1</v>
      </c>
      <c r="T1300">
        <v>6</v>
      </c>
      <c r="U1300">
        <v>7</v>
      </c>
      <c r="V1300">
        <v>16</v>
      </c>
      <c r="W1300">
        <v>23</v>
      </c>
      <c r="X1300">
        <v>21</v>
      </c>
      <c r="Y1300">
        <v>16</v>
      </c>
      <c r="Z1300">
        <v>1</v>
      </c>
      <c r="AA1300">
        <v>1</v>
      </c>
      <c r="AB1300">
        <v>1</v>
      </c>
      <c r="AC1300">
        <v>1</v>
      </c>
      <c r="AD1300">
        <v>10</v>
      </c>
      <c r="AE1300">
        <v>14</v>
      </c>
      <c r="AF1300">
        <v>7</v>
      </c>
      <c r="AG1300">
        <v>10</v>
      </c>
      <c r="AH1300">
        <v>0</v>
      </c>
      <c r="AI1300">
        <v>0</v>
      </c>
    </row>
    <row r="1301" spans="1:35" hidden="1" x14ac:dyDescent="0.25">
      <c r="A1301">
        <v>2021</v>
      </c>
      <c r="B1301" s="1">
        <v>44378</v>
      </c>
      <c r="C1301">
        <v>8</v>
      </c>
      <c r="D1301">
        <v>0</v>
      </c>
      <c r="E1301">
        <v>56000</v>
      </c>
      <c r="F1301" t="s">
        <v>37</v>
      </c>
      <c r="G1301" t="s">
        <v>95</v>
      </c>
      <c r="H1301" t="s">
        <v>342</v>
      </c>
      <c r="I1301" t="s">
        <v>97</v>
      </c>
      <c r="J1301">
        <v>13</v>
      </c>
      <c r="K1301">
        <v>3</v>
      </c>
      <c r="L1301">
        <v>29600000</v>
      </c>
      <c r="M1301">
        <v>37350000</v>
      </c>
      <c r="N1301" t="s">
        <v>270</v>
      </c>
      <c r="O1301" t="s">
        <v>120</v>
      </c>
      <c r="P1301">
        <v>1</v>
      </c>
      <c r="Q1301">
        <v>2</v>
      </c>
      <c r="R1301">
        <v>0</v>
      </c>
      <c r="S1301">
        <v>1</v>
      </c>
      <c r="T1301">
        <v>7</v>
      </c>
      <c r="U1301">
        <v>3</v>
      </c>
      <c r="V1301">
        <v>14</v>
      </c>
      <c r="W1301">
        <v>13</v>
      </c>
      <c r="X1301">
        <v>13</v>
      </c>
      <c r="Y1301">
        <v>14</v>
      </c>
      <c r="Z1301">
        <v>4</v>
      </c>
      <c r="AA1301">
        <v>4</v>
      </c>
      <c r="AB1301">
        <v>0</v>
      </c>
      <c r="AC1301">
        <v>1</v>
      </c>
      <c r="AD1301">
        <v>16</v>
      </c>
      <c r="AE1301">
        <v>14</v>
      </c>
      <c r="AF1301">
        <v>5</v>
      </c>
      <c r="AG1301">
        <v>5</v>
      </c>
      <c r="AH1301">
        <v>-1</v>
      </c>
      <c r="AI1301">
        <v>0</v>
      </c>
    </row>
    <row r="1302" spans="1:35" hidden="1" x14ac:dyDescent="0.25">
      <c r="A1302">
        <v>2021</v>
      </c>
      <c r="B1302" s="1">
        <v>44385</v>
      </c>
      <c r="C1302">
        <v>10</v>
      </c>
      <c r="D1302">
        <v>0</v>
      </c>
      <c r="E1302">
        <v>56000</v>
      </c>
      <c r="F1302" t="s">
        <v>37</v>
      </c>
      <c r="G1302" t="s">
        <v>62</v>
      </c>
      <c r="H1302" t="s">
        <v>342</v>
      </c>
      <c r="I1302" t="s">
        <v>390</v>
      </c>
      <c r="J1302">
        <v>14</v>
      </c>
      <c r="K1302">
        <v>19</v>
      </c>
      <c r="L1302">
        <v>22300000</v>
      </c>
      <c r="M1302">
        <v>32100000</v>
      </c>
      <c r="N1302" t="s">
        <v>385</v>
      </c>
      <c r="O1302" t="s">
        <v>120</v>
      </c>
      <c r="P1302">
        <v>0</v>
      </c>
      <c r="Q1302">
        <v>2</v>
      </c>
      <c r="R1302">
        <v>0</v>
      </c>
      <c r="S1302">
        <v>1</v>
      </c>
      <c r="T1302">
        <v>7</v>
      </c>
      <c r="U1302">
        <v>3</v>
      </c>
      <c r="V1302">
        <v>21</v>
      </c>
      <c r="W1302">
        <v>24</v>
      </c>
      <c r="X1302">
        <v>24</v>
      </c>
      <c r="Y1302">
        <v>19</v>
      </c>
      <c r="Z1302">
        <v>3</v>
      </c>
      <c r="AA1302">
        <v>2</v>
      </c>
      <c r="AB1302">
        <v>0</v>
      </c>
      <c r="AC1302">
        <v>4</v>
      </c>
      <c r="AD1302">
        <v>9</v>
      </c>
      <c r="AE1302">
        <v>11</v>
      </c>
      <c r="AF1302">
        <v>4</v>
      </c>
      <c r="AG1302">
        <v>6</v>
      </c>
      <c r="AH1302">
        <v>-2</v>
      </c>
      <c r="AI1302">
        <v>0</v>
      </c>
    </row>
    <row r="1303" spans="1:35" hidden="1" x14ac:dyDescent="0.25">
      <c r="A1303">
        <v>2021</v>
      </c>
      <c r="B1303" s="1">
        <v>44396</v>
      </c>
      <c r="C1303">
        <v>12</v>
      </c>
      <c r="D1303">
        <v>0</v>
      </c>
      <c r="E1303">
        <v>56000</v>
      </c>
      <c r="F1303" t="s">
        <v>37</v>
      </c>
      <c r="G1303" t="s">
        <v>44</v>
      </c>
      <c r="H1303" t="s">
        <v>342</v>
      </c>
      <c r="I1303" t="s">
        <v>368</v>
      </c>
      <c r="J1303">
        <v>15</v>
      </c>
      <c r="K1303">
        <v>13</v>
      </c>
      <c r="L1303">
        <v>27650000</v>
      </c>
      <c r="M1303">
        <v>7150000</v>
      </c>
      <c r="N1303" t="s">
        <v>114</v>
      </c>
      <c r="O1303" t="s">
        <v>41</v>
      </c>
      <c r="P1303">
        <v>1</v>
      </c>
      <c r="Q1303">
        <v>0</v>
      </c>
      <c r="R1303">
        <v>0</v>
      </c>
      <c r="S1303">
        <v>0</v>
      </c>
      <c r="T1303">
        <v>7</v>
      </c>
      <c r="U1303">
        <v>5</v>
      </c>
      <c r="V1303">
        <v>19</v>
      </c>
      <c r="W1303">
        <v>14</v>
      </c>
      <c r="X1303">
        <v>13</v>
      </c>
      <c r="Y1303">
        <v>18</v>
      </c>
      <c r="Z1303">
        <v>4</v>
      </c>
      <c r="AA1303">
        <v>4</v>
      </c>
      <c r="AB1303">
        <v>0</v>
      </c>
      <c r="AC1303">
        <v>2</v>
      </c>
      <c r="AD1303">
        <v>14</v>
      </c>
      <c r="AE1303">
        <v>11</v>
      </c>
      <c r="AF1303">
        <v>6</v>
      </c>
      <c r="AG1303">
        <v>2</v>
      </c>
      <c r="AH1303">
        <v>1</v>
      </c>
      <c r="AI1303">
        <v>1</v>
      </c>
    </row>
    <row r="1304" spans="1:35" hidden="1" x14ac:dyDescent="0.25">
      <c r="A1304">
        <v>2021</v>
      </c>
      <c r="B1304" s="1">
        <v>44409</v>
      </c>
      <c r="C1304">
        <v>14</v>
      </c>
      <c r="D1304">
        <v>0</v>
      </c>
      <c r="E1304">
        <v>56000</v>
      </c>
      <c r="F1304" t="s">
        <v>37</v>
      </c>
      <c r="G1304" t="s">
        <v>70</v>
      </c>
      <c r="J1304">
        <v>14</v>
      </c>
      <c r="K1304">
        <v>15</v>
      </c>
      <c r="L1304">
        <v>27800000</v>
      </c>
      <c r="M1304">
        <v>6300000</v>
      </c>
      <c r="N1304">
        <v>28</v>
      </c>
      <c r="O1304" t="s">
        <v>86</v>
      </c>
      <c r="P1304">
        <v>0</v>
      </c>
      <c r="Q1304">
        <v>0</v>
      </c>
      <c r="R1304">
        <v>0</v>
      </c>
      <c r="S1304">
        <v>0</v>
      </c>
      <c r="T1304">
        <v>2</v>
      </c>
      <c r="U1304">
        <v>3</v>
      </c>
      <c r="V1304">
        <v>20</v>
      </c>
      <c r="W1304">
        <v>18</v>
      </c>
      <c r="X1304">
        <v>18</v>
      </c>
      <c r="Y1304">
        <v>17</v>
      </c>
      <c r="Z1304">
        <v>4</v>
      </c>
      <c r="AA1304">
        <v>3</v>
      </c>
      <c r="AB1304">
        <v>2</v>
      </c>
      <c r="AC1304">
        <v>0</v>
      </c>
      <c r="AD1304">
        <v>12</v>
      </c>
      <c r="AE1304">
        <v>13</v>
      </c>
      <c r="AF1304">
        <v>5</v>
      </c>
      <c r="AG1304">
        <v>7</v>
      </c>
      <c r="AH1304">
        <v>0</v>
      </c>
      <c r="AI1304">
        <v>0</v>
      </c>
    </row>
    <row r="1305" spans="1:35" hidden="1" x14ac:dyDescent="0.25">
      <c r="A1305">
        <v>2021</v>
      </c>
      <c r="B1305" s="1">
        <v>44424</v>
      </c>
      <c r="C1305">
        <v>16</v>
      </c>
      <c r="D1305">
        <v>0</v>
      </c>
      <c r="E1305">
        <v>56000</v>
      </c>
      <c r="F1305" t="s">
        <v>37</v>
      </c>
      <c r="G1305" t="s">
        <v>55</v>
      </c>
      <c r="H1305" t="s">
        <v>342</v>
      </c>
      <c r="I1305" t="s">
        <v>46</v>
      </c>
      <c r="J1305">
        <v>11</v>
      </c>
      <c r="K1305">
        <v>13</v>
      </c>
      <c r="L1305">
        <v>35550000</v>
      </c>
      <c r="M1305">
        <v>18650000</v>
      </c>
      <c r="N1305" t="s">
        <v>66</v>
      </c>
      <c r="O1305" t="s">
        <v>116</v>
      </c>
      <c r="P1305">
        <v>4</v>
      </c>
      <c r="Q1305">
        <v>2</v>
      </c>
      <c r="R1305">
        <v>1</v>
      </c>
      <c r="S1305">
        <v>1</v>
      </c>
      <c r="T1305">
        <v>5</v>
      </c>
      <c r="U1305">
        <v>8</v>
      </c>
      <c r="V1305">
        <v>14</v>
      </c>
      <c r="W1305">
        <v>8</v>
      </c>
      <c r="X1305">
        <v>7</v>
      </c>
      <c r="Y1305">
        <v>14</v>
      </c>
      <c r="Z1305">
        <v>3</v>
      </c>
      <c r="AA1305">
        <v>2</v>
      </c>
      <c r="AB1305">
        <v>2</v>
      </c>
      <c r="AC1305">
        <v>0</v>
      </c>
      <c r="AD1305">
        <v>17</v>
      </c>
      <c r="AE1305">
        <v>10</v>
      </c>
      <c r="AF1305">
        <v>5</v>
      </c>
      <c r="AG1305">
        <v>1</v>
      </c>
      <c r="AH1305">
        <v>2</v>
      </c>
      <c r="AI1305">
        <v>1</v>
      </c>
    </row>
    <row r="1306" spans="1:35" hidden="1" x14ac:dyDescent="0.25">
      <c r="A1306">
        <v>2021</v>
      </c>
      <c r="B1306" s="1">
        <v>44491</v>
      </c>
      <c r="C1306">
        <v>19</v>
      </c>
      <c r="D1306">
        <v>11026</v>
      </c>
      <c r="E1306">
        <v>56000</v>
      </c>
      <c r="F1306" t="s">
        <v>37</v>
      </c>
      <c r="G1306" t="s">
        <v>56</v>
      </c>
      <c r="H1306" t="s">
        <v>342</v>
      </c>
      <c r="I1306" t="s">
        <v>341</v>
      </c>
      <c r="J1306">
        <v>10</v>
      </c>
      <c r="K1306">
        <v>5</v>
      </c>
      <c r="L1306">
        <v>31800000</v>
      </c>
      <c r="M1306">
        <v>28100000</v>
      </c>
      <c r="N1306" t="s">
        <v>209</v>
      </c>
      <c r="O1306" t="s">
        <v>202</v>
      </c>
      <c r="P1306">
        <v>1</v>
      </c>
      <c r="Q1306">
        <v>1</v>
      </c>
      <c r="R1306">
        <v>1</v>
      </c>
      <c r="S1306">
        <v>0</v>
      </c>
      <c r="T1306">
        <v>1</v>
      </c>
      <c r="U1306">
        <v>6</v>
      </c>
      <c r="V1306">
        <v>18</v>
      </c>
      <c r="W1306">
        <v>13</v>
      </c>
      <c r="X1306">
        <v>13</v>
      </c>
      <c r="Y1306">
        <v>18</v>
      </c>
      <c r="Z1306">
        <v>5</v>
      </c>
      <c r="AA1306">
        <v>3</v>
      </c>
      <c r="AB1306">
        <v>1</v>
      </c>
      <c r="AC1306">
        <v>1</v>
      </c>
      <c r="AD1306">
        <v>9</v>
      </c>
      <c r="AE1306">
        <v>15</v>
      </c>
      <c r="AF1306">
        <v>3</v>
      </c>
      <c r="AG1306">
        <v>7</v>
      </c>
      <c r="AH1306">
        <v>0</v>
      </c>
      <c r="AI1306">
        <v>0</v>
      </c>
    </row>
    <row r="1307" spans="1:35" hidden="1" x14ac:dyDescent="0.25">
      <c r="A1307">
        <v>2021</v>
      </c>
      <c r="B1307" s="1">
        <v>44458</v>
      </c>
      <c r="C1307">
        <v>21</v>
      </c>
      <c r="D1307">
        <v>0</v>
      </c>
      <c r="E1307">
        <v>56000</v>
      </c>
      <c r="F1307" t="s">
        <v>37</v>
      </c>
      <c r="G1307" t="s">
        <v>63</v>
      </c>
      <c r="H1307" t="s">
        <v>342</v>
      </c>
      <c r="I1307" t="s">
        <v>65</v>
      </c>
      <c r="J1307">
        <v>8</v>
      </c>
      <c r="K1307">
        <v>4</v>
      </c>
      <c r="L1307">
        <v>33100000</v>
      </c>
      <c r="M1307">
        <v>12200000</v>
      </c>
      <c r="N1307" t="s">
        <v>163</v>
      </c>
      <c r="O1307" t="s">
        <v>129</v>
      </c>
      <c r="P1307">
        <v>1</v>
      </c>
      <c r="Q1307">
        <v>0</v>
      </c>
      <c r="R1307">
        <v>0</v>
      </c>
      <c r="S1307">
        <v>0</v>
      </c>
      <c r="T1307">
        <v>8</v>
      </c>
      <c r="U1307">
        <v>4</v>
      </c>
      <c r="V1307">
        <v>12</v>
      </c>
      <c r="W1307">
        <v>15</v>
      </c>
      <c r="X1307">
        <v>12</v>
      </c>
      <c r="Y1307">
        <v>12</v>
      </c>
      <c r="Z1307">
        <v>4</v>
      </c>
      <c r="AA1307">
        <v>4</v>
      </c>
      <c r="AB1307">
        <v>2</v>
      </c>
      <c r="AC1307">
        <v>1</v>
      </c>
      <c r="AD1307">
        <v>18</v>
      </c>
      <c r="AE1307">
        <v>11</v>
      </c>
      <c r="AF1307">
        <v>6</v>
      </c>
      <c r="AG1307">
        <v>4</v>
      </c>
      <c r="AH1307">
        <v>1</v>
      </c>
      <c r="AI1307">
        <v>1</v>
      </c>
    </row>
    <row r="1308" spans="1:35" hidden="1" x14ac:dyDescent="0.25">
      <c r="A1308">
        <v>2021</v>
      </c>
      <c r="B1308" s="1">
        <v>44465</v>
      </c>
      <c r="C1308">
        <v>22</v>
      </c>
      <c r="D1308">
        <v>0</v>
      </c>
      <c r="E1308">
        <v>56000</v>
      </c>
      <c r="F1308" t="s">
        <v>37</v>
      </c>
      <c r="G1308" t="s">
        <v>38</v>
      </c>
      <c r="H1308" t="s">
        <v>342</v>
      </c>
      <c r="I1308" t="s">
        <v>393</v>
      </c>
      <c r="J1308">
        <v>6</v>
      </c>
      <c r="K1308">
        <v>16</v>
      </c>
      <c r="L1308">
        <v>37300000</v>
      </c>
      <c r="M1308">
        <v>6500000</v>
      </c>
      <c r="N1308" t="s">
        <v>163</v>
      </c>
      <c r="O1308" t="s">
        <v>208</v>
      </c>
      <c r="P1308">
        <v>2</v>
      </c>
      <c r="Q1308">
        <v>0</v>
      </c>
      <c r="R1308">
        <v>1</v>
      </c>
      <c r="S1308">
        <v>0</v>
      </c>
      <c r="T1308">
        <v>8</v>
      </c>
      <c r="U1308">
        <v>7</v>
      </c>
      <c r="V1308">
        <v>19</v>
      </c>
      <c r="W1308">
        <v>15</v>
      </c>
      <c r="X1308">
        <v>14</v>
      </c>
      <c r="Y1308">
        <v>19</v>
      </c>
      <c r="Z1308">
        <v>2</v>
      </c>
      <c r="AA1308">
        <v>5</v>
      </c>
      <c r="AB1308">
        <v>0</v>
      </c>
      <c r="AC1308">
        <v>0</v>
      </c>
      <c r="AD1308">
        <v>12</v>
      </c>
      <c r="AE1308">
        <v>15</v>
      </c>
      <c r="AF1308">
        <v>1</v>
      </c>
      <c r="AG1308">
        <v>10</v>
      </c>
      <c r="AH1308">
        <v>2</v>
      </c>
      <c r="AI1308">
        <v>1</v>
      </c>
    </row>
    <row r="1309" spans="1:35" hidden="1" x14ac:dyDescent="0.25">
      <c r="A1309">
        <v>2021</v>
      </c>
      <c r="B1309" s="1">
        <v>44479</v>
      </c>
      <c r="C1309">
        <v>25</v>
      </c>
      <c r="D1309">
        <v>8506</v>
      </c>
      <c r="E1309">
        <v>56000</v>
      </c>
      <c r="F1309" t="s">
        <v>37</v>
      </c>
      <c r="G1309" t="s">
        <v>394</v>
      </c>
      <c r="H1309" t="s">
        <v>342</v>
      </c>
      <c r="I1309" t="s">
        <v>374</v>
      </c>
      <c r="J1309">
        <v>8</v>
      </c>
      <c r="K1309">
        <v>20</v>
      </c>
      <c r="L1309">
        <v>37100000</v>
      </c>
      <c r="M1309">
        <v>4000000</v>
      </c>
      <c r="N1309" t="s">
        <v>114</v>
      </c>
      <c r="O1309" t="s">
        <v>217</v>
      </c>
      <c r="P1309">
        <v>5</v>
      </c>
      <c r="Q1309">
        <v>2</v>
      </c>
      <c r="R1309">
        <v>4</v>
      </c>
      <c r="S1309">
        <v>0</v>
      </c>
      <c r="T1309">
        <v>7</v>
      </c>
      <c r="U1309">
        <v>7</v>
      </c>
      <c r="V1309">
        <v>16</v>
      </c>
      <c r="W1309">
        <v>14</v>
      </c>
      <c r="X1309">
        <v>14</v>
      </c>
      <c r="Y1309">
        <v>15</v>
      </c>
      <c r="Z1309">
        <v>2</v>
      </c>
      <c r="AA1309">
        <v>6</v>
      </c>
      <c r="AB1309">
        <v>1</v>
      </c>
      <c r="AC1309">
        <v>1</v>
      </c>
      <c r="AD1309">
        <v>15</v>
      </c>
      <c r="AE1309">
        <v>10</v>
      </c>
      <c r="AF1309">
        <v>3</v>
      </c>
      <c r="AG1309">
        <v>4</v>
      </c>
      <c r="AH1309">
        <v>3</v>
      </c>
      <c r="AI1309">
        <v>1</v>
      </c>
    </row>
    <row r="1310" spans="1:35" hidden="1" x14ac:dyDescent="0.25">
      <c r="A1310">
        <v>2021</v>
      </c>
      <c r="B1310" s="1">
        <v>44483</v>
      </c>
      <c r="C1310">
        <v>26</v>
      </c>
      <c r="D1310">
        <v>9711</v>
      </c>
      <c r="E1310">
        <v>56000</v>
      </c>
      <c r="F1310" t="s">
        <v>37</v>
      </c>
      <c r="G1310" t="s">
        <v>310</v>
      </c>
      <c r="H1310" t="s">
        <v>342</v>
      </c>
      <c r="I1310" t="s">
        <v>312</v>
      </c>
      <c r="J1310">
        <v>6</v>
      </c>
      <c r="K1310">
        <v>10</v>
      </c>
      <c r="L1310">
        <v>36500000</v>
      </c>
      <c r="M1310">
        <v>4400000</v>
      </c>
      <c r="N1310" t="s">
        <v>129</v>
      </c>
      <c r="O1310" t="s">
        <v>193</v>
      </c>
      <c r="P1310">
        <v>3</v>
      </c>
      <c r="Q1310">
        <v>1</v>
      </c>
      <c r="R1310">
        <v>1</v>
      </c>
      <c r="S1310">
        <v>1</v>
      </c>
      <c r="T1310">
        <v>4</v>
      </c>
      <c r="U1310">
        <v>6</v>
      </c>
      <c r="V1310">
        <v>21</v>
      </c>
      <c r="W1310">
        <v>23</v>
      </c>
      <c r="X1310">
        <v>22</v>
      </c>
      <c r="Y1310">
        <v>20</v>
      </c>
      <c r="Z1310">
        <v>1</v>
      </c>
      <c r="AA1310">
        <v>3</v>
      </c>
      <c r="AB1310">
        <v>2</v>
      </c>
      <c r="AC1310">
        <v>1</v>
      </c>
      <c r="AD1310">
        <v>10</v>
      </c>
      <c r="AE1310">
        <v>10</v>
      </c>
      <c r="AF1310">
        <v>4</v>
      </c>
      <c r="AG1310">
        <v>4</v>
      </c>
      <c r="AH1310">
        <v>2</v>
      </c>
      <c r="AI1310">
        <v>1</v>
      </c>
    </row>
    <row r="1311" spans="1:35" hidden="1" x14ac:dyDescent="0.25">
      <c r="A1311">
        <v>2021</v>
      </c>
      <c r="B1311" s="1">
        <v>44493</v>
      </c>
      <c r="C1311">
        <v>28</v>
      </c>
      <c r="D1311">
        <v>13126</v>
      </c>
      <c r="E1311">
        <v>56000</v>
      </c>
      <c r="F1311" t="s">
        <v>37</v>
      </c>
      <c r="G1311" t="s">
        <v>88</v>
      </c>
      <c r="H1311" t="s">
        <v>342</v>
      </c>
      <c r="I1311" t="s">
        <v>392</v>
      </c>
      <c r="J1311">
        <v>6</v>
      </c>
      <c r="K1311">
        <v>7</v>
      </c>
      <c r="L1311">
        <v>34400000</v>
      </c>
      <c r="M1311">
        <v>29250000</v>
      </c>
      <c r="N1311" t="s">
        <v>296</v>
      </c>
      <c r="O1311" t="s">
        <v>74</v>
      </c>
      <c r="P1311">
        <v>2</v>
      </c>
      <c r="Q1311">
        <v>2</v>
      </c>
      <c r="R1311">
        <v>1</v>
      </c>
      <c r="S1311">
        <v>0</v>
      </c>
      <c r="T1311">
        <v>3</v>
      </c>
      <c r="U1311">
        <v>2</v>
      </c>
      <c r="V1311">
        <v>23</v>
      </c>
      <c r="W1311">
        <v>11</v>
      </c>
      <c r="X1311">
        <v>10</v>
      </c>
      <c r="Y1311">
        <v>23</v>
      </c>
      <c r="Z1311">
        <v>0</v>
      </c>
      <c r="AA1311">
        <v>4</v>
      </c>
      <c r="AB1311">
        <v>4</v>
      </c>
      <c r="AC1311">
        <v>1</v>
      </c>
      <c r="AD1311">
        <v>11</v>
      </c>
      <c r="AE1311">
        <v>13</v>
      </c>
      <c r="AF1311">
        <v>4</v>
      </c>
      <c r="AG1311">
        <v>4</v>
      </c>
      <c r="AH1311">
        <v>0</v>
      </c>
      <c r="AI1311">
        <v>0</v>
      </c>
    </row>
    <row r="1312" spans="1:35" hidden="1" x14ac:dyDescent="0.25">
      <c r="A1312">
        <v>2021</v>
      </c>
      <c r="B1312" s="1">
        <v>44506</v>
      </c>
      <c r="C1312">
        <v>30</v>
      </c>
      <c r="D1312">
        <v>25951</v>
      </c>
      <c r="E1312">
        <v>56000</v>
      </c>
      <c r="F1312" t="s">
        <v>37</v>
      </c>
      <c r="G1312" t="s">
        <v>83</v>
      </c>
      <c r="H1312" t="s">
        <v>342</v>
      </c>
      <c r="I1312" t="s">
        <v>312</v>
      </c>
      <c r="J1312">
        <v>7</v>
      </c>
      <c r="K1312">
        <v>19</v>
      </c>
      <c r="L1312">
        <v>37400000</v>
      </c>
      <c r="M1312">
        <v>36800000</v>
      </c>
      <c r="N1312" t="s">
        <v>74</v>
      </c>
      <c r="O1312" t="s">
        <v>200</v>
      </c>
      <c r="P1312">
        <v>1</v>
      </c>
      <c r="Q1312">
        <v>0</v>
      </c>
      <c r="R1312">
        <v>1</v>
      </c>
      <c r="S1312">
        <v>0</v>
      </c>
      <c r="T1312">
        <v>4</v>
      </c>
      <c r="U1312">
        <v>8</v>
      </c>
      <c r="V1312">
        <v>19</v>
      </c>
      <c r="W1312">
        <v>17</v>
      </c>
      <c r="X1312">
        <v>16</v>
      </c>
      <c r="Y1312">
        <v>19</v>
      </c>
      <c r="Z1312">
        <v>5</v>
      </c>
      <c r="AA1312">
        <v>1</v>
      </c>
      <c r="AB1312">
        <v>1</v>
      </c>
      <c r="AC1312">
        <v>1</v>
      </c>
      <c r="AD1312">
        <v>9</v>
      </c>
      <c r="AE1312">
        <v>9</v>
      </c>
      <c r="AF1312">
        <v>6</v>
      </c>
      <c r="AG1312">
        <v>1</v>
      </c>
      <c r="AH1312">
        <v>1</v>
      </c>
      <c r="AI1312">
        <v>1</v>
      </c>
    </row>
    <row r="1313" spans="1:35" hidden="1" x14ac:dyDescent="0.25">
      <c r="A1313">
        <v>2021</v>
      </c>
      <c r="B1313" s="1">
        <v>44513</v>
      </c>
      <c r="C1313">
        <v>32</v>
      </c>
      <c r="D1313">
        <v>10046</v>
      </c>
      <c r="E1313">
        <v>56000</v>
      </c>
      <c r="F1313" t="s">
        <v>37</v>
      </c>
      <c r="G1313" t="s">
        <v>69</v>
      </c>
      <c r="H1313" t="s">
        <v>342</v>
      </c>
      <c r="I1313" t="s">
        <v>378</v>
      </c>
      <c r="J1313">
        <v>7</v>
      </c>
      <c r="K1313">
        <v>9</v>
      </c>
      <c r="L1313">
        <v>26400000</v>
      </c>
      <c r="M1313">
        <v>22250000</v>
      </c>
      <c r="N1313" t="s">
        <v>135</v>
      </c>
      <c r="O1313" t="s">
        <v>149</v>
      </c>
      <c r="P1313">
        <v>2</v>
      </c>
      <c r="Q1313">
        <v>1</v>
      </c>
      <c r="R1313">
        <v>1</v>
      </c>
      <c r="S1313">
        <v>1</v>
      </c>
      <c r="T1313">
        <v>5</v>
      </c>
      <c r="U1313">
        <v>5</v>
      </c>
      <c r="V1313">
        <v>17</v>
      </c>
      <c r="W1313">
        <v>13</v>
      </c>
      <c r="X1313">
        <v>13</v>
      </c>
      <c r="Y1313">
        <v>17</v>
      </c>
      <c r="Z1313">
        <v>0</v>
      </c>
      <c r="AA1313">
        <v>2</v>
      </c>
      <c r="AB1313">
        <v>4</v>
      </c>
      <c r="AC1313">
        <v>1</v>
      </c>
      <c r="AD1313">
        <v>15</v>
      </c>
      <c r="AE1313">
        <v>10</v>
      </c>
      <c r="AF1313">
        <v>7</v>
      </c>
      <c r="AG1313">
        <v>6</v>
      </c>
      <c r="AH1313">
        <v>1</v>
      </c>
      <c r="AI1313">
        <v>1</v>
      </c>
    </row>
    <row r="1314" spans="1:35" hidden="1" x14ac:dyDescent="0.25">
      <c r="A1314">
        <v>2021</v>
      </c>
      <c r="B1314" s="1">
        <v>44521</v>
      </c>
      <c r="C1314">
        <v>34</v>
      </c>
      <c r="D1314">
        <v>19004</v>
      </c>
      <c r="E1314">
        <v>56000</v>
      </c>
      <c r="F1314" t="s">
        <v>37</v>
      </c>
      <c r="G1314" t="s">
        <v>77</v>
      </c>
      <c r="H1314" t="s">
        <v>342</v>
      </c>
      <c r="I1314" t="s">
        <v>319</v>
      </c>
      <c r="J1314">
        <v>7</v>
      </c>
      <c r="K1314">
        <v>2</v>
      </c>
      <c r="L1314">
        <v>33400000</v>
      </c>
      <c r="M1314">
        <v>68450000</v>
      </c>
      <c r="N1314" t="s">
        <v>235</v>
      </c>
      <c r="O1314" t="s">
        <v>109</v>
      </c>
      <c r="P1314">
        <v>1</v>
      </c>
      <c r="Q1314">
        <v>2</v>
      </c>
      <c r="R1314">
        <v>1</v>
      </c>
      <c r="S1314">
        <v>2</v>
      </c>
      <c r="T1314">
        <v>8</v>
      </c>
      <c r="U1314">
        <v>5</v>
      </c>
      <c r="V1314">
        <v>14</v>
      </c>
      <c r="W1314">
        <v>13</v>
      </c>
      <c r="X1314">
        <v>13</v>
      </c>
      <c r="Y1314">
        <v>14</v>
      </c>
      <c r="Z1314">
        <v>6</v>
      </c>
      <c r="AA1314">
        <v>7</v>
      </c>
      <c r="AB1314">
        <v>3</v>
      </c>
      <c r="AC1314">
        <v>3</v>
      </c>
      <c r="AD1314">
        <v>22</v>
      </c>
      <c r="AE1314">
        <v>15</v>
      </c>
      <c r="AF1314">
        <v>9</v>
      </c>
      <c r="AG1314">
        <v>6</v>
      </c>
      <c r="AH1314">
        <v>-1</v>
      </c>
      <c r="AI1314">
        <v>0</v>
      </c>
    </row>
    <row r="1315" spans="1:35" hidden="1" x14ac:dyDescent="0.25">
      <c r="A1315">
        <v>2021</v>
      </c>
      <c r="B1315" s="1">
        <v>44528</v>
      </c>
      <c r="C1315">
        <v>36</v>
      </c>
      <c r="D1315">
        <v>13495</v>
      </c>
      <c r="E1315">
        <v>56000</v>
      </c>
      <c r="F1315" t="s">
        <v>37</v>
      </c>
      <c r="G1315" t="s">
        <v>326</v>
      </c>
      <c r="H1315" t="s">
        <v>342</v>
      </c>
      <c r="I1315" t="s">
        <v>379</v>
      </c>
      <c r="J1315">
        <v>10</v>
      </c>
      <c r="K1315">
        <v>12</v>
      </c>
      <c r="L1315">
        <v>34800000</v>
      </c>
      <c r="M1315">
        <v>28750000</v>
      </c>
      <c r="N1315" t="s">
        <v>120</v>
      </c>
      <c r="O1315" t="s">
        <v>414</v>
      </c>
      <c r="P1315">
        <v>1</v>
      </c>
      <c r="Q1315">
        <v>1</v>
      </c>
      <c r="R1315">
        <v>1</v>
      </c>
      <c r="S1315">
        <v>0</v>
      </c>
      <c r="T1315">
        <v>3</v>
      </c>
      <c r="U1315">
        <v>5</v>
      </c>
      <c r="V1315">
        <v>16</v>
      </c>
      <c r="W1315">
        <v>17</v>
      </c>
      <c r="X1315">
        <v>17</v>
      </c>
      <c r="Y1315">
        <v>13</v>
      </c>
      <c r="Z1315">
        <v>4</v>
      </c>
      <c r="AA1315">
        <v>6</v>
      </c>
      <c r="AB1315">
        <v>1</v>
      </c>
      <c r="AC1315">
        <v>1</v>
      </c>
      <c r="AD1315">
        <v>17</v>
      </c>
      <c r="AE1315">
        <v>13</v>
      </c>
      <c r="AF1315">
        <v>7</v>
      </c>
      <c r="AG1315">
        <v>5</v>
      </c>
      <c r="AH1315">
        <v>0</v>
      </c>
      <c r="AI1315">
        <v>0</v>
      </c>
    </row>
    <row r="1316" spans="1:35" hidden="1" x14ac:dyDescent="0.25">
      <c r="A1316">
        <v>2021</v>
      </c>
      <c r="B1316" s="1">
        <v>44537</v>
      </c>
      <c r="C1316">
        <v>37</v>
      </c>
      <c r="D1316">
        <v>19265</v>
      </c>
      <c r="E1316">
        <v>56000</v>
      </c>
      <c r="F1316" t="s">
        <v>37</v>
      </c>
      <c r="G1316" t="s">
        <v>76</v>
      </c>
      <c r="H1316" t="s">
        <v>342</v>
      </c>
      <c r="I1316" t="s">
        <v>408</v>
      </c>
      <c r="J1316">
        <v>10</v>
      </c>
      <c r="K1316">
        <v>11</v>
      </c>
      <c r="L1316">
        <v>37400000</v>
      </c>
      <c r="M1316">
        <v>8330000</v>
      </c>
      <c r="N1316" t="s">
        <v>74</v>
      </c>
      <c r="O1316" t="s">
        <v>104</v>
      </c>
      <c r="P1316">
        <v>1</v>
      </c>
      <c r="Q1316">
        <v>2</v>
      </c>
      <c r="R1316">
        <v>1</v>
      </c>
      <c r="S1316">
        <v>2</v>
      </c>
      <c r="T1316">
        <v>11</v>
      </c>
      <c r="U1316">
        <v>3</v>
      </c>
      <c r="V1316">
        <v>14</v>
      </c>
      <c r="W1316">
        <v>9</v>
      </c>
      <c r="X1316">
        <v>8</v>
      </c>
      <c r="Y1316">
        <v>13</v>
      </c>
      <c r="Z1316">
        <v>2</v>
      </c>
      <c r="AA1316">
        <v>5</v>
      </c>
      <c r="AB1316">
        <v>3</v>
      </c>
      <c r="AC1316">
        <v>0</v>
      </c>
      <c r="AD1316">
        <v>22</v>
      </c>
      <c r="AE1316">
        <v>11</v>
      </c>
      <c r="AF1316">
        <v>10</v>
      </c>
      <c r="AG1316">
        <v>5</v>
      </c>
      <c r="AH1316">
        <v>-1</v>
      </c>
      <c r="AI1316">
        <v>0</v>
      </c>
    </row>
    <row r="1317" spans="1:35" hidden="1" x14ac:dyDescent="0.25">
      <c r="A1317">
        <v>2021</v>
      </c>
      <c r="B1317" s="1">
        <v>44353</v>
      </c>
      <c r="C1317">
        <v>2</v>
      </c>
      <c r="D1317">
        <v>0</v>
      </c>
      <c r="E1317">
        <v>13212</v>
      </c>
      <c r="F1317" t="s">
        <v>56</v>
      </c>
      <c r="G1317" t="s">
        <v>38</v>
      </c>
      <c r="H1317" t="s">
        <v>341</v>
      </c>
      <c r="I1317" t="s">
        <v>398</v>
      </c>
      <c r="J1317">
        <v>2</v>
      </c>
      <c r="K1317">
        <v>1</v>
      </c>
      <c r="L1317">
        <v>18650000</v>
      </c>
      <c r="M1317">
        <v>10450000</v>
      </c>
      <c r="N1317" t="s">
        <v>332</v>
      </c>
      <c r="O1317" t="s">
        <v>163</v>
      </c>
      <c r="P1317">
        <v>3</v>
      </c>
      <c r="Q1317">
        <v>3</v>
      </c>
      <c r="R1317">
        <v>1</v>
      </c>
      <c r="S1317">
        <v>2</v>
      </c>
      <c r="T1317">
        <v>9</v>
      </c>
      <c r="U1317">
        <v>2</v>
      </c>
      <c r="V1317">
        <v>12</v>
      </c>
      <c r="W1317">
        <v>13</v>
      </c>
      <c r="X1317">
        <v>13</v>
      </c>
      <c r="Y1317">
        <v>12</v>
      </c>
      <c r="Z1317">
        <v>0</v>
      </c>
      <c r="AA1317">
        <v>3</v>
      </c>
      <c r="AB1317">
        <v>1</v>
      </c>
      <c r="AC1317">
        <v>3</v>
      </c>
      <c r="AD1317">
        <v>25</v>
      </c>
      <c r="AE1317">
        <v>9</v>
      </c>
      <c r="AF1317">
        <v>9</v>
      </c>
      <c r="AG1317">
        <v>3</v>
      </c>
      <c r="AH1317">
        <v>0</v>
      </c>
      <c r="AI1317">
        <v>0</v>
      </c>
    </row>
    <row r="1318" spans="1:35" hidden="1" x14ac:dyDescent="0.25">
      <c r="A1318">
        <v>2021</v>
      </c>
      <c r="B1318" s="1">
        <v>44361</v>
      </c>
      <c r="C1318">
        <v>3</v>
      </c>
      <c r="D1318">
        <v>0</v>
      </c>
      <c r="E1318">
        <v>13212</v>
      </c>
      <c r="F1318" t="s">
        <v>56</v>
      </c>
      <c r="G1318" t="s">
        <v>55</v>
      </c>
      <c r="H1318" t="s">
        <v>341</v>
      </c>
      <c r="I1318" t="s">
        <v>46</v>
      </c>
      <c r="J1318">
        <v>5</v>
      </c>
      <c r="K1318">
        <v>7</v>
      </c>
      <c r="L1318">
        <v>36100000</v>
      </c>
      <c r="M1318">
        <v>18150000</v>
      </c>
      <c r="N1318" t="s">
        <v>60</v>
      </c>
      <c r="O1318" t="s">
        <v>137</v>
      </c>
      <c r="P1318">
        <v>2</v>
      </c>
      <c r="Q1318">
        <v>2</v>
      </c>
      <c r="R1318">
        <v>2</v>
      </c>
      <c r="S1318">
        <v>0</v>
      </c>
      <c r="T1318">
        <v>10</v>
      </c>
      <c r="U1318">
        <v>10</v>
      </c>
      <c r="V1318">
        <v>11</v>
      </c>
      <c r="W1318">
        <v>8</v>
      </c>
      <c r="X1318">
        <v>8</v>
      </c>
      <c r="Y1318">
        <v>9</v>
      </c>
      <c r="Z1318">
        <v>2</v>
      </c>
      <c r="AA1318">
        <v>3</v>
      </c>
      <c r="AB1318">
        <v>0</v>
      </c>
      <c r="AC1318">
        <v>2</v>
      </c>
      <c r="AD1318">
        <v>16</v>
      </c>
      <c r="AE1318">
        <v>15</v>
      </c>
      <c r="AF1318">
        <v>6</v>
      </c>
      <c r="AG1318">
        <v>7</v>
      </c>
      <c r="AH1318">
        <v>0</v>
      </c>
      <c r="AI1318">
        <v>0</v>
      </c>
    </row>
    <row r="1319" spans="1:35" hidden="1" x14ac:dyDescent="0.25">
      <c r="A1319">
        <v>2021</v>
      </c>
      <c r="B1319" s="1">
        <v>44371</v>
      </c>
      <c r="C1319">
        <v>6</v>
      </c>
      <c r="D1319">
        <v>0</v>
      </c>
      <c r="E1319">
        <v>13212</v>
      </c>
      <c r="F1319" t="s">
        <v>56</v>
      </c>
      <c r="G1319" t="s">
        <v>95</v>
      </c>
      <c r="H1319" t="s">
        <v>341</v>
      </c>
      <c r="I1319" t="s">
        <v>97</v>
      </c>
      <c r="J1319">
        <v>3</v>
      </c>
      <c r="K1319">
        <v>4</v>
      </c>
      <c r="L1319">
        <v>25400000</v>
      </c>
      <c r="M1319">
        <v>30350000</v>
      </c>
      <c r="N1319" t="s">
        <v>339</v>
      </c>
      <c r="O1319" t="s">
        <v>123</v>
      </c>
      <c r="P1319">
        <v>3</v>
      </c>
      <c r="Q1319">
        <v>1</v>
      </c>
      <c r="R1319">
        <v>2</v>
      </c>
      <c r="S1319">
        <v>0</v>
      </c>
      <c r="T1319">
        <v>5</v>
      </c>
      <c r="U1319">
        <v>10</v>
      </c>
      <c r="V1319">
        <v>13</v>
      </c>
      <c r="W1319">
        <v>13</v>
      </c>
      <c r="X1319">
        <v>12</v>
      </c>
      <c r="Y1319">
        <v>13</v>
      </c>
      <c r="Z1319">
        <v>5</v>
      </c>
      <c r="AA1319">
        <v>3</v>
      </c>
      <c r="AB1319">
        <v>1</v>
      </c>
      <c r="AC1319">
        <v>1</v>
      </c>
      <c r="AD1319">
        <v>12</v>
      </c>
      <c r="AE1319">
        <v>18</v>
      </c>
      <c r="AF1319">
        <v>4</v>
      </c>
      <c r="AG1319">
        <v>10</v>
      </c>
      <c r="AH1319">
        <v>2</v>
      </c>
      <c r="AI1319">
        <v>1</v>
      </c>
    </row>
    <row r="1320" spans="1:35" hidden="1" x14ac:dyDescent="0.25">
      <c r="A1320">
        <v>2021</v>
      </c>
      <c r="B1320" s="1">
        <v>44378</v>
      </c>
      <c r="C1320">
        <v>8</v>
      </c>
      <c r="D1320">
        <v>0</v>
      </c>
      <c r="E1320">
        <v>13212</v>
      </c>
      <c r="F1320" t="s">
        <v>56</v>
      </c>
      <c r="G1320" t="s">
        <v>361</v>
      </c>
      <c r="H1320" t="s">
        <v>341</v>
      </c>
      <c r="I1320" t="s">
        <v>340</v>
      </c>
      <c r="J1320">
        <v>1</v>
      </c>
      <c r="K1320">
        <v>12</v>
      </c>
      <c r="L1320">
        <v>33700000</v>
      </c>
      <c r="M1320">
        <v>8330000</v>
      </c>
      <c r="N1320" t="s">
        <v>239</v>
      </c>
      <c r="O1320" t="s">
        <v>209</v>
      </c>
      <c r="P1320">
        <v>0</v>
      </c>
      <c r="Q1320">
        <v>0</v>
      </c>
      <c r="R1320">
        <v>0</v>
      </c>
      <c r="S1320">
        <v>0</v>
      </c>
      <c r="T1320">
        <v>6</v>
      </c>
      <c r="U1320">
        <v>6</v>
      </c>
      <c r="V1320">
        <v>11</v>
      </c>
      <c r="W1320">
        <v>17</v>
      </c>
      <c r="X1320">
        <v>17</v>
      </c>
      <c r="Y1320">
        <v>10</v>
      </c>
      <c r="Z1320">
        <v>3</v>
      </c>
      <c r="AA1320">
        <v>2</v>
      </c>
      <c r="AB1320">
        <v>0</v>
      </c>
      <c r="AC1320">
        <v>2</v>
      </c>
      <c r="AD1320">
        <v>13</v>
      </c>
      <c r="AE1320">
        <v>9</v>
      </c>
      <c r="AF1320">
        <v>8</v>
      </c>
      <c r="AG1320">
        <v>3</v>
      </c>
      <c r="AH1320">
        <v>0</v>
      </c>
      <c r="AI1320">
        <v>0</v>
      </c>
    </row>
    <row r="1321" spans="1:35" hidden="1" x14ac:dyDescent="0.25">
      <c r="A1321">
        <v>2021</v>
      </c>
      <c r="B1321" s="1">
        <v>44384</v>
      </c>
      <c r="C1321">
        <v>10</v>
      </c>
      <c r="D1321">
        <v>0</v>
      </c>
      <c r="E1321">
        <v>13212</v>
      </c>
      <c r="F1321" t="s">
        <v>56</v>
      </c>
      <c r="G1321" t="s">
        <v>70</v>
      </c>
      <c r="J1321">
        <v>1</v>
      </c>
      <c r="K1321">
        <v>16</v>
      </c>
      <c r="L1321">
        <v>28000000</v>
      </c>
      <c r="M1321">
        <v>6450000</v>
      </c>
      <c r="N1321" t="s">
        <v>171</v>
      </c>
      <c r="O1321" t="s">
        <v>123</v>
      </c>
      <c r="P1321">
        <v>1</v>
      </c>
      <c r="Q1321">
        <v>1</v>
      </c>
      <c r="R1321">
        <v>1</v>
      </c>
      <c r="S1321">
        <v>0</v>
      </c>
      <c r="T1321">
        <v>4</v>
      </c>
      <c r="U1321">
        <v>6</v>
      </c>
      <c r="V1321">
        <v>15</v>
      </c>
      <c r="W1321">
        <v>21</v>
      </c>
      <c r="X1321">
        <v>20</v>
      </c>
      <c r="Y1321">
        <v>15</v>
      </c>
      <c r="Z1321">
        <v>1</v>
      </c>
      <c r="AA1321">
        <v>0</v>
      </c>
      <c r="AB1321">
        <v>0</v>
      </c>
      <c r="AC1321">
        <v>1</v>
      </c>
      <c r="AD1321">
        <v>10</v>
      </c>
      <c r="AE1321">
        <v>9</v>
      </c>
      <c r="AF1321">
        <v>6</v>
      </c>
      <c r="AG1321">
        <v>6</v>
      </c>
      <c r="AH1321">
        <v>0</v>
      </c>
      <c r="AI1321">
        <v>0</v>
      </c>
    </row>
    <row r="1322" spans="1:35" hidden="1" x14ac:dyDescent="0.25">
      <c r="A1322">
        <v>2021</v>
      </c>
      <c r="B1322" s="1">
        <v>44396</v>
      </c>
      <c r="C1322">
        <v>12</v>
      </c>
      <c r="D1322">
        <v>0</v>
      </c>
      <c r="E1322">
        <v>13212</v>
      </c>
      <c r="F1322" t="s">
        <v>56</v>
      </c>
      <c r="G1322" t="s">
        <v>326</v>
      </c>
      <c r="H1322" t="s">
        <v>341</v>
      </c>
      <c r="I1322" t="s">
        <v>57</v>
      </c>
      <c r="J1322">
        <v>2</v>
      </c>
      <c r="K1322">
        <v>9</v>
      </c>
      <c r="L1322">
        <v>25800000</v>
      </c>
      <c r="M1322">
        <v>32000000</v>
      </c>
      <c r="N1322" t="s">
        <v>253</v>
      </c>
      <c r="O1322" t="s">
        <v>117</v>
      </c>
      <c r="P1322">
        <v>2</v>
      </c>
      <c r="Q1322">
        <v>2</v>
      </c>
      <c r="R1322">
        <v>1</v>
      </c>
      <c r="S1322">
        <v>0</v>
      </c>
      <c r="T1322">
        <v>5</v>
      </c>
      <c r="U1322">
        <v>4</v>
      </c>
      <c r="V1322">
        <v>17</v>
      </c>
      <c r="W1322">
        <v>15</v>
      </c>
      <c r="X1322">
        <v>13</v>
      </c>
      <c r="Y1322">
        <v>16</v>
      </c>
      <c r="Z1322">
        <v>3</v>
      </c>
      <c r="AA1322">
        <v>3</v>
      </c>
      <c r="AB1322">
        <v>2</v>
      </c>
      <c r="AC1322">
        <v>3</v>
      </c>
      <c r="AD1322">
        <v>11</v>
      </c>
      <c r="AE1322">
        <v>16</v>
      </c>
      <c r="AF1322">
        <v>4</v>
      </c>
      <c r="AG1322">
        <v>5</v>
      </c>
      <c r="AH1322">
        <v>0</v>
      </c>
      <c r="AI1322">
        <v>0</v>
      </c>
    </row>
    <row r="1323" spans="1:35" hidden="1" x14ac:dyDescent="0.25">
      <c r="A1323">
        <v>2021</v>
      </c>
      <c r="B1323" s="1">
        <v>44409</v>
      </c>
      <c r="C1323">
        <v>14</v>
      </c>
      <c r="D1323">
        <v>0</v>
      </c>
      <c r="E1323">
        <v>13212</v>
      </c>
      <c r="F1323" t="s">
        <v>56</v>
      </c>
      <c r="G1323" t="s">
        <v>83</v>
      </c>
      <c r="H1323" t="s">
        <v>341</v>
      </c>
      <c r="I1323" t="s">
        <v>336</v>
      </c>
      <c r="J1323">
        <v>5</v>
      </c>
      <c r="K1323">
        <v>17</v>
      </c>
      <c r="L1323">
        <v>26000000</v>
      </c>
      <c r="M1323">
        <v>24600000</v>
      </c>
      <c r="N1323" t="s">
        <v>233</v>
      </c>
      <c r="O1323" t="s">
        <v>228</v>
      </c>
      <c r="P1323">
        <v>1</v>
      </c>
      <c r="Q1323">
        <v>0</v>
      </c>
      <c r="R1323">
        <v>0</v>
      </c>
      <c r="S1323">
        <v>0</v>
      </c>
      <c r="T1323">
        <v>4</v>
      </c>
      <c r="U1323">
        <v>5</v>
      </c>
      <c r="V1323">
        <v>13</v>
      </c>
      <c r="W1323">
        <v>19</v>
      </c>
      <c r="X1323">
        <v>18</v>
      </c>
      <c r="Y1323">
        <v>13</v>
      </c>
      <c r="Z1323">
        <v>1</v>
      </c>
      <c r="AA1323">
        <v>2</v>
      </c>
      <c r="AB1323">
        <v>1</v>
      </c>
      <c r="AC1323">
        <v>0</v>
      </c>
      <c r="AD1323">
        <v>12</v>
      </c>
      <c r="AE1323">
        <v>7</v>
      </c>
      <c r="AF1323">
        <v>6</v>
      </c>
      <c r="AG1323">
        <v>3</v>
      </c>
      <c r="AH1323">
        <v>1</v>
      </c>
      <c r="AI1323">
        <v>1</v>
      </c>
    </row>
    <row r="1324" spans="1:35" hidden="1" x14ac:dyDescent="0.25">
      <c r="A1324">
        <v>2021</v>
      </c>
      <c r="B1324" s="1">
        <v>44422</v>
      </c>
      <c r="C1324">
        <v>16</v>
      </c>
      <c r="D1324">
        <v>0</v>
      </c>
      <c r="E1324">
        <v>13212</v>
      </c>
      <c r="F1324" t="s">
        <v>56</v>
      </c>
      <c r="G1324" t="s">
        <v>44</v>
      </c>
      <c r="H1324" t="s">
        <v>341</v>
      </c>
      <c r="I1324" t="s">
        <v>368</v>
      </c>
      <c r="J1324">
        <v>4</v>
      </c>
      <c r="K1324">
        <v>14</v>
      </c>
      <c r="L1324">
        <v>15630000</v>
      </c>
      <c r="M1324">
        <v>6600000</v>
      </c>
      <c r="N1324" t="s">
        <v>415</v>
      </c>
      <c r="O1324" t="s">
        <v>128</v>
      </c>
      <c r="P1324">
        <v>1</v>
      </c>
      <c r="Q1324">
        <v>2</v>
      </c>
      <c r="R1324">
        <v>1</v>
      </c>
      <c r="S1324">
        <v>0</v>
      </c>
      <c r="T1324">
        <v>2</v>
      </c>
      <c r="U1324">
        <v>9</v>
      </c>
      <c r="V1324">
        <v>14</v>
      </c>
      <c r="W1324">
        <v>14</v>
      </c>
      <c r="X1324">
        <v>13</v>
      </c>
      <c r="Y1324">
        <v>13</v>
      </c>
      <c r="Z1324">
        <v>4</v>
      </c>
      <c r="AA1324">
        <v>0</v>
      </c>
      <c r="AB1324">
        <v>1</v>
      </c>
      <c r="AC1324">
        <v>2</v>
      </c>
      <c r="AD1324">
        <v>5</v>
      </c>
      <c r="AE1324">
        <v>14</v>
      </c>
      <c r="AF1324">
        <v>3</v>
      </c>
      <c r="AG1324">
        <v>3</v>
      </c>
      <c r="AH1324">
        <v>-1</v>
      </c>
      <c r="AI1324">
        <v>0</v>
      </c>
    </row>
    <row r="1325" spans="1:35" hidden="1" x14ac:dyDescent="0.25">
      <c r="A1325">
        <v>2021</v>
      </c>
      <c r="B1325" s="1">
        <v>44438</v>
      </c>
      <c r="C1325">
        <v>18</v>
      </c>
      <c r="D1325">
        <v>0</v>
      </c>
      <c r="E1325">
        <v>13212</v>
      </c>
      <c r="F1325" t="s">
        <v>56</v>
      </c>
      <c r="G1325" t="s">
        <v>89</v>
      </c>
      <c r="H1325" t="s">
        <v>341</v>
      </c>
      <c r="I1325" t="s">
        <v>71</v>
      </c>
      <c r="J1325">
        <v>4</v>
      </c>
      <c r="K1325">
        <v>1</v>
      </c>
      <c r="L1325">
        <v>26700000</v>
      </c>
      <c r="M1325">
        <v>41800000</v>
      </c>
      <c r="N1325" t="s">
        <v>60</v>
      </c>
      <c r="O1325">
        <v>29</v>
      </c>
      <c r="P1325">
        <v>1</v>
      </c>
      <c r="Q1325">
        <v>1</v>
      </c>
      <c r="R1325">
        <v>1</v>
      </c>
      <c r="S1325">
        <v>0</v>
      </c>
      <c r="T1325">
        <v>1</v>
      </c>
      <c r="U1325">
        <v>17</v>
      </c>
      <c r="V1325">
        <v>16</v>
      </c>
      <c r="W1325">
        <v>18</v>
      </c>
      <c r="X1325">
        <v>18</v>
      </c>
      <c r="Y1325">
        <v>16</v>
      </c>
      <c r="Z1325">
        <v>6</v>
      </c>
      <c r="AA1325">
        <v>0</v>
      </c>
      <c r="AB1325">
        <v>1</v>
      </c>
      <c r="AC1325">
        <v>1</v>
      </c>
      <c r="AD1325">
        <v>5</v>
      </c>
      <c r="AE1325">
        <v>26</v>
      </c>
      <c r="AF1325">
        <v>3</v>
      </c>
      <c r="AG1325">
        <v>9</v>
      </c>
      <c r="AH1325">
        <v>0</v>
      </c>
      <c r="AI1325">
        <v>0</v>
      </c>
    </row>
    <row r="1326" spans="1:35" hidden="1" x14ac:dyDescent="0.25">
      <c r="A1326">
        <v>2021</v>
      </c>
      <c r="B1326" s="1">
        <v>44451</v>
      </c>
      <c r="C1326">
        <v>20</v>
      </c>
      <c r="D1326">
        <v>0</v>
      </c>
      <c r="E1326">
        <v>13212</v>
      </c>
      <c r="F1326" t="s">
        <v>56</v>
      </c>
      <c r="G1326" t="s">
        <v>394</v>
      </c>
      <c r="H1326" t="s">
        <v>341</v>
      </c>
      <c r="I1326" t="s">
        <v>374</v>
      </c>
      <c r="J1326">
        <v>5</v>
      </c>
      <c r="K1326">
        <v>20</v>
      </c>
      <c r="L1326">
        <v>25100000</v>
      </c>
      <c r="M1326">
        <v>5280000</v>
      </c>
      <c r="N1326" t="s">
        <v>220</v>
      </c>
      <c r="O1326" t="s">
        <v>80</v>
      </c>
      <c r="P1326">
        <v>1</v>
      </c>
      <c r="Q1326">
        <v>2</v>
      </c>
      <c r="R1326">
        <v>1</v>
      </c>
      <c r="S1326">
        <v>0</v>
      </c>
      <c r="T1326">
        <v>3</v>
      </c>
      <c r="U1326">
        <v>6</v>
      </c>
      <c r="V1326">
        <v>17</v>
      </c>
      <c r="W1326">
        <v>13</v>
      </c>
      <c r="X1326">
        <v>11</v>
      </c>
      <c r="Y1326">
        <v>17</v>
      </c>
      <c r="Z1326">
        <v>4</v>
      </c>
      <c r="AA1326">
        <v>4</v>
      </c>
      <c r="AB1326">
        <v>2</v>
      </c>
      <c r="AC1326">
        <v>1</v>
      </c>
      <c r="AD1326">
        <v>12</v>
      </c>
      <c r="AE1326">
        <v>22</v>
      </c>
      <c r="AF1326">
        <v>5</v>
      </c>
      <c r="AG1326">
        <v>11</v>
      </c>
      <c r="AH1326">
        <v>-1</v>
      </c>
      <c r="AI1326">
        <v>0</v>
      </c>
    </row>
    <row r="1327" spans="1:35" hidden="1" x14ac:dyDescent="0.25">
      <c r="A1327">
        <v>2021</v>
      </c>
      <c r="B1327" s="1">
        <v>44472</v>
      </c>
      <c r="C1327">
        <v>23</v>
      </c>
      <c r="D1327">
        <v>0</v>
      </c>
      <c r="E1327">
        <v>13212</v>
      </c>
      <c r="F1327" t="s">
        <v>56</v>
      </c>
      <c r="G1327" t="s">
        <v>88</v>
      </c>
      <c r="H1327" t="s">
        <v>341</v>
      </c>
      <c r="I1327" t="s">
        <v>392</v>
      </c>
      <c r="J1327">
        <v>5</v>
      </c>
      <c r="K1327">
        <v>7</v>
      </c>
      <c r="L1327">
        <v>30600000</v>
      </c>
      <c r="M1327">
        <v>40350000</v>
      </c>
      <c r="N1327" t="s">
        <v>220</v>
      </c>
      <c r="O1327" t="s">
        <v>144</v>
      </c>
      <c r="P1327">
        <v>2</v>
      </c>
      <c r="Q1327">
        <v>2</v>
      </c>
      <c r="R1327">
        <v>0</v>
      </c>
      <c r="S1327">
        <v>0</v>
      </c>
      <c r="T1327">
        <v>6</v>
      </c>
      <c r="U1327">
        <v>8</v>
      </c>
      <c r="V1327">
        <v>10</v>
      </c>
      <c r="W1327">
        <v>6</v>
      </c>
      <c r="X1327">
        <v>6</v>
      </c>
      <c r="Y1327">
        <v>10</v>
      </c>
      <c r="Z1327">
        <v>5</v>
      </c>
      <c r="AA1327">
        <v>3</v>
      </c>
      <c r="AB1327">
        <v>1</v>
      </c>
      <c r="AC1327">
        <v>1</v>
      </c>
      <c r="AD1327">
        <v>15</v>
      </c>
      <c r="AE1327">
        <v>11</v>
      </c>
      <c r="AF1327">
        <v>8</v>
      </c>
      <c r="AG1327">
        <v>3</v>
      </c>
      <c r="AH1327">
        <v>0</v>
      </c>
      <c r="AI1327">
        <v>0</v>
      </c>
    </row>
    <row r="1328" spans="1:35" hidden="1" x14ac:dyDescent="0.25">
      <c r="A1328">
        <v>2021</v>
      </c>
      <c r="B1328" s="1">
        <v>44476</v>
      </c>
      <c r="C1328">
        <v>24</v>
      </c>
      <c r="D1328">
        <v>2708</v>
      </c>
      <c r="E1328">
        <v>13212</v>
      </c>
      <c r="F1328" t="s">
        <v>56</v>
      </c>
      <c r="G1328" t="s">
        <v>77</v>
      </c>
      <c r="H1328" t="s">
        <v>341</v>
      </c>
      <c r="I1328" t="s">
        <v>319</v>
      </c>
      <c r="J1328">
        <v>5</v>
      </c>
      <c r="K1328">
        <v>2</v>
      </c>
      <c r="L1328">
        <v>30600000</v>
      </c>
      <c r="M1328">
        <v>54000000</v>
      </c>
      <c r="N1328" t="s">
        <v>220</v>
      </c>
      <c r="O1328" t="s">
        <v>149</v>
      </c>
      <c r="P1328">
        <v>1</v>
      </c>
      <c r="Q1328">
        <v>1</v>
      </c>
      <c r="R1328">
        <v>0</v>
      </c>
      <c r="S1328">
        <v>1</v>
      </c>
      <c r="T1328">
        <v>10</v>
      </c>
      <c r="U1328">
        <v>4</v>
      </c>
      <c r="V1328">
        <v>13</v>
      </c>
      <c r="W1328">
        <v>20</v>
      </c>
      <c r="X1328">
        <v>19</v>
      </c>
      <c r="Y1328">
        <v>12</v>
      </c>
      <c r="Z1328">
        <v>2</v>
      </c>
      <c r="AA1328">
        <v>3</v>
      </c>
      <c r="AB1328">
        <v>1</v>
      </c>
      <c r="AC1328">
        <v>1</v>
      </c>
      <c r="AD1328">
        <v>13</v>
      </c>
      <c r="AE1328">
        <v>11</v>
      </c>
      <c r="AF1328">
        <v>6</v>
      </c>
      <c r="AG1328">
        <v>5</v>
      </c>
      <c r="AH1328">
        <v>0</v>
      </c>
      <c r="AI1328">
        <v>0</v>
      </c>
    </row>
    <row r="1329" spans="1:35" hidden="1" x14ac:dyDescent="0.25">
      <c r="A1329">
        <v>2021</v>
      </c>
      <c r="B1329" s="1">
        <v>44482</v>
      </c>
      <c r="C1329">
        <v>26</v>
      </c>
      <c r="D1329">
        <v>971</v>
      </c>
      <c r="E1329">
        <v>13212</v>
      </c>
      <c r="F1329" t="s">
        <v>56</v>
      </c>
      <c r="G1329" t="s">
        <v>76</v>
      </c>
      <c r="H1329" t="s">
        <v>341</v>
      </c>
      <c r="I1329" t="s">
        <v>375</v>
      </c>
      <c r="J1329">
        <v>5</v>
      </c>
      <c r="K1329">
        <v>11</v>
      </c>
      <c r="L1329">
        <v>28600000</v>
      </c>
      <c r="M1329">
        <v>6580000</v>
      </c>
      <c r="N1329" t="s">
        <v>278</v>
      </c>
      <c r="O1329" t="s">
        <v>128</v>
      </c>
      <c r="P1329">
        <v>1</v>
      </c>
      <c r="Q1329">
        <v>0</v>
      </c>
      <c r="R1329">
        <v>0</v>
      </c>
      <c r="S1329">
        <v>0</v>
      </c>
      <c r="T1329">
        <v>5</v>
      </c>
      <c r="U1329">
        <v>4</v>
      </c>
      <c r="V1329">
        <v>12</v>
      </c>
      <c r="W1329">
        <v>13</v>
      </c>
      <c r="X1329">
        <v>12</v>
      </c>
      <c r="Y1329">
        <v>12</v>
      </c>
      <c r="Z1329">
        <v>3</v>
      </c>
      <c r="AA1329">
        <v>2</v>
      </c>
      <c r="AB1329">
        <v>0</v>
      </c>
      <c r="AC1329">
        <v>0</v>
      </c>
      <c r="AD1329">
        <v>11</v>
      </c>
      <c r="AE1329">
        <v>5</v>
      </c>
      <c r="AF1329">
        <v>4</v>
      </c>
      <c r="AG1329">
        <v>2</v>
      </c>
      <c r="AH1329">
        <v>1</v>
      </c>
      <c r="AI1329">
        <v>1</v>
      </c>
    </row>
    <row r="1330" spans="1:35" hidden="1" x14ac:dyDescent="0.25">
      <c r="A1330">
        <v>2021</v>
      </c>
      <c r="B1330" s="1">
        <v>44493</v>
      </c>
      <c r="C1330">
        <v>28</v>
      </c>
      <c r="D1330">
        <v>4345</v>
      </c>
      <c r="E1330">
        <v>13212</v>
      </c>
      <c r="F1330" t="s">
        <v>56</v>
      </c>
      <c r="G1330" t="s">
        <v>62</v>
      </c>
      <c r="H1330" t="s">
        <v>341</v>
      </c>
      <c r="I1330" t="s">
        <v>40</v>
      </c>
      <c r="J1330">
        <v>5</v>
      </c>
      <c r="K1330">
        <v>12</v>
      </c>
      <c r="L1330">
        <v>33700000</v>
      </c>
      <c r="M1330">
        <v>37800000</v>
      </c>
      <c r="N1330" t="s">
        <v>415</v>
      </c>
      <c r="O1330" t="s">
        <v>41</v>
      </c>
      <c r="P1330">
        <v>1</v>
      </c>
      <c r="Q1330">
        <v>0</v>
      </c>
      <c r="R1330">
        <v>0</v>
      </c>
      <c r="S1330">
        <v>0</v>
      </c>
      <c r="T1330">
        <v>3</v>
      </c>
      <c r="U1330">
        <v>5</v>
      </c>
      <c r="V1330">
        <v>14</v>
      </c>
      <c r="W1330">
        <v>19</v>
      </c>
      <c r="X1330">
        <v>18</v>
      </c>
      <c r="Y1330">
        <v>13</v>
      </c>
      <c r="Z1330">
        <v>5</v>
      </c>
      <c r="AA1330">
        <v>4</v>
      </c>
      <c r="AB1330">
        <v>1</v>
      </c>
      <c r="AC1330">
        <v>2</v>
      </c>
      <c r="AD1330">
        <v>16</v>
      </c>
      <c r="AE1330">
        <v>15</v>
      </c>
      <c r="AF1330">
        <v>7</v>
      </c>
      <c r="AG1330">
        <v>6</v>
      </c>
      <c r="AH1330">
        <v>1</v>
      </c>
      <c r="AI1330">
        <v>1</v>
      </c>
    </row>
    <row r="1331" spans="1:35" hidden="1" x14ac:dyDescent="0.25">
      <c r="A1331">
        <v>2021</v>
      </c>
      <c r="B1331" s="1">
        <v>44507</v>
      </c>
      <c r="C1331">
        <v>30</v>
      </c>
      <c r="D1331">
        <v>1701</v>
      </c>
      <c r="E1331">
        <v>13212</v>
      </c>
      <c r="F1331" t="s">
        <v>56</v>
      </c>
      <c r="G1331" t="s">
        <v>69</v>
      </c>
      <c r="H1331" t="s">
        <v>341</v>
      </c>
      <c r="I1331" t="s">
        <v>378</v>
      </c>
      <c r="J1331">
        <v>5</v>
      </c>
      <c r="K1331">
        <v>14</v>
      </c>
      <c r="L1331">
        <v>25900000</v>
      </c>
      <c r="M1331">
        <v>26950000</v>
      </c>
      <c r="N1331" t="s">
        <v>189</v>
      </c>
      <c r="O1331" t="s">
        <v>80</v>
      </c>
      <c r="P1331">
        <v>0</v>
      </c>
      <c r="Q1331">
        <v>2</v>
      </c>
      <c r="R1331">
        <v>0</v>
      </c>
      <c r="S1331">
        <v>0</v>
      </c>
      <c r="T1331">
        <v>5</v>
      </c>
      <c r="U1331">
        <v>1</v>
      </c>
      <c r="V1331">
        <v>16</v>
      </c>
      <c r="W1331">
        <v>25</v>
      </c>
      <c r="X1331">
        <v>25</v>
      </c>
      <c r="Y1331">
        <v>15</v>
      </c>
      <c r="Z1331">
        <v>3</v>
      </c>
      <c r="AA1331">
        <v>3</v>
      </c>
      <c r="AB1331">
        <v>1</v>
      </c>
      <c r="AC1331">
        <v>1</v>
      </c>
      <c r="AD1331">
        <v>11</v>
      </c>
      <c r="AE1331">
        <v>8</v>
      </c>
      <c r="AF1331">
        <v>4</v>
      </c>
      <c r="AG1331">
        <v>1</v>
      </c>
      <c r="AH1331">
        <v>-2</v>
      </c>
      <c r="AI1331">
        <v>0</v>
      </c>
    </row>
    <row r="1332" spans="1:35" hidden="1" x14ac:dyDescent="0.25">
      <c r="A1332">
        <v>2021</v>
      </c>
      <c r="B1332" s="1">
        <v>44513</v>
      </c>
      <c r="C1332">
        <v>32</v>
      </c>
      <c r="D1332">
        <v>1978</v>
      </c>
      <c r="E1332">
        <v>13212</v>
      </c>
      <c r="F1332" t="s">
        <v>56</v>
      </c>
      <c r="G1332" t="s">
        <v>63</v>
      </c>
      <c r="H1332" t="s">
        <v>341</v>
      </c>
      <c r="I1332" t="s">
        <v>65</v>
      </c>
      <c r="J1332">
        <v>6</v>
      </c>
      <c r="K1332">
        <v>4</v>
      </c>
      <c r="L1332">
        <v>31100000</v>
      </c>
      <c r="M1332">
        <v>11730000</v>
      </c>
      <c r="N1332" t="s">
        <v>252</v>
      </c>
      <c r="O1332" t="s">
        <v>129</v>
      </c>
      <c r="P1332">
        <v>3</v>
      </c>
      <c r="Q1332">
        <v>0</v>
      </c>
      <c r="R1332">
        <v>2</v>
      </c>
      <c r="S1332">
        <v>0</v>
      </c>
      <c r="T1332">
        <v>2</v>
      </c>
      <c r="U1332">
        <v>5</v>
      </c>
      <c r="V1332">
        <v>25</v>
      </c>
      <c r="W1332">
        <v>12</v>
      </c>
      <c r="X1332">
        <v>12</v>
      </c>
      <c r="Y1332">
        <v>22</v>
      </c>
      <c r="Z1332">
        <v>3</v>
      </c>
      <c r="AA1332">
        <v>2</v>
      </c>
      <c r="AB1332">
        <v>1</v>
      </c>
      <c r="AC1332">
        <v>2</v>
      </c>
      <c r="AD1332">
        <v>11</v>
      </c>
      <c r="AE1332">
        <v>13</v>
      </c>
      <c r="AF1332">
        <v>5</v>
      </c>
      <c r="AG1332">
        <v>8</v>
      </c>
      <c r="AH1332">
        <v>3</v>
      </c>
      <c r="AI1332">
        <v>1</v>
      </c>
    </row>
    <row r="1333" spans="1:35" hidden="1" x14ac:dyDescent="0.25">
      <c r="A1333">
        <v>2021</v>
      </c>
      <c r="B1333" s="1">
        <v>44498</v>
      </c>
      <c r="C1333">
        <v>34</v>
      </c>
      <c r="D1333">
        <v>931</v>
      </c>
      <c r="E1333">
        <v>13212</v>
      </c>
      <c r="F1333" t="s">
        <v>56</v>
      </c>
      <c r="G1333" t="s">
        <v>391</v>
      </c>
      <c r="H1333" t="s">
        <v>341</v>
      </c>
      <c r="I1333" t="s">
        <v>397</v>
      </c>
      <c r="J1333">
        <v>6</v>
      </c>
      <c r="K1333">
        <v>19</v>
      </c>
      <c r="L1333">
        <v>23500000</v>
      </c>
      <c r="M1333">
        <v>6530000</v>
      </c>
      <c r="N1333">
        <v>26</v>
      </c>
      <c r="O1333" t="s">
        <v>171</v>
      </c>
      <c r="P1333">
        <v>3</v>
      </c>
      <c r="Q1333">
        <v>0</v>
      </c>
      <c r="R1333">
        <v>1</v>
      </c>
      <c r="S1333">
        <v>0</v>
      </c>
      <c r="T1333">
        <v>8</v>
      </c>
      <c r="U1333">
        <v>7</v>
      </c>
      <c r="V1333">
        <v>17</v>
      </c>
      <c r="W1333">
        <v>14</v>
      </c>
      <c r="X1333">
        <v>14</v>
      </c>
      <c r="Y1333">
        <v>17</v>
      </c>
      <c r="Z1333">
        <v>4</v>
      </c>
      <c r="AA1333">
        <v>1</v>
      </c>
      <c r="AB1333">
        <v>0</v>
      </c>
      <c r="AC1333">
        <v>0</v>
      </c>
      <c r="AD1333">
        <v>16</v>
      </c>
      <c r="AE1333">
        <v>18</v>
      </c>
      <c r="AF1333">
        <v>6</v>
      </c>
      <c r="AG1333">
        <v>8</v>
      </c>
      <c r="AH1333">
        <v>3</v>
      </c>
      <c r="AI1333">
        <v>1</v>
      </c>
    </row>
    <row r="1334" spans="1:35" hidden="1" x14ac:dyDescent="0.25">
      <c r="A1334">
        <v>2021</v>
      </c>
      <c r="B1334" s="1">
        <v>44527</v>
      </c>
      <c r="C1334">
        <v>36</v>
      </c>
      <c r="D1334">
        <v>2673</v>
      </c>
      <c r="E1334">
        <v>13212</v>
      </c>
      <c r="F1334" t="s">
        <v>56</v>
      </c>
      <c r="G1334" t="s">
        <v>310</v>
      </c>
      <c r="H1334" t="s">
        <v>341</v>
      </c>
      <c r="I1334" t="s">
        <v>368</v>
      </c>
      <c r="J1334">
        <v>6</v>
      </c>
      <c r="K1334">
        <v>9</v>
      </c>
      <c r="L1334">
        <v>31600000</v>
      </c>
      <c r="M1334">
        <v>5400000</v>
      </c>
      <c r="N1334" t="s">
        <v>60</v>
      </c>
      <c r="O1334" t="s">
        <v>205</v>
      </c>
      <c r="P1334">
        <v>1</v>
      </c>
      <c r="Q1334">
        <v>1</v>
      </c>
      <c r="R1334">
        <v>0</v>
      </c>
      <c r="S1334">
        <v>0</v>
      </c>
      <c r="T1334">
        <v>6</v>
      </c>
      <c r="U1334">
        <v>5</v>
      </c>
      <c r="V1334">
        <v>21</v>
      </c>
      <c r="W1334">
        <v>14</v>
      </c>
      <c r="X1334">
        <v>13</v>
      </c>
      <c r="Y1334">
        <v>19</v>
      </c>
      <c r="Z1334">
        <v>2</v>
      </c>
      <c r="AA1334">
        <v>4</v>
      </c>
      <c r="AB1334">
        <v>0</v>
      </c>
      <c r="AC1334">
        <v>0</v>
      </c>
      <c r="AD1334">
        <v>11</v>
      </c>
      <c r="AE1334">
        <v>13</v>
      </c>
      <c r="AF1334">
        <v>4</v>
      </c>
      <c r="AG1334">
        <v>6</v>
      </c>
      <c r="AH1334">
        <v>0</v>
      </c>
      <c r="AI1334">
        <v>0</v>
      </c>
    </row>
    <row r="1335" spans="1:35" hidden="1" x14ac:dyDescent="0.25">
      <c r="A1335">
        <v>2021</v>
      </c>
      <c r="B1335" s="1">
        <v>44540</v>
      </c>
      <c r="C1335">
        <v>38</v>
      </c>
      <c r="D1335">
        <v>5339</v>
      </c>
      <c r="E1335">
        <v>13212</v>
      </c>
      <c r="F1335" t="s">
        <v>56</v>
      </c>
      <c r="G1335" t="s">
        <v>37</v>
      </c>
      <c r="H1335" t="s">
        <v>341</v>
      </c>
      <c r="I1335" t="s">
        <v>342</v>
      </c>
      <c r="J1335">
        <v>6</v>
      </c>
      <c r="K1335">
        <v>12</v>
      </c>
      <c r="L1335">
        <v>30600000</v>
      </c>
      <c r="M1335">
        <v>32100000</v>
      </c>
      <c r="N1335" t="s">
        <v>60</v>
      </c>
      <c r="O1335" t="s">
        <v>66</v>
      </c>
      <c r="P1335">
        <v>1</v>
      </c>
      <c r="Q1335">
        <v>0</v>
      </c>
      <c r="R1335">
        <v>0</v>
      </c>
      <c r="S1335">
        <v>0</v>
      </c>
      <c r="T1335">
        <v>4</v>
      </c>
      <c r="U1335">
        <v>2</v>
      </c>
      <c r="V1335">
        <v>23</v>
      </c>
      <c r="W1335">
        <v>26</v>
      </c>
      <c r="X1335">
        <v>26</v>
      </c>
      <c r="Y1335">
        <v>22</v>
      </c>
      <c r="Z1335">
        <v>1</v>
      </c>
      <c r="AA1335">
        <v>3</v>
      </c>
      <c r="AB1335">
        <v>3</v>
      </c>
      <c r="AC1335">
        <v>0</v>
      </c>
      <c r="AD1335">
        <v>23</v>
      </c>
      <c r="AE1335">
        <v>4</v>
      </c>
      <c r="AF1335">
        <v>14</v>
      </c>
      <c r="AG1335">
        <v>1</v>
      </c>
      <c r="AH1335">
        <v>1</v>
      </c>
      <c r="AI1335">
        <v>1</v>
      </c>
    </row>
    <row r="1336" spans="1:35" hidden="1" x14ac:dyDescent="0.25">
      <c r="A1336">
        <v>2020</v>
      </c>
      <c r="B1336" s="1">
        <v>44059</v>
      </c>
      <c r="C1336">
        <v>3</v>
      </c>
      <c r="D1336">
        <v>0</v>
      </c>
      <c r="E1336">
        <v>60540</v>
      </c>
      <c r="F1336" t="s">
        <v>83</v>
      </c>
      <c r="G1336" t="s">
        <v>88</v>
      </c>
      <c r="H1336" t="s">
        <v>85</v>
      </c>
      <c r="I1336" t="s">
        <v>333</v>
      </c>
      <c r="J1336">
        <v>8</v>
      </c>
      <c r="K1336">
        <v>13</v>
      </c>
      <c r="L1336">
        <v>49650000</v>
      </c>
      <c r="M1336">
        <v>32900000</v>
      </c>
      <c r="N1336" t="s">
        <v>296</v>
      </c>
      <c r="O1336" t="s">
        <v>74</v>
      </c>
      <c r="P1336">
        <v>0</v>
      </c>
      <c r="Q1336">
        <v>0</v>
      </c>
      <c r="R1336">
        <v>0</v>
      </c>
      <c r="S1336">
        <v>0</v>
      </c>
      <c r="T1336">
        <v>7</v>
      </c>
      <c r="U1336">
        <v>5</v>
      </c>
      <c r="V1336">
        <v>16</v>
      </c>
      <c r="W1336">
        <v>14</v>
      </c>
      <c r="X1336">
        <v>14</v>
      </c>
      <c r="Y1336">
        <v>14</v>
      </c>
      <c r="Z1336">
        <v>2</v>
      </c>
      <c r="AA1336">
        <v>7</v>
      </c>
      <c r="AB1336">
        <v>0</v>
      </c>
      <c r="AC1336">
        <v>0</v>
      </c>
      <c r="AD1336">
        <v>24</v>
      </c>
      <c r="AE1336">
        <v>5</v>
      </c>
      <c r="AF1336">
        <v>9</v>
      </c>
      <c r="AG1336">
        <v>2</v>
      </c>
      <c r="AH1336">
        <v>0</v>
      </c>
      <c r="AI1336">
        <v>0</v>
      </c>
    </row>
    <row r="1337" spans="1:35" hidden="1" x14ac:dyDescent="0.25">
      <c r="A1337">
        <v>2020</v>
      </c>
      <c r="B1337" s="1">
        <v>44165</v>
      </c>
      <c r="C1337">
        <v>6</v>
      </c>
      <c r="D1337">
        <v>0</v>
      </c>
      <c r="E1337">
        <v>60540</v>
      </c>
      <c r="F1337" t="s">
        <v>83</v>
      </c>
      <c r="G1337" t="s">
        <v>416</v>
      </c>
      <c r="H1337" t="s">
        <v>85</v>
      </c>
      <c r="I1337" t="s">
        <v>380</v>
      </c>
      <c r="J1337">
        <v>9</v>
      </c>
      <c r="K1337">
        <v>18</v>
      </c>
      <c r="L1337">
        <v>41800000</v>
      </c>
      <c r="M1337">
        <v>6680000</v>
      </c>
      <c r="N1337" t="s">
        <v>105</v>
      </c>
      <c r="O1337" t="s">
        <v>239</v>
      </c>
      <c r="P1337">
        <v>2</v>
      </c>
      <c r="Q1337">
        <v>1</v>
      </c>
      <c r="R1337">
        <v>1</v>
      </c>
      <c r="S1337">
        <v>0</v>
      </c>
      <c r="T1337">
        <v>8</v>
      </c>
      <c r="U1337">
        <v>1</v>
      </c>
      <c r="V1337">
        <v>15</v>
      </c>
      <c r="W1337">
        <v>17</v>
      </c>
      <c r="X1337">
        <v>17</v>
      </c>
      <c r="Y1337">
        <v>15</v>
      </c>
      <c r="Z1337">
        <v>1</v>
      </c>
      <c r="AA1337">
        <v>8</v>
      </c>
      <c r="AB1337">
        <v>2</v>
      </c>
      <c r="AC1337">
        <v>1</v>
      </c>
      <c r="AD1337">
        <v>26</v>
      </c>
      <c r="AE1337">
        <v>5</v>
      </c>
      <c r="AF1337">
        <v>12</v>
      </c>
      <c r="AG1337">
        <v>2</v>
      </c>
      <c r="AH1337">
        <v>1</v>
      </c>
      <c r="AI1337">
        <v>1</v>
      </c>
    </row>
    <row r="1338" spans="1:35" hidden="1" x14ac:dyDescent="0.25">
      <c r="A1338">
        <v>2020</v>
      </c>
      <c r="B1338" s="1">
        <v>44094</v>
      </c>
      <c r="C1338">
        <v>11</v>
      </c>
      <c r="D1338">
        <v>0</v>
      </c>
      <c r="E1338">
        <v>60540</v>
      </c>
      <c r="F1338" t="s">
        <v>83</v>
      </c>
      <c r="G1338" t="s">
        <v>95</v>
      </c>
      <c r="H1338" t="s">
        <v>85</v>
      </c>
      <c r="I1338" t="s">
        <v>317</v>
      </c>
      <c r="J1338">
        <v>8</v>
      </c>
      <c r="K1338">
        <v>5</v>
      </c>
      <c r="L1338">
        <v>37400000</v>
      </c>
      <c r="M1338">
        <v>35650000</v>
      </c>
      <c r="N1338" t="s">
        <v>193</v>
      </c>
      <c r="O1338" t="s">
        <v>128</v>
      </c>
      <c r="P1338">
        <v>1</v>
      </c>
      <c r="Q1338">
        <v>1</v>
      </c>
      <c r="R1338">
        <v>0</v>
      </c>
      <c r="S1338">
        <v>0</v>
      </c>
      <c r="T1338">
        <v>6</v>
      </c>
      <c r="U1338">
        <v>3</v>
      </c>
      <c r="V1338">
        <v>21</v>
      </c>
      <c r="W1338">
        <v>21</v>
      </c>
      <c r="X1338">
        <v>19</v>
      </c>
      <c r="Y1338">
        <v>20</v>
      </c>
      <c r="Z1338">
        <v>1</v>
      </c>
      <c r="AA1338">
        <v>1</v>
      </c>
      <c r="AB1338">
        <v>0</v>
      </c>
      <c r="AC1338">
        <v>2</v>
      </c>
      <c r="AD1338">
        <v>13</v>
      </c>
      <c r="AE1338">
        <v>9</v>
      </c>
      <c r="AF1338">
        <v>5</v>
      </c>
      <c r="AG1338">
        <v>4</v>
      </c>
      <c r="AH1338">
        <v>0</v>
      </c>
      <c r="AI1338">
        <v>0</v>
      </c>
    </row>
    <row r="1339" spans="1:35" hidden="1" x14ac:dyDescent="0.25">
      <c r="A1339">
        <v>2020</v>
      </c>
      <c r="B1339" s="1">
        <v>44107</v>
      </c>
      <c r="C1339">
        <v>13</v>
      </c>
      <c r="D1339">
        <v>0</v>
      </c>
      <c r="E1339">
        <v>60540</v>
      </c>
      <c r="F1339" t="s">
        <v>83</v>
      </c>
      <c r="G1339" t="s">
        <v>37</v>
      </c>
      <c r="H1339" t="s">
        <v>85</v>
      </c>
      <c r="I1339" t="s">
        <v>39</v>
      </c>
      <c r="J1339">
        <v>12</v>
      </c>
      <c r="K1339">
        <v>3</v>
      </c>
      <c r="L1339">
        <v>44100000</v>
      </c>
      <c r="M1339">
        <v>28350000</v>
      </c>
      <c r="N1339" t="s">
        <v>105</v>
      </c>
      <c r="O1339" t="s">
        <v>200</v>
      </c>
      <c r="P1339">
        <v>1</v>
      </c>
      <c r="Q1339">
        <v>1</v>
      </c>
      <c r="R1339">
        <v>0</v>
      </c>
      <c r="S1339">
        <v>0</v>
      </c>
      <c r="T1339">
        <v>5</v>
      </c>
      <c r="U1339">
        <v>5</v>
      </c>
      <c r="V1339">
        <v>14</v>
      </c>
      <c r="W1339">
        <v>16</v>
      </c>
      <c r="X1339">
        <v>16</v>
      </c>
      <c r="Y1339">
        <v>13</v>
      </c>
      <c r="Z1339">
        <v>1</v>
      </c>
      <c r="AA1339">
        <v>4</v>
      </c>
      <c r="AB1339">
        <v>1</v>
      </c>
      <c r="AC1339">
        <v>1</v>
      </c>
      <c r="AD1339">
        <v>14</v>
      </c>
      <c r="AE1339">
        <v>9</v>
      </c>
      <c r="AF1339">
        <v>4</v>
      </c>
      <c r="AG1339">
        <v>6</v>
      </c>
      <c r="AH1339">
        <v>0</v>
      </c>
      <c r="AI1339">
        <v>0</v>
      </c>
    </row>
    <row r="1340" spans="1:35" hidden="1" x14ac:dyDescent="0.25">
      <c r="A1340">
        <v>2020</v>
      </c>
      <c r="B1340" s="1">
        <v>44112</v>
      </c>
      <c r="C1340">
        <v>14</v>
      </c>
      <c r="D1340">
        <v>0</v>
      </c>
      <c r="E1340">
        <v>60540</v>
      </c>
      <c r="F1340" t="s">
        <v>83</v>
      </c>
      <c r="G1340" t="s">
        <v>321</v>
      </c>
      <c r="J1340">
        <v>12</v>
      </c>
      <c r="K1340">
        <v>17</v>
      </c>
      <c r="P1340">
        <v>2</v>
      </c>
      <c r="Q1340">
        <v>1</v>
      </c>
      <c r="R1340">
        <v>2</v>
      </c>
      <c r="S1340">
        <v>0</v>
      </c>
      <c r="T1340">
        <v>6</v>
      </c>
      <c r="U1340">
        <v>6</v>
      </c>
      <c r="V1340">
        <v>18</v>
      </c>
      <c r="W1340">
        <v>21</v>
      </c>
      <c r="X1340">
        <v>20</v>
      </c>
      <c r="Y1340">
        <v>18</v>
      </c>
      <c r="Z1340">
        <v>2</v>
      </c>
      <c r="AA1340">
        <v>3</v>
      </c>
      <c r="AB1340">
        <v>1</v>
      </c>
      <c r="AC1340">
        <v>4</v>
      </c>
      <c r="AD1340">
        <v>11</v>
      </c>
      <c r="AE1340">
        <v>13</v>
      </c>
      <c r="AF1340">
        <v>4</v>
      </c>
      <c r="AG1340">
        <v>6</v>
      </c>
      <c r="AH1340">
        <v>1</v>
      </c>
      <c r="AI1340">
        <v>1</v>
      </c>
    </row>
    <row r="1341" spans="1:35" hidden="1" x14ac:dyDescent="0.25">
      <c r="A1341">
        <v>2020</v>
      </c>
      <c r="B1341" s="1">
        <v>44138</v>
      </c>
      <c r="C1341">
        <v>19</v>
      </c>
      <c r="D1341">
        <v>0</v>
      </c>
      <c r="E1341">
        <v>60540</v>
      </c>
      <c r="F1341" t="s">
        <v>83</v>
      </c>
      <c r="G1341" t="s">
        <v>56</v>
      </c>
      <c r="H1341" t="s">
        <v>85</v>
      </c>
      <c r="I1341" t="s">
        <v>341</v>
      </c>
      <c r="J1341">
        <v>7</v>
      </c>
      <c r="K1341">
        <v>17</v>
      </c>
      <c r="L1341">
        <v>41100000</v>
      </c>
      <c r="M1341">
        <v>17950000</v>
      </c>
      <c r="N1341" t="s">
        <v>74</v>
      </c>
      <c r="O1341" t="s">
        <v>117</v>
      </c>
      <c r="P1341">
        <v>2</v>
      </c>
      <c r="Q1341">
        <v>1</v>
      </c>
      <c r="R1341">
        <v>0</v>
      </c>
      <c r="S1341">
        <v>0</v>
      </c>
      <c r="T1341">
        <v>3</v>
      </c>
      <c r="U1341">
        <v>4</v>
      </c>
      <c r="V1341">
        <v>13</v>
      </c>
      <c r="W1341">
        <v>12</v>
      </c>
      <c r="X1341">
        <v>12</v>
      </c>
      <c r="Y1341">
        <v>8</v>
      </c>
      <c r="Z1341">
        <v>6</v>
      </c>
      <c r="AA1341">
        <v>1</v>
      </c>
      <c r="AB1341">
        <v>1</v>
      </c>
      <c r="AC1341">
        <v>0</v>
      </c>
      <c r="AD1341">
        <v>11</v>
      </c>
      <c r="AE1341">
        <v>13</v>
      </c>
      <c r="AF1341">
        <v>5</v>
      </c>
      <c r="AG1341">
        <v>4</v>
      </c>
      <c r="AH1341">
        <v>1</v>
      </c>
      <c r="AI1341">
        <v>1</v>
      </c>
    </row>
    <row r="1342" spans="1:35" hidden="1" x14ac:dyDescent="0.25">
      <c r="A1342">
        <v>2020</v>
      </c>
      <c r="B1342" s="1">
        <v>44225</v>
      </c>
      <c r="C1342">
        <v>23</v>
      </c>
      <c r="D1342">
        <v>0</v>
      </c>
      <c r="E1342">
        <v>60540</v>
      </c>
      <c r="F1342" t="s">
        <v>83</v>
      </c>
      <c r="G1342" t="s">
        <v>77</v>
      </c>
      <c r="H1342" t="s">
        <v>85</v>
      </c>
      <c r="I1342" t="s">
        <v>40</v>
      </c>
      <c r="J1342">
        <v>4</v>
      </c>
      <c r="K1342">
        <v>3</v>
      </c>
      <c r="L1342">
        <v>48900000</v>
      </c>
      <c r="M1342">
        <v>73550000</v>
      </c>
      <c r="N1342" t="s">
        <v>137</v>
      </c>
      <c r="O1342">
        <v>29</v>
      </c>
      <c r="P1342">
        <v>2</v>
      </c>
      <c r="Q1342">
        <v>4</v>
      </c>
      <c r="R1342">
        <v>1</v>
      </c>
      <c r="S1342">
        <v>0</v>
      </c>
      <c r="T1342">
        <v>2</v>
      </c>
      <c r="U1342">
        <v>5</v>
      </c>
      <c r="V1342">
        <v>15</v>
      </c>
      <c r="W1342">
        <v>24</v>
      </c>
      <c r="X1342">
        <v>23</v>
      </c>
      <c r="Y1342">
        <v>15</v>
      </c>
      <c r="Z1342">
        <v>2</v>
      </c>
      <c r="AA1342">
        <v>3</v>
      </c>
      <c r="AB1342">
        <v>1</v>
      </c>
      <c r="AC1342">
        <v>0</v>
      </c>
      <c r="AD1342">
        <v>8</v>
      </c>
      <c r="AE1342">
        <v>14</v>
      </c>
      <c r="AF1342">
        <v>1</v>
      </c>
      <c r="AG1342">
        <v>6</v>
      </c>
      <c r="AH1342">
        <v>-2</v>
      </c>
      <c r="AI1342">
        <v>0</v>
      </c>
    </row>
    <row r="1343" spans="1:35" hidden="1" x14ac:dyDescent="0.25">
      <c r="A1343">
        <v>2020</v>
      </c>
      <c r="B1343" s="1">
        <v>44171</v>
      </c>
      <c r="C1343">
        <v>24</v>
      </c>
      <c r="D1343">
        <v>0</v>
      </c>
      <c r="E1343">
        <v>60540</v>
      </c>
      <c r="F1343" t="s">
        <v>83</v>
      </c>
      <c r="G1343" t="s">
        <v>82</v>
      </c>
      <c r="H1343" t="s">
        <v>85</v>
      </c>
      <c r="I1343" t="s">
        <v>417</v>
      </c>
      <c r="J1343">
        <v>7</v>
      </c>
      <c r="K1343">
        <v>17</v>
      </c>
      <c r="L1343">
        <v>43000000</v>
      </c>
      <c r="M1343">
        <v>20130000</v>
      </c>
      <c r="N1343" t="s">
        <v>48</v>
      </c>
      <c r="O1343">
        <v>27</v>
      </c>
      <c r="P1343">
        <v>4</v>
      </c>
      <c r="Q1343">
        <v>0</v>
      </c>
      <c r="R1343">
        <v>1</v>
      </c>
      <c r="S1343">
        <v>0</v>
      </c>
      <c r="T1343">
        <v>5</v>
      </c>
      <c r="U1343">
        <v>3</v>
      </c>
      <c r="V1343">
        <v>9</v>
      </c>
      <c r="W1343">
        <v>8</v>
      </c>
      <c r="X1343">
        <v>8</v>
      </c>
      <c r="Y1343">
        <v>8</v>
      </c>
      <c r="Z1343">
        <v>3</v>
      </c>
      <c r="AA1343">
        <v>5</v>
      </c>
      <c r="AB1343">
        <v>1</v>
      </c>
      <c r="AC1343">
        <v>1</v>
      </c>
      <c r="AD1343">
        <v>22</v>
      </c>
      <c r="AE1343">
        <v>6</v>
      </c>
      <c r="AF1343">
        <v>9</v>
      </c>
      <c r="AG1343">
        <v>2</v>
      </c>
      <c r="AH1343">
        <v>4</v>
      </c>
      <c r="AI1343">
        <v>1</v>
      </c>
    </row>
    <row r="1344" spans="1:35" hidden="1" x14ac:dyDescent="0.25">
      <c r="A1344">
        <v>2020</v>
      </c>
      <c r="B1344" s="1">
        <v>44192</v>
      </c>
      <c r="C1344">
        <v>27</v>
      </c>
      <c r="D1344">
        <v>0</v>
      </c>
      <c r="E1344">
        <v>60540</v>
      </c>
      <c r="F1344" t="s">
        <v>83</v>
      </c>
      <c r="G1344" t="s">
        <v>76</v>
      </c>
      <c r="H1344" t="s">
        <v>85</v>
      </c>
      <c r="I1344" t="s">
        <v>408</v>
      </c>
      <c r="J1344">
        <v>6</v>
      </c>
      <c r="K1344">
        <v>11</v>
      </c>
      <c r="L1344">
        <v>15350000</v>
      </c>
      <c r="M1344">
        <v>5850000</v>
      </c>
      <c r="N1344" t="s">
        <v>98</v>
      </c>
      <c r="O1344" t="s">
        <v>117</v>
      </c>
      <c r="P1344">
        <v>2</v>
      </c>
      <c r="Q1344">
        <v>1</v>
      </c>
      <c r="R1344">
        <v>1</v>
      </c>
      <c r="S1344">
        <v>0</v>
      </c>
      <c r="T1344">
        <v>5</v>
      </c>
      <c r="U1344">
        <v>9</v>
      </c>
      <c r="V1344">
        <v>11</v>
      </c>
      <c r="W1344">
        <v>15</v>
      </c>
      <c r="X1344">
        <v>15</v>
      </c>
      <c r="Y1344">
        <v>11</v>
      </c>
      <c r="Z1344">
        <v>1</v>
      </c>
      <c r="AA1344">
        <v>3</v>
      </c>
      <c r="AB1344">
        <v>1</v>
      </c>
      <c r="AC1344">
        <v>1</v>
      </c>
      <c r="AD1344">
        <v>10</v>
      </c>
      <c r="AE1344">
        <v>9</v>
      </c>
      <c r="AF1344">
        <v>4</v>
      </c>
      <c r="AG1344">
        <v>5</v>
      </c>
      <c r="AH1344">
        <v>1</v>
      </c>
      <c r="AI1344">
        <v>1</v>
      </c>
    </row>
    <row r="1345" spans="1:35" hidden="1" x14ac:dyDescent="0.25">
      <c r="A1345">
        <v>2020</v>
      </c>
      <c r="B1345" s="1">
        <v>44202</v>
      </c>
      <c r="C1345">
        <v>28</v>
      </c>
      <c r="D1345">
        <v>0</v>
      </c>
      <c r="E1345">
        <v>60540</v>
      </c>
      <c r="F1345" t="s">
        <v>83</v>
      </c>
      <c r="G1345" t="s">
        <v>38</v>
      </c>
      <c r="H1345" t="s">
        <v>85</v>
      </c>
      <c r="I1345" t="s">
        <v>398</v>
      </c>
      <c r="J1345">
        <v>6</v>
      </c>
      <c r="K1345">
        <v>17</v>
      </c>
      <c r="L1345">
        <v>55900000</v>
      </c>
      <c r="M1345">
        <v>6980000</v>
      </c>
      <c r="N1345" t="s">
        <v>168</v>
      </c>
      <c r="O1345" t="s">
        <v>120</v>
      </c>
      <c r="P1345">
        <v>2</v>
      </c>
      <c r="Q1345">
        <v>1</v>
      </c>
      <c r="R1345">
        <v>1</v>
      </c>
      <c r="S1345">
        <v>0</v>
      </c>
      <c r="T1345">
        <v>3</v>
      </c>
      <c r="U1345">
        <v>10</v>
      </c>
      <c r="V1345">
        <v>11</v>
      </c>
      <c r="W1345">
        <v>17</v>
      </c>
      <c r="X1345">
        <v>15</v>
      </c>
      <c r="Y1345">
        <v>11</v>
      </c>
      <c r="Z1345">
        <v>4</v>
      </c>
      <c r="AA1345">
        <v>0</v>
      </c>
      <c r="AB1345">
        <v>0</v>
      </c>
      <c r="AC1345">
        <v>1</v>
      </c>
      <c r="AD1345">
        <v>11</v>
      </c>
      <c r="AE1345">
        <v>17</v>
      </c>
      <c r="AF1345">
        <v>4</v>
      </c>
      <c r="AG1345">
        <v>8</v>
      </c>
      <c r="AH1345">
        <v>1</v>
      </c>
      <c r="AI1345">
        <v>1</v>
      </c>
    </row>
    <row r="1346" spans="1:35" hidden="1" x14ac:dyDescent="0.25">
      <c r="A1346">
        <v>2020</v>
      </c>
      <c r="B1346" s="1">
        <v>44242</v>
      </c>
      <c r="C1346">
        <v>36</v>
      </c>
      <c r="D1346">
        <v>0</v>
      </c>
      <c r="E1346">
        <v>60540</v>
      </c>
      <c r="F1346" t="s">
        <v>83</v>
      </c>
      <c r="G1346" t="s">
        <v>62</v>
      </c>
      <c r="H1346" t="s">
        <v>85</v>
      </c>
      <c r="I1346" t="s">
        <v>418</v>
      </c>
      <c r="J1346">
        <v>6</v>
      </c>
      <c r="K1346">
        <v>4</v>
      </c>
      <c r="L1346">
        <v>49000000</v>
      </c>
      <c r="M1346">
        <v>28300000</v>
      </c>
      <c r="N1346" t="s">
        <v>174</v>
      </c>
      <c r="O1346" t="s">
        <v>137</v>
      </c>
      <c r="P1346">
        <v>1</v>
      </c>
      <c r="Q1346">
        <v>2</v>
      </c>
      <c r="R1346">
        <v>1</v>
      </c>
      <c r="S1346">
        <v>0</v>
      </c>
      <c r="T1346">
        <v>5</v>
      </c>
      <c r="U1346">
        <v>2</v>
      </c>
      <c r="V1346">
        <v>19</v>
      </c>
      <c r="W1346">
        <v>18</v>
      </c>
      <c r="X1346">
        <v>18</v>
      </c>
      <c r="Y1346">
        <v>18</v>
      </c>
      <c r="Z1346">
        <v>2</v>
      </c>
      <c r="AA1346">
        <v>2</v>
      </c>
      <c r="AB1346">
        <v>0</v>
      </c>
      <c r="AC1346">
        <v>0</v>
      </c>
      <c r="AD1346">
        <v>5</v>
      </c>
      <c r="AE1346">
        <v>11</v>
      </c>
      <c r="AF1346">
        <v>1</v>
      </c>
      <c r="AG1346">
        <v>6</v>
      </c>
      <c r="AH1346">
        <v>-1</v>
      </c>
      <c r="AI1346">
        <v>0</v>
      </c>
    </row>
    <row r="1347" spans="1:35" hidden="1" x14ac:dyDescent="0.25">
      <c r="A1347">
        <v>2020</v>
      </c>
      <c r="B1347" s="1">
        <v>44248</v>
      </c>
      <c r="C1347">
        <v>37</v>
      </c>
      <c r="D1347">
        <v>0</v>
      </c>
      <c r="E1347">
        <v>60540</v>
      </c>
      <c r="F1347" t="s">
        <v>83</v>
      </c>
      <c r="G1347" t="s">
        <v>69</v>
      </c>
      <c r="H1347" t="s">
        <v>85</v>
      </c>
      <c r="I1347" t="s">
        <v>334</v>
      </c>
      <c r="J1347">
        <v>7</v>
      </c>
      <c r="K1347">
        <v>9</v>
      </c>
      <c r="L1347">
        <v>31250000</v>
      </c>
      <c r="M1347">
        <v>27100000</v>
      </c>
      <c r="N1347" t="s">
        <v>111</v>
      </c>
      <c r="O1347" t="s">
        <v>128</v>
      </c>
      <c r="P1347">
        <v>1</v>
      </c>
      <c r="Q1347">
        <v>0</v>
      </c>
      <c r="R1347">
        <v>0</v>
      </c>
      <c r="S1347">
        <v>0</v>
      </c>
      <c r="T1347">
        <v>2</v>
      </c>
      <c r="U1347">
        <v>2</v>
      </c>
      <c r="V1347">
        <v>19</v>
      </c>
      <c r="W1347">
        <v>17</v>
      </c>
      <c r="X1347">
        <v>17</v>
      </c>
      <c r="Y1347">
        <v>19</v>
      </c>
      <c r="Z1347">
        <v>3</v>
      </c>
      <c r="AA1347">
        <v>1</v>
      </c>
      <c r="AB1347">
        <v>1</v>
      </c>
      <c r="AC1347">
        <v>4</v>
      </c>
      <c r="AD1347">
        <v>11</v>
      </c>
      <c r="AE1347">
        <v>8</v>
      </c>
      <c r="AF1347">
        <v>7</v>
      </c>
      <c r="AG1347">
        <v>5</v>
      </c>
      <c r="AH1347">
        <v>1</v>
      </c>
      <c r="AI1347">
        <v>1</v>
      </c>
    </row>
    <row r="1348" spans="1:35" hidden="1" x14ac:dyDescent="0.25">
      <c r="A1348">
        <v>2020</v>
      </c>
      <c r="B1348" s="1">
        <v>44063</v>
      </c>
      <c r="C1348">
        <v>4</v>
      </c>
      <c r="D1348">
        <v>0</v>
      </c>
      <c r="E1348">
        <v>46931</v>
      </c>
      <c r="F1348" t="s">
        <v>51</v>
      </c>
      <c r="G1348" t="s">
        <v>89</v>
      </c>
      <c r="H1348" t="s">
        <v>334</v>
      </c>
      <c r="I1348" t="s">
        <v>329</v>
      </c>
      <c r="J1348">
        <v>16</v>
      </c>
      <c r="K1348">
        <v>1</v>
      </c>
      <c r="L1348">
        <v>9730000</v>
      </c>
      <c r="M1348">
        <v>24800000</v>
      </c>
      <c r="N1348" t="s">
        <v>332</v>
      </c>
      <c r="O1348">
        <v>25</v>
      </c>
      <c r="P1348">
        <v>2</v>
      </c>
      <c r="Q1348">
        <v>1</v>
      </c>
      <c r="R1348">
        <v>1</v>
      </c>
      <c r="S1348">
        <v>0</v>
      </c>
      <c r="T1348">
        <v>7</v>
      </c>
      <c r="U1348">
        <v>16</v>
      </c>
      <c r="V1348">
        <v>9</v>
      </c>
      <c r="W1348">
        <v>10</v>
      </c>
      <c r="X1348">
        <v>10</v>
      </c>
      <c r="Y1348">
        <v>6</v>
      </c>
      <c r="Z1348">
        <v>8</v>
      </c>
      <c r="AA1348">
        <v>3</v>
      </c>
      <c r="AB1348">
        <v>1</v>
      </c>
      <c r="AC1348">
        <v>2</v>
      </c>
      <c r="AD1348">
        <v>10</v>
      </c>
      <c r="AE1348">
        <v>31</v>
      </c>
      <c r="AF1348">
        <v>3</v>
      </c>
      <c r="AG1348">
        <v>13</v>
      </c>
      <c r="AH1348">
        <v>1</v>
      </c>
      <c r="AI1348">
        <v>1</v>
      </c>
    </row>
    <row r="1349" spans="1:35" hidden="1" x14ac:dyDescent="0.25">
      <c r="A1349">
        <v>2020</v>
      </c>
      <c r="B1349" s="1">
        <v>44077</v>
      </c>
      <c r="C1349">
        <v>7</v>
      </c>
      <c r="D1349">
        <v>0</v>
      </c>
      <c r="E1349">
        <v>46931</v>
      </c>
      <c r="F1349" t="s">
        <v>51</v>
      </c>
      <c r="G1349" t="s">
        <v>321</v>
      </c>
      <c r="J1349">
        <v>16</v>
      </c>
      <c r="K1349">
        <v>14</v>
      </c>
      <c r="P1349">
        <v>0</v>
      </c>
      <c r="Q1349">
        <v>0</v>
      </c>
      <c r="R1349">
        <v>0</v>
      </c>
      <c r="S1349">
        <v>0</v>
      </c>
      <c r="T1349">
        <v>6</v>
      </c>
      <c r="U1349">
        <v>6</v>
      </c>
      <c r="V1349">
        <v>23</v>
      </c>
      <c r="W1349">
        <v>21</v>
      </c>
      <c r="X1349">
        <v>21</v>
      </c>
      <c r="Y1349">
        <v>22</v>
      </c>
      <c r="Z1349">
        <v>3</v>
      </c>
      <c r="AA1349">
        <v>5</v>
      </c>
      <c r="AB1349">
        <v>1</v>
      </c>
      <c r="AC1349">
        <v>0</v>
      </c>
      <c r="AD1349">
        <v>17</v>
      </c>
      <c r="AE1349">
        <v>7</v>
      </c>
      <c r="AF1349">
        <v>9</v>
      </c>
      <c r="AG1349">
        <v>2</v>
      </c>
      <c r="AH1349">
        <v>0</v>
      </c>
      <c r="AI1349">
        <v>0</v>
      </c>
    </row>
    <row r="1350" spans="1:35" hidden="1" x14ac:dyDescent="0.25">
      <c r="A1350">
        <v>2020</v>
      </c>
      <c r="B1350" s="1">
        <v>44094</v>
      </c>
      <c r="C1350">
        <v>11</v>
      </c>
      <c r="D1350">
        <v>0</v>
      </c>
      <c r="E1350">
        <v>46931</v>
      </c>
      <c r="F1350" t="s">
        <v>51</v>
      </c>
      <c r="G1350" t="s">
        <v>419</v>
      </c>
      <c r="H1350" t="s">
        <v>334</v>
      </c>
      <c r="I1350" t="s">
        <v>71</v>
      </c>
      <c r="J1350">
        <v>17</v>
      </c>
      <c r="K1350">
        <v>7</v>
      </c>
      <c r="L1350">
        <v>9950000</v>
      </c>
      <c r="M1350">
        <v>20900000</v>
      </c>
      <c r="N1350" t="s">
        <v>270</v>
      </c>
      <c r="O1350" t="s">
        <v>114</v>
      </c>
      <c r="P1350">
        <v>0</v>
      </c>
      <c r="Q1350">
        <v>0</v>
      </c>
      <c r="R1350">
        <v>0</v>
      </c>
      <c r="S1350">
        <v>0</v>
      </c>
      <c r="T1350">
        <v>8</v>
      </c>
      <c r="U1350">
        <v>10</v>
      </c>
      <c r="V1350">
        <v>15</v>
      </c>
      <c r="W1350">
        <v>13</v>
      </c>
      <c r="X1350">
        <v>13</v>
      </c>
      <c r="Y1350">
        <v>14</v>
      </c>
      <c r="Z1350">
        <v>6</v>
      </c>
      <c r="AA1350">
        <v>0</v>
      </c>
      <c r="AB1350">
        <v>0</v>
      </c>
      <c r="AC1350">
        <v>1</v>
      </c>
      <c r="AD1350">
        <v>7</v>
      </c>
      <c r="AE1350">
        <v>21</v>
      </c>
      <c r="AF1350">
        <v>6</v>
      </c>
      <c r="AG1350">
        <v>10</v>
      </c>
      <c r="AH1350">
        <v>0</v>
      </c>
      <c r="AI1350">
        <v>0</v>
      </c>
    </row>
    <row r="1351" spans="1:35" hidden="1" x14ac:dyDescent="0.25">
      <c r="A1351">
        <v>2020</v>
      </c>
      <c r="B1351" s="1">
        <v>44112</v>
      </c>
      <c r="C1351">
        <v>14</v>
      </c>
      <c r="D1351">
        <v>0</v>
      </c>
      <c r="E1351">
        <v>46931</v>
      </c>
      <c r="F1351" t="s">
        <v>51</v>
      </c>
      <c r="G1351" t="s">
        <v>95</v>
      </c>
      <c r="H1351" t="s">
        <v>410</v>
      </c>
      <c r="I1351" t="s">
        <v>317</v>
      </c>
      <c r="J1351">
        <v>19</v>
      </c>
      <c r="K1351">
        <v>4</v>
      </c>
      <c r="L1351">
        <v>10300000</v>
      </c>
      <c r="M1351">
        <v>29000000</v>
      </c>
      <c r="N1351" t="s">
        <v>149</v>
      </c>
      <c r="O1351" t="s">
        <v>235</v>
      </c>
      <c r="P1351">
        <v>2</v>
      </c>
      <c r="Q1351">
        <v>1</v>
      </c>
      <c r="R1351">
        <v>0</v>
      </c>
      <c r="S1351">
        <v>0</v>
      </c>
      <c r="T1351">
        <v>2</v>
      </c>
      <c r="U1351">
        <v>5</v>
      </c>
      <c r="V1351">
        <v>16</v>
      </c>
      <c r="W1351">
        <v>15</v>
      </c>
      <c r="X1351">
        <v>15</v>
      </c>
      <c r="Y1351">
        <v>15</v>
      </c>
      <c r="Z1351">
        <v>3</v>
      </c>
      <c r="AA1351">
        <v>2</v>
      </c>
      <c r="AB1351">
        <v>0</v>
      </c>
      <c r="AC1351">
        <v>2</v>
      </c>
      <c r="AD1351">
        <v>11</v>
      </c>
      <c r="AE1351">
        <v>20</v>
      </c>
      <c r="AF1351">
        <v>2</v>
      </c>
      <c r="AG1351">
        <v>11</v>
      </c>
      <c r="AH1351">
        <v>1</v>
      </c>
      <c r="AI1351">
        <v>1</v>
      </c>
    </row>
    <row r="1352" spans="1:35" hidden="1" x14ac:dyDescent="0.25">
      <c r="A1352">
        <v>2020</v>
      </c>
      <c r="B1352" s="1">
        <v>44124</v>
      </c>
      <c r="C1352">
        <v>17</v>
      </c>
      <c r="D1352">
        <v>0</v>
      </c>
      <c r="E1352">
        <v>46931</v>
      </c>
      <c r="F1352" t="s">
        <v>51</v>
      </c>
      <c r="G1352" t="s">
        <v>416</v>
      </c>
      <c r="H1352" t="s">
        <v>410</v>
      </c>
      <c r="I1352" t="s">
        <v>420</v>
      </c>
      <c r="J1352">
        <v>16</v>
      </c>
      <c r="K1352">
        <v>20</v>
      </c>
      <c r="L1352">
        <v>10150000</v>
      </c>
      <c r="M1352">
        <v>10450000</v>
      </c>
      <c r="N1352" t="s">
        <v>151</v>
      </c>
      <c r="O1352" t="s">
        <v>163</v>
      </c>
      <c r="P1352">
        <v>0</v>
      </c>
      <c r="Q1352">
        <v>0</v>
      </c>
      <c r="R1352">
        <v>0</v>
      </c>
      <c r="S1352">
        <v>0</v>
      </c>
      <c r="T1352">
        <v>11</v>
      </c>
      <c r="U1352">
        <v>5</v>
      </c>
      <c r="V1352">
        <v>18</v>
      </c>
      <c r="W1352">
        <v>11</v>
      </c>
      <c r="X1352">
        <v>10</v>
      </c>
      <c r="Y1352">
        <v>17</v>
      </c>
      <c r="Z1352">
        <v>4</v>
      </c>
      <c r="AA1352">
        <v>6</v>
      </c>
      <c r="AB1352">
        <v>3</v>
      </c>
      <c r="AC1352">
        <v>0</v>
      </c>
      <c r="AD1352">
        <v>23</v>
      </c>
      <c r="AE1352">
        <v>12</v>
      </c>
      <c r="AF1352">
        <v>7</v>
      </c>
      <c r="AG1352">
        <v>6</v>
      </c>
      <c r="AH1352">
        <v>0</v>
      </c>
      <c r="AI1352">
        <v>0</v>
      </c>
    </row>
    <row r="1353" spans="1:35" hidden="1" x14ac:dyDescent="0.25">
      <c r="A1353">
        <v>2020</v>
      </c>
      <c r="B1353" s="1">
        <v>44157</v>
      </c>
      <c r="C1353">
        <v>22</v>
      </c>
      <c r="D1353">
        <v>0</v>
      </c>
      <c r="E1353">
        <v>46931</v>
      </c>
      <c r="F1353" t="s">
        <v>51</v>
      </c>
      <c r="G1353" t="s">
        <v>63</v>
      </c>
      <c r="H1353" t="s">
        <v>421</v>
      </c>
      <c r="I1353" t="s">
        <v>422</v>
      </c>
      <c r="J1353">
        <v>19</v>
      </c>
      <c r="K1353">
        <v>12</v>
      </c>
      <c r="L1353">
        <v>9350000</v>
      </c>
      <c r="M1353">
        <v>7750000</v>
      </c>
      <c r="N1353" t="s">
        <v>41</v>
      </c>
      <c r="O1353" t="s">
        <v>200</v>
      </c>
      <c r="P1353">
        <v>1</v>
      </c>
      <c r="Q1353">
        <v>2</v>
      </c>
      <c r="R1353">
        <v>0</v>
      </c>
      <c r="S1353">
        <v>0</v>
      </c>
      <c r="T1353">
        <v>7</v>
      </c>
      <c r="U1353">
        <v>5</v>
      </c>
      <c r="V1353">
        <v>18</v>
      </c>
      <c r="W1353">
        <v>15</v>
      </c>
      <c r="X1353">
        <v>15</v>
      </c>
      <c r="Y1353">
        <v>16</v>
      </c>
      <c r="Z1353">
        <v>4</v>
      </c>
      <c r="AA1353">
        <v>5</v>
      </c>
      <c r="AB1353">
        <v>3</v>
      </c>
      <c r="AC1353">
        <v>2</v>
      </c>
      <c r="AD1353">
        <v>19</v>
      </c>
      <c r="AE1353">
        <v>11</v>
      </c>
      <c r="AF1353">
        <v>6</v>
      </c>
      <c r="AG1353">
        <v>2</v>
      </c>
      <c r="AH1353">
        <v>-1</v>
      </c>
      <c r="AI1353">
        <v>0</v>
      </c>
    </row>
    <row r="1354" spans="1:35" hidden="1" x14ac:dyDescent="0.25">
      <c r="A1354">
        <v>2020</v>
      </c>
      <c r="B1354" s="1">
        <v>44170</v>
      </c>
      <c r="C1354">
        <v>24</v>
      </c>
      <c r="D1354">
        <v>0</v>
      </c>
      <c r="E1354">
        <v>46931</v>
      </c>
      <c r="F1354" t="s">
        <v>51</v>
      </c>
      <c r="G1354" t="s">
        <v>77</v>
      </c>
      <c r="H1354" t="s">
        <v>423</v>
      </c>
      <c r="I1354" t="s">
        <v>40</v>
      </c>
      <c r="J1354">
        <v>19</v>
      </c>
      <c r="K1354">
        <v>3</v>
      </c>
      <c r="L1354">
        <v>12350000</v>
      </c>
      <c r="M1354">
        <v>70550000</v>
      </c>
      <c r="N1354" t="s">
        <v>163</v>
      </c>
      <c r="O1354" t="s">
        <v>74</v>
      </c>
      <c r="P1354">
        <v>0</v>
      </c>
      <c r="Q1354">
        <v>1</v>
      </c>
      <c r="R1354">
        <v>0</v>
      </c>
      <c r="S1354">
        <v>0</v>
      </c>
      <c r="T1354">
        <v>5</v>
      </c>
      <c r="U1354">
        <v>7</v>
      </c>
      <c r="V1354">
        <v>16</v>
      </c>
      <c r="W1354">
        <v>26</v>
      </c>
      <c r="X1354">
        <v>24</v>
      </c>
      <c r="Y1354">
        <v>16</v>
      </c>
      <c r="Z1354">
        <v>1</v>
      </c>
      <c r="AA1354">
        <v>3</v>
      </c>
      <c r="AB1354">
        <v>0</v>
      </c>
      <c r="AC1354">
        <v>0</v>
      </c>
      <c r="AD1354">
        <v>13</v>
      </c>
      <c r="AE1354">
        <v>14</v>
      </c>
      <c r="AF1354">
        <v>4</v>
      </c>
      <c r="AG1354">
        <v>4</v>
      </c>
      <c r="AH1354">
        <v>-1</v>
      </c>
      <c r="AI1354">
        <v>0</v>
      </c>
    </row>
    <row r="1355" spans="1:35" hidden="1" x14ac:dyDescent="0.25">
      <c r="A1355">
        <v>2020</v>
      </c>
      <c r="B1355" s="1">
        <v>44216</v>
      </c>
      <c r="C1355">
        <v>31</v>
      </c>
      <c r="D1355">
        <v>0</v>
      </c>
      <c r="E1355">
        <v>46931</v>
      </c>
      <c r="F1355" t="s">
        <v>51</v>
      </c>
      <c r="G1355" t="s">
        <v>76</v>
      </c>
      <c r="H1355" t="s">
        <v>367</v>
      </c>
      <c r="I1355" t="s">
        <v>408</v>
      </c>
      <c r="J1355">
        <v>20</v>
      </c>
      <c r="K1355">
        <v>13</v>
      </c>
      <c r="L1355">
        <v>8200000</v>
      </c>
      <c r="M1355">
        <v>8600000</v>
      </c>
      <c r="N1355" t="s">
        <v>351</v>
      </c>
      <c r="O1355" t="s">
        <v>270</v>
      </c>
      <c r="P1355">
        <v>1</v>
      </c>
      <c r="Q1355">
        <v>3</v>
      </c>
      <c r="R1355">
        <v>0</v>
      </c>
      <c r="S1355">
        <v>0</v>
      </c>
      <c r="T1355">
        <v>3</v>
      </c>
      <c r="U1355">
        <v>6</v>
      </c>
      <c r="V1355">
        <v>18</v>
      </c>
      <c r="W1355">
        <v>14</v>
      </c>
      <c r="X1355">
        <v>14</v>
      </c>
      <c r="Y1355">
        <v>17</v>
      </c>
      <c r="Z1355">
        <v>2</v>
      </c>
      <c r="AA1355">
        <v>4</v>
      </c>
      <c r="AB1355">
        <v>1</v>
      </c>
      <c r="AC1355">
        <v>1</v>
      </c>
      <c r="AD1355">
        <v>17</v>
      </c>
      <c r="AE1355">
        <v>14</v>
      </c>
      <c r="AF1355">
        <v>7</v>
      </c>
      <c r="AG1355">
        <v>4</v>
      </c>
      <c r="AH1355">
        <v>-2</v>
      </c>
      <c r="AI1355">
        <v>0</v>
      </c>
    </row>
    <row r="1356" spans="1:35" hidden="1" x14ac:dyDescent="0.25">
      <c r="A1356">
        <v>2020</v>
      </c>
      <c r="B1356" s="1">
        <v>44250</v>
      </c>
      <c r="C1356">
        <v>37</v>
      </c>
      <c r="D1356">
        <v>0</v>
      </c>
      <c r="E1356">
        <v>46931</v>
      </c>
      <c r="F1356" t="s">
        <v>51</v>
      </c>
      <c r="G1356" t="s">
        <v>62</v>
      </c>
      <c r="H1356" t="s">
        <v>320</v>
      </c>
      <c r="I1356" t="s">
        <v>418</v>
      </c>
      <c r="J1356">
        <v>20</v>
      </c>
      <c r="K1356">
        <v>3</v>
      </c>
      <c r="L1356">
        <v>3980000</v>
      </c>
      <c r="M1356">
        <v>39200000</v>
      </c>
      <c r="N1356" t="s">
        <v>424</v>
      </c>
      <c r="O1356" t="s">
        <v>209</v>
      </c>
      <c r="P1356">
        <v>1</v>
      </c>
      <c r="Q1356">
        <v>0</v>
      </c>
      <c r="R1356">
        <v>0</v>
      </c>
      <c r="S1356">
        <v>0</v>
      </c>
      <c r="T1356">
        <v>4</v>
      </c>
      <c r="U1356">
        <v>3</v>
      </c>
      <c r="V1356">
        <v>12</v>
      </c>
      <c r="W1356">
        <v>15</v>
      </c>
      <c r="X1356">
        <v>15</v>
      </c>
      <c r="Y1356">
        <v>12</v>
      </c>
      <c r="Z1356">
        <v>1</v>
      </c>
      <c r="AA1356">
        <v>7</v>
      </c>
      <c r="AB1356">
        <v>2</v>
      </c>
      <c r="AC1356">
        <v>0</v>
      </c>
      <c r="AD1356">
        <v>19</v>
      </c>
      <c r="AE1356">
        <v>7</v>
      </c>
      <c r="AF1356">
        <v>3</v>
      </c>
      <c r="AG1356">
        <v>5</v>
      </c>
      <c r="AH1356">
        <v>1</v>
      </c>
      <c r="AI1356">
        <v>1</v>
      </c>
    </row>
    <row r="1357" spans="1:35" hidden="1" x14ac:dyDescent="0.25">
      <c r="A1357">
        <v>2020</v>
      </c>
      <c r="B1357" s="1">
        <v>44056</v>
      </c>
      <c r="C1357">
        <v>2</v>
      </c>
      <c r="D1357">
        <v>0</v>
      </c>
      <c r="E1357">
        <v>30000</v>
      </c>
      <c r="F1357" t="s">
        <v>38</v>
      </c>
      <c r="G1357" t="s">
        <v>321</v>
      </c>
      <c r="H1357" t="s">
        <v>46</v>
      </c>
      <c r="I1357" t="s">
        <v>367</v>
      </c>
      <c r="J1357">
        <v>4</v>
      </c>
      <c r="K1357">
        <v>18</v>
      </c>
      <c r="L1357">
        <v>11750000</v>
      </c>
      <c r="M1357">
        <v>6800000</v>
      </c>
      <c r="N1357">
        <v>28</v>
      </c>
      <c r="O1357" t="s">
        <v>151</v>
      </c>
      <c r="P1357">
        <v>1</v>
      </c>
      <c r="Q1357">
        <v>0</v>
      </c>
      <c r="R1357">
        <v>1</v>
      </c>
      <c r="S1357">
        <v>0</v>
      </c>
      <c r="T1357">
        <v>3</v>
      </c>
      <c r="U1357">
        <v>8</v>
      </c>
      <c r="V1357">
        <v>16</v>
      </c>
      <c r="W1357">
        <v>18</v>
      </c>
      <c r="X1357">
        <v>17</v>
      </c>
      <c r="Y1357">
        <v>14</v>
      </c>
      <c r="Z1357">
        <v>3</v>
      </c>
      <c r="AA1357">
        <v>4</v>
      </c>
      <c r="AB1357">
        <v>1</v>
      </c>
      <c r="AC1357">
        <v>5</v>
      </c>
      <c r="AD1357">
        <v>12</v>
      </c>
      <c r="AE1357">
        <v>14</v>
      </c>
      <c r="AF1357">
        <v>7</v>
      </c>
      <c r="AG1357">
        <v>8</v>
      </c>
      <c r="AH1357">
        <v>1</v>
      </c>
      <c r="AI1357">
        <v>1</v>
      </c>
    </row>
    <row r="1358" spans="1:35" hidden="1" x14ac:dyDescent="0.25">
      <c r="A1358">
        <v>2020</v>
      </c>
      <c r="B1358" s="1">
        <v>44059</v>
      </c>
      <c r="C1358">
        <v>3</v>
      </c>
      <c r="D1358">
        <v>0</v>
      </c>
      <c r="E1358">
        <v>30000</v>
      </c>
      <c r="F1358" t="s">
        <v>38</v>
      </c>
      <c r="G1358" t="s">
        <v>56</v>
      </c>
      <c r="H1358" t="s">
        <v>46</v>
      </c>
      <c r="I1358" t="s">
        <v>425</v>
      </c>
      <c r="J1358">
        <v>5</v>
      </c>
      <c r="K1358">
        <v>11</v>
      </c>
      <c r="L1358">
        <v>11130000</v>
      </c>
      <c r="M1358">
        <v>10630000</v>
      </c>
      <c r="N1358" t="s">
        <v>123</v>
      </c>
      <c r="O1358" t="s">
        <v>80</v>
      </c>
      <c r="P1358">
        <v>2</v>
      </c>
      <c r="Q1358">
        <v>1</v>
      </c>
      <c r="R1358">
        <v>1</v>
      </c>
      <c r="S1358">
        <v>0</v>
      </c>
      <c r="T1358">
        <v>3</v>
      </c>
      <c r="U1358">
        <v>7</v>
      </c>
      <c r="V1358">
        <v>16</v>
      </c>
      <c r="W1358">
        <v>16</v>
      </c>
      <c r="X1358">
        <v>14</v>
      </c>
      <c r="Y1358">
        <v>15</v>
      </c>
      <c r="Z1358">
        <v>2</v>
      </c>
      <c r="AA1358">
        <v>2</v>
      </c>
      <c r="AB1358">
        <v>2</v>
      </c>
      <c r="AC1358">
        <v>1</v>
      </c>
      <c r="AD1358">
        <v>10</v>
      </c>
      <c r="AE1358">
        <v>16</v>
      </c>
      <c r="AF1358">
        <v>4</v>
      </c>
      <c r="AG1358">
        <v>7</v>
      </c>
      <c r="AH1358">
        <v>1</v>
      </c>
      <c r="AI1358">
        <v>1</v>
      </c>
    </row>
    <row r="1359" spans="1:35" hidden="1" x14ac:dyDescent="0.25">
      <c r="A1359">
        <v>2020</v>
      </c>
      <c r="B1359" s="1">
        <v>44073</v>
      </c>
      <c r="C1359">
        <v>6</v>
      </c>
      <c r="D1359">
        <v>0</v>
      </c>
      <c r="E1359">
        <v>30000</v>
      </c>
      <c r="F1359" t="s">
        <v>38</v>
      </c>
      <c r="G1359" t="s">
        <v>95</v>
      </c>
      <c r="H1359" t="s">
        <v>46</v>
      </c>
      <c r="I1359" t="s">
        <v>317</v>
      </c>
      <c r="J1359">
        <v>4</v>
      </c>
      <c r="K1359">
        <v>6</v>
      </c>
      <c r="L1359">
        <v>11350000</v>
      </c>
      <c r="M1359">
        <v>30950000</v>
      </c>
      <c r="N1359" t="s">
        <v>296</v>
      </c>
      <c r="O1359" t="s">
        <v>73</v>
      </c>
      <c r="P1359">
        <v>1</v>
      </c>
      <c r="Q1359">
        <v>1</v>
      </c>
      <c r="R1359">
        <v>0</v>
      </c>
      <c r="S1359">
        <v>0</v>
      </c>
      <c r="T1359">
        <v>8</v>
      </c>
      <c r="U1359">
        <v>2</v>
      </c>
      <c r="V1359">
        <v>15</v>
      </c>
      <c r="W1359">
        <v>16</v>
      </c>
      <c r="X1359">
        <v>15</v>
      </c>
      <c r="Y1359">
        <v>15</v>
      </c>
      <c r="Z1359">
        <v>4</v>
      </c>
      <c r="AA1359">
        <v>0</v>
      </c>
      <c r="AB1359">
        <v>1</v>
      </c>
      <c r="AC1359">
        <v>4</v>
      </c>
      <c r="AD1359">
        <v>9</v>
      </c>
      <c r="AE1359">
        <v>11</v>
      </c>
      <c r="AF1359">
        <v>1</v>
      </c>
      <c r="AG1359">
        <v>3</v>
      </c>
      <c r="AH1359">
        <v>0</v>
      </c>
      <c r="AI1359">
        <v>0</v>
      </c>
    </row>
    <row r="1360" spans="1:35" hidden="1" x14ac:dyDescent="0.25">
      <c r="A1360">
        <v>2020</v>
      </c>
      <c r="B1360" s="1">
        <v>44112</v>
      </c>
      <c r="C1360">
        <v>14</v>
      </c>
      <c r="D1360">
        <v>0</v>
      </c>
      <c r="E1360">
        <v>30000</v>
      </c>
      <c r="F1360" t="s">
        <v>38</v>
      </c>
      <c r="G1360" t="s">
        <v>82</v>
      </c>
      <c r="H1360" t="s">
        <v>240</v>
      </c>
      <c r="I1360" t="s">
        <v>426</v>
      </c>
      <c r="J1360">
        <v>16</v>
      </c>
      <c r="K1360">
        <v>8</v>
      </c>
      <c r="L1360">
        <v>11700000</v>
      </c>
      <c r="M1360">
        <v>21100000</v>
      </c>
      <c r="N1360" t="s">
        <v>105</v>
      </c>
      <c r="O1360" t="s">
        <v>117</v>
      </c>
      <c r="P1360">
        <v>3</v>
      </c>
      <c r="Q1360">
        <v>0</v>
      </c>
      <c r="R1360">
        <v>3</v>
      </c>
      <c r="S1360">
        <v>0</v>
      </c>
      <c r="T1360">
        <v>4</v>
      </c>
      <c r="U1360">
        <v>6</v>
      </c>
      <c r="V1360">
        <v>18</v>
      </c>
      <c r="W1360">
        <v>15</v>
      </c>
      <c r="X1360">
        <v>14</v>
      </c>
      <c r="Y1360">
        <v>16</v>
      </c>
      <c r="Z1360">
        <v>1</v>
      </c>
      <c r="AA1360">
        <v>3</v>
      </c>
      <c r="AB1360">
        <v>0</v>
      </c>
      <c r="AC1360">
        <v>1</v>
      </c>
      <c r="AD1360">
        <v>13</v>
      </c>
      <c r="AE1360">
        <v>10</v>
      </c>
      <c r="AF1360">
        <v>3</v>
      </c>
      <c r="AG1360">
        <v>6</v>
      </c>
      <c r="AH1360">
        <v>3</v>
      </c>
      <c r="AI1360">
        <v>1</v>
      </c>
    </row>
    <row r="1361" spans="1:35" hidden="1" x14ac:dyDescent="0.25">
      <c r="A1361">
        <v>2020</v>
      </c>
      <c r="B1361" s="1">
        <v>44146</v>
      </c>
      <c r="C1361">
        <v>18</v>
      </c>
      <c r="D1361">
        <v>0</v>
      </c>
      <c r="E1361">
        <v>55000</v>
      </c>
      <c r="F1361" t="s">
        <v>38</v>
      </c>
      <c r="G1361" t="s">
        <v>63</v>
      </c>
      <c r="H1361" t="s">
        <v>240</v>
      </c>
      <c r="I1361" t="s">
        <v>427</v>
      </c>
      <c r="J1361">
        <v>14</v>
      </c>
      <c r="K1361">
        <v>7</v>
      </c>
      <c r="L1361">
        <v>8480000</v>
      </c>
      <c r="M1361">
        <v>7850000</v>
      </c>
      <c r="N1361" t="s">
        <v>73</v>
      </c>
      <c r="O1361" t="s">
        <v>144</v>
      </c>
      <c r="P1361">
        <v>2</v>
      </c>
      <c r="Q1361">
        <v>1</v>
      </c>
      <c r="R1361">
        <v>1</v>
      </c>
      <c r="S1361">
        <v>0</v>
      </c>
      <c r="T1361">
        <v>4</v>
      </c>
      <c r="U1361">
        <v>7</v>
      </c>
      <c r="V1361">
        <v>14</v>
      </c>
      <c r="W1361">
        <v>11</v>
      </c>
      <c r="X1361">
        <v>11</v>
      </c>
      <c r="Y1361">
        <v>13</v>
      </c>
      <c r="Z1361">
        <v>0</v>
      </c>
      <c r="AA1361">
        <v>4</v>
      </c>
      <c r="AB1361">
        <v>1</v>
      </c>
      <c r="AC1361">
        <v>2</v>
      </c>
      <c r="AD1361">
        <v>13</v>
      </c>
      <c r="AE1361">
        <v>8</v>
      </c>
      <c r="AF1361">
        <v>5</v>
      </c>
      <c r="AG1361">
        <v>4</v>
      </c>
      <c r="AH1361">
        <v>1</v>
      </c>
      <c r="AI1361">
        <v>1</v>
      </c>
    </row>
    <row r="1362" spans="1:35" hidden="1" x14ac:dyDescent="0.25">
      <c r="A1362">
        <v>2020</v>
      </c>
      <c r="B1362" s="1">
        <v>44143</v>
      </c>
      <c r="C1362">
        <v>20</v>
      </c>
      <c r="D1362">
        <v>0</v>
      </c>
      <c r="E1362">
        <v>55000</v>
      </c>
      <c r="F1362" t="s">
        <v>38</v>
      </c>
      <c r="G1362" t="s">
        <v>51</v>
      </c>
      <c r="H1362" t="s">
        <v>240</v>
      </c>
      <c r="I1362" t="s">
        <v>428</v>
      </c>
      <c r="J1362">
        <v>13</v>
      </c>
      <c r="K1362">
        <v>16</v>
      </c>
      <c r="L1362">
        <v>9450000</v>
      </c>
      <c r="M1362">
        <v>8000000</v>
      </c>
      <c r="N1362" t="s">
        <v>174</v>
      </c>
      <c r="O1362" t="s">
        <v>217</v>
      </c>
      <c r="P1362">
        <v>1</v>
      </c>
      <c r="Q1362">
        <v>0</v>
      </c>
      <c r="R1362">
        <v>0</v>
      </c>
      <c r="S1362">
        <v>0</v>
      </c>
      <c r="T1362">
        <v>4</v>
      </c>
      <c r="U1362">
        <v>4</v>
      </c>
      <c r="V1362">
        <v>19</v>
      </c>
      <c r="W1362">
        <v>17</v>
      </c>
      <c r="X1362">
        <v>16</v>
      </c>
      <c r="Y1362">
        <v>18</v>
      </c>
      <c r="Z1362">
        <v>3</v>
      </c>
      <c r="AA1362">
        <v>4</v>
      </c>
      <c r="AB1362">
        <v>1</v>
      </c>
      <c r="AC1362">
        <v>1</v>
      </c>
      <c r="AD1362">
        <v>20</v>
      </c>
      <c r="AE1362">
        <v>10</v>
      </c>
      <c r="AF1362">
        <v>7</v>
      </c>
      <c r="AG1362">
        <v>5</v>
      </c>
      <c r="AH1362">
        <v>1</v>
      </c>
      <c r="AI1362">
        <v>1</v>
      </c>
    </row>
    <row r="1363" spans="1:35" hidden="1" x14ac:dyDescent="0.25">
      <c r="A1363">
        <v>2020</v>
      </c>
      <c r="B1363" s="1">
        <v>44163</v>
      </c>
      <c r="C1363">
        <v>23</v>
      </c>
      <c r="D1363">
        <v>0</v>
      </c>
      <c r="E1363">
        <v>55000</v>
      </c>
      <c r="F1363" t="s">
        <v>38</v>
      </c>
      <c r="G1363" t="s">
        <v>62</v>
      </c>
      <c r="H1363" t="s">
        <v>240</v>
      </c>
      <c r="I1363" t="s">
        <v>57</v>
      </c>
      <c r="J1363">
        <v>10</v>
      </c>
      <c r="K1363">
        <v>1</v>
      </c>
      <c r="L1363">
        <v>9600000</v>
      </c>
      <c r="M1363">
        <v>28400000</v>
      </c>
      <c r="N1363" t="s">
        <v>120</v>
      </c>
      <c r="O1363" t="s">
        <v>114</v>
      </c>
      <c r="P1363">
        <v>1</v>
      </c>
      <c r="Q1363">
        <v>3</v>
      </c>
      <c r="R1363">
        <v>0</v>
      </c>
      <c r="S1363">
        <v>0</v>
      </c>
      <c r="T1363">
        <v>5</v>
      </c>
      <c r="U1363">
        <v>9</v>
      </c>
      <c r="V1363">
        <v>12</v>
      </c>
      <c r="W1363">
        <v>15</v>
      </c>
      <c r="X1363">
        <v>14</v>
      </c>
      <c r="Y1363">
        <v>12</v>
      </c>
      <c r="Z1363">
        <v>5</v>
      </c>
      <c r="AA1363">
        <v>5</v>
      </c>
      <c r="AB1363">
        <v>1</v>
      </c>
      <c r="AC1363">
        <v>1</v>
      </c>
      <c r="AD1363">
        <v>15</v>
      </c>
      <c r="AE1363">
        <v>17</v>
      </c>
      <c r="AF1363">
        <v>4</v>
      </c>
      <c r="AG1363">
        <v>4</v>
      </c>
      <c r="AH1363">
        <v>-2</v>
      </c>
      <c r="AI1363">
        <v>0</v>
      </c>
    </row>
    <row r="1364" spans="1:35" hidden="1" x14ac:dyDescent="0.25">
      <c r="A1364">
        <v>2020</v>
      </c>
      <c r="B1364" s="1">
        <v>44170</v>
      </c>
      <c r="C1364">
        <v>24</v>
      </c>
      <c r="D1364">
        <v>0</v>
      </c>
      <c r="E1364">
        <v>55000</v>
      </c>
      <c r="F1364" t="s">
        <v>38</v>
      </c>
      <c r="G1364" t="s">
        <v>361</v>
      </c>
      <c r="H1364" t="s">
        <v>240</v>
      </c>
      <c r="I1364" t="s">
        <v>340</v>
      </c>
      <c r="J1364">
        <v>13</v>
      </c>
      <c r="K1364">
        <v>10</v>
      </c>
      <c r="L1364">
        <v>8480000</v>
      </c>
      <c r="M1364">
        <v>7350000</v>
      </c>
      <c r="N1364" t="s">
        <v>117</v>
      </c>
      <c r="O1364" t="s">
        <v>66</v>
      </c>
      <c r="P1364">
        <v>0</v>
      </c>
      <c r="Q1364">
        <v>2</v>
      </c>
      <c r="R1364">
        <v>0</v>
      </c>
      <c r="S1364">
        <v>0</v>
      </c>
      <c r="T1364">
        <v>6</v>
      </c>
      <c r="U1364">
        <v>4</v>
      </c>
      <c r="V1364">
        <v>12</v>
      </c>
      <c r="W1364">
        <v>17</v>
      </c>
      <c r="X1364">
        <v>17</v>
      </c>
      <c r="Y1364">
        <v>10</v>
      </c>
      <c r="Z1364">
        <v>3</v>
      </c>
      <c r="AA1364">
        <v>2</v>
      </c>
      <c r="AB1364">
        <v>1</v>
      </c>
      <c r="AC1364">
        <v>1</v>
      </c>
      <c r="AD1364">
        <v>9</v>
      </c>
      <c r="AE1364">
        <v>11</v>
      </c>
      <c r="AF1364">
        <v>5</v>
      </c>
      <c r="AG1364">
        <v>4</v>
      </c>
      <c r="AH1364">
        <v>-2</v>
      </c>
      <c r="AI1364">
        <v>0</v>
      </c>
    </row>
    <row r="1365" spans="1:35" hidden="1" x14ac:dyDescent="0.25">
      <c r="A1365">
        <v>2020</v>
      </c>
      <c r="B1365" s="1">
        <v>44224</v>
      </c>
      <c r="C1365">
        <v>30</v>
      </c>
      <c r="D1365">
        <v>0</v>
      </c>
      <c r="E1365">
        <v>55000</v>
      </c>
      <c r="F1365" t="s">
        <v>38</v>
      </c>
      <c r="G1365" t="s">
        <v>88</v>
      </c>
      <c r="H1365" t="s">
        <v>398</v>
      </c>
      <c r="I1365" t="s">
        <v>429</v>
      </c>
      <c r="J1365">
        <v>17</v>
      </c>
      <c r="K1365">
        <v>9</v>
      </c>
      <c r="L1365">
        <v>6900000</v>
      </c>
      <c r="M1365">
        <v>31500000</v>
      </c>
      <c r="N1365" t="s">
        <v>66</v>
      </c>
      <c r="O1365" t="s">
        <v>100</v>
      </c>
      <c r="P1365">
        <v>2</v>
      </c>
      <c r="Q1365">
        <v>1</v>
      </c>
      <c r="R1365">
        <v>2</v>
      </c>
      <c r="S1365">
        <v>0</v>
      </c>
      <c r="T1365">
        <v>3</v>
      </c>
      <c r="U1365">
        <v>10</v>
      </c>
      <c r="V1365">
        <v>24</v>
      </c>
      <c r="W1365">
        <v>19</v>
      </c>
      <c r="X1365">
        <v>18</v>
      </c>
      <c r="Y1365">
        <v>24</v>
      </c>
      <c r="Z1365">
        <v>4</v>
      </c>
      <c r="AA1365">
        <v>5</v>
      </c>
      <c r="AB1365">
        <v>0</v>
      </c>
      <c r="AC1365">
        <v>1</v>
      </c>
      <c r="AD1365">
        <v>8</v>
      </c>
      <c r="AE1365">
        <v>15</v>
      </c>
      <c r="AF1365">
        <v>1</v>
      </c>
      <c r="AG1365">
        <v>5</v>
      </c>
      <c r="AH1365">
        <v>1</v>
      </c>
      <c r="AI1365">
        <v>1</v>
      </c>
    </row>
    <row r="1366" spans="1:35" hidden="1" x14ac:dyDescent="0.25">
      <c r="A1366">
        <v>2020</v>
      </c>
      <c r="B1366" s="1">
        <v>44216</v>
      </c>
      <c r="C1366">
        <v>31</v>
      </c>
      <c r="D1366">
        <v>0</v>
      </c>
      <c r="E1366">
        <v>55000</v>
      </c>
      <c r="F1366" t="s">
        <v>38</v>
      </c>
      <c r="G1366" t="s">
        <v>69</v>
      </c>
      <c r="H1366" t="s">
        <v>398</v>
      </c>
      <c r="I1366" t="s">
        <v>334</v>
      </c>
      <c r="J1366">
        <v>16</v>
      </c>
      <c r="K1366">
        <v>10</v>
      </c>
      <c r="L1366">
        <v>5180000</v>
      </c>
      <c r="M1366">
        <v>20950000</v>
      </c>
      <c r="N1366" t="s">
        <v>233</v>
      </c>
      <c r="O1366" t="s">
        <v>151</v>
      </c>
      <c r="P1366">
        <v>1</v>
      </c>
      <c r="Q1366">
        <v>0</v>
      </c>
      <c r="R1366">
        <v>0</v>
      </c>
      <c r="S1366">
        <v>0</v>
      </c>
      <c r="T1366">
        <v>9</v>
      </c>
      <c r="U1366">
        <v>4</v>
      </c>
      <c r="V1366">
        <v>15</v>
      </c>
      <c r="W1366">
        <v>14</v>
      </c>
      <c r="X1366">
        <v>13</v>
      </c>
      <c r="Y1366">
        <v>15</v>
      </c>
      <c r="Z1366">
        <v>1</v>
      </c>
      <c r="AA1366">
        <v>3</v>
      </c>
      <c r="AB1366">
        <v>3</v>
      </c>
      <c r="AC1366">
        <v>2</v>
      </c>
      <c r="AD1366">
        <v>11</v>
      </c>
      <c r="AE1366">
        <v>12</v>
      </c>
      <c r="AF1366">
        <v>6</v>
      </c>
      <c r="AG1366">
        <v>7</v>
      </c>
      <c r="AH1366">
        <v>1</v>
      </c>
      <c r="AI1366">
        <v>1</v>
      </c>
    </row>
    <row r="1367" spans="1:35" hidden="1" x14ac:dyDescent="0.25">
      <c r="A1367">
        <v>2020</v>
      </c>
      <c r="B1367" s="1">
        <v>44253</v>
      </c>
      <c r="C1367">
        <v>38</v>
      </c>
      <c r="D1367">
        <v>0</v>
      </c>
      <c r="E1367">
        <v>55000</v>
      </c>
      <c r="F1367" t="s">
        <v>38</v>
      </c>
      <c r="G1367" t="s">
        <v>419</v>
      </c>
      <c r="H1367" t="s">
        <v>398</v>
      </c>
      <c r="I1367" t="s">
        <v>338</v>
      </c>
      <c r="J1367">
        <v>15</v>
      </c>
      <c r="K1367">
        <v>8</v>
      </c>
      <c r="L1367">
        <v>8150000</v>
      </c>
      <c r="M1367">
        <v>10650000</v>
      </c>
      <c r="N1367" t="s">
        <v>235</v>
      </c>
      <c r="O1367" t="s">
        <v>373</v>
      </c>
      <c r="P1367">
        <v>2</v>
      </c>
      <c r="Q1367">
        <v>0</v>
      </c>
      <c r="R1367">
        <v>1</v>
      </c>
      <c r="S1367">
        <v>0</v>
      </c>
      <c r="T1367">
        <v>4</v>
      </c>
      <c r="U1367">
        <v>4</v>
      </c>
      <c r="V1367">
        <v>11</v>
      </c>
      <c r="W1367">
        <v>13</v>
      </c>
      <c r="X1367">
        <v>13</v>
      </c>
      <c r="Y1367">
        <v>11</v>
      </c>
      <c r="Z1367">
        <v>5</v>
      </c>
      <c r="AA1367">
        <v>3</v>
      </c>
      <c r="AB1367">
        <v>2</v>
      </c>
      <c r="AC1367">
        <v>1</v>
      </c>
      <c r="AD1367">
        <v>16</v>
      </c>
      <c r="AE1367">
        <v>15</v>
      </c>
      <c r="AF1367">
        <v>8</v>
      </c>
      <c r="AG1367">
        <v>6</v>
      </c>
      <c r="AH1367">
        <v>2</v>
      </c>
      <c r="AI1367">
        <v>1</v>
      </c>
    </row>
    <row r="1368" spans="1:35" hidden="1" x14ac:dyDescent="0.25">
      <c r="A1368">
        <v>2020</v>
      </c>
      <c r="B1368" s="1">
        <v>44066</v>
      </c>
      <c r="C1368">
        <v>5</v>
      </c>
      <c r="D1368">
        <v>0</v>
      </c>
      <c r="E1368">
        <v>78838</v>
      </c>
      <c r="F1368" t="s">
        <v>77</v>
      </c>
      <c r="G1368" t="s">
        <v>51</v>
      </c>
      <c r="H1368" t="s">
        <v>430</v>
      </c>
      <c r="I1368" t="s">
        <v>334</v>
      </c>
      <c r="J1368">
        <v>17</v>
      </c>
      <c r="K1368">
        <v>12</v>
      </c>
      <c r="L1368">
        <v>53100000</v>
      </c>
      <c r="M1368">
        <v>10150000</v>
      </c>
      <c r="N1368" t="s">
        <v>100</v>
      </c>
      <c r="O1368" t="s">
        <v>239</v>
      </c>
      <c r="P1368">
        <v>1</v>
      </c>
      <c r="Q1368">
        <v>1</v>
      </c>
      <c r="R1368">
        <v>0</v>
      </c>
      <c r="S1368">
        <v>0</v>
      </c>
      <c r="T1368">
        <v>5</v>
      </c>
      <c r="U1368">
        <v>4</v>
      </c>
      <c r="V1368">
        <v>15</v>
      </c>
      <c r="W1368">
        <v>17</v>
      </c>
      <c r="X1368">
        <v>16</v>
      </c>
      <c r="Y1368">
        <v>14</v>
      </c>
      <c r="Z1368">
        <v>0</v>
      </c>
      <c r="AA1368">
        <v>4</v>
      </c>
      <c r="AB1368">
        <v>0</v>
      </c>
      <c r="AC1368">
        <v>2</v>
      </c>
      <c r="AD1368">
        <v>15</v>
      </c>
      <c r="AE1368">
        <v>7</v>
      </c>
      <c r="AF1368">
        <v>5</v>
      </c>
      <c r="AG1368">
        <v>4</v>
      </c>
      <c r="AH1368">
        <v>0</v>
      </c>
      <c r="AI1368">
        <v>0</v>
      </c>
    </row>
    <row r="1369" spans="1:35" hidden="1" x14ac:dyDescent="0.25">
      <c r="A1369">
        <v>2020</v>
      </c>
      <c r="B1369" s="1">
        <v>44108</v>
      </c>
      <c r="C1369">
        <v>13</v>
      </c>
      <c r="D1369">
        <v>0</v>
      </c>
      <c r="E1369">
        <v>78838</v>
      </c>
      <c r="F1369" t="s">
        <v>77</v>
      </c>
      <c r="G1369" t="s">
        <v>69</v>
      </c>
      <c r="H1369" t="s">
        <v>430</v>
      </c>
      <c r="I1369" t="s">
        <v>286</v>
      </c>
      <c r="J1369">
        <v>4</v>
      </c>
      <c r="K1369">
        <v>8</v>
      </c>
      <c r="L1369">
        <v>59150000</v>
      </c>
      <c r="M1369">
        <v>15450000</v>
      </c>
      <c r="N1369" t="s">
        <v>233</v>
      </c>
      <c r="O1369" t="s">
        <v>122</v>
      </c>
      <c r="P1369">
        <v>3</v>
      </c>
      <c r="Q1369">
        <v>1</v>
      </c>
      <c r="R1369">
        <v>0</v>
      </c>
      <c r="S1369">
        <v>0</v>
      </c>
      <c r="T1369">
        <v>4</v>
      </c>
      <c r="U1369">
        <v>5</v>
      </c>
      <c r="V1369">
        <v>18</v>
      </c>
      <c r="W1369">
        <v>22</v>
      </c>
      <c r="X1369">
        <v>21</v>
      </c>
      <c r="Y1369">
        <v>17</v>
      </c>
      <c r="Z1369">
        <v>2</v>
      </c>
      <c r="AA1369">
        <v>4</v>
      </c>
      <c r="AB1369">
        <v>2</v>
      </c>
      <c r="AC1369">
        <v>2</v>
      </c>
      <c r="AD1369">
        <v>13</v>
      </c>
      <c r="AE1369">
        <v>10</v>
      </c>
      <c r="AF1369">
        <v>4</v>
      </c>
      <c r="AG1369">
        <v>5</v>
      </c>
      <c r="AH1369">
        <v>2</v>
      </c>
      <c r="AI1369">
        <v>1</v>
      </c>
    </row>
    <row r="1370" spans="1:35" hidden="1" x14ac:dyDescent="0.25">
      <c r="A1370">
        <v>2020</v>
      </c>
      <c r="B1370" s="1">
        <v>44112</v>
      </c>
      <c r="C1370">
        <v>14</v>
      </c>
      <c r="D1370">
        <v>0</v>
      </c>
      <c r="E1370">
        <v>78838</v>
      </c>
      <c r="F1370" t="s">
        <v>77</v>
      </c>
      <c r="G1370" t="s">
        <v>391</v>
      </c>
      <c r="H1370" t="s">
        <v>430</v>
      </c>
      <c r="I1370" t="s">
        <v>78</v>
      </c>
      <c r="J1370">
        <v>2</v>
      </c>
      <c r="K1370">
        <v>6</v>
      </c>
      <c r="L1370">
        <v>47250000</v>
      </c>
      <c r="M1370">
        <v>8400000</v>
      </c>
      <c r="N1370" t="s">
        <v>209</v>
      </c>
      <c r="O1370" t="s">
        <v>105</v>
      </c>
      <c r="P1370">
        <v>3</v>
      </c>
      <c r="Q1370">
        <v>0</v>
      </c>
      <c r="R1370">
        <v>0</v>
      </c>
      <c r="S1370">
        <v>0</v>
      </c>
      <c r="T1370">
        <v>8</v>
      </c>
      <c r="U1370">
        <v>6</v>
      </c>
      <c r="V1370">
        <v>14</v>
      </c>
      <c r="W1370">
        <v>16</v>
      </c>
      <c r="X1370">
        <v>16</v>
      </c>
      <c r="Y1370">
        <v>12</v>
      </c>
      <c r="Z1370">
        <v>1</v>
      </c>
      <c r="AA1370">
        <v>3</v>
      </c>
      <c r="AB1370">
        <v>1</v>
      </c>
      <c r="AC1370">
        <v>1</v>
      </c>
      <c r="AD1370">
        <v>16</v>
      </c>
      <c r="AE1370">
        <v>14</v>
      </c>
      <c r="AF1370">
        <v>5</v>
      </c>
      <c r="AG1370">
        <v>7</v>
      </c>
      <c r="AH1370">
        <v>3</v>
      </c>
      <c r="AI1370">
        <v>1</v>
      </c>
    </row>
    <row r="1371" spans="1:35" hidden="1" x14ac:dyDescent="0.25">
      <c r="A1371">
        <v>2020</v>
      </c>
      <c r="B1371" s="1">
        <v>44120</v>
      </c>
      <c r="C1371">
        <v>16</v>
      </c>
      <c r="D1371">
        <v>0</v>
      </c>
      <c r="E1371">
        <v>78838</v>
      </c>
      <c r="F1371" t="s">
        <v>77</v>
      </c>
      <c r="G1371" t="s">
        <v>56</v>
      </c>
      <c r="H1371" t="s">
        <v>430</v>
      </c>
      <c r="I1371" t="s">
        <v>341</v>
      </c>
      <c r="J1371">
        <v>2</v>
      </c>
      <c r="K1371">
        <v>19</v>
      </c>
      <c r="L1371">
        <v>42600000</v>
      </c>
      <c r="M1371">
        <v>10750000</v>
      </c>
      <c r="N1371" t="s">
        <v>149</v>
      </c>
      <c r="O1371" t="s">
        <v>189</v>
      </c>
      <c r="P1371">
        <v>1</v>
      </c>
      <c r="Q1371">
        <v>1</v>
      </c>
      <c r="R1371">
        <v>0</v>
      </c>
      <c r="S1371">
        <v>0</v>
      </c>
      <c r="T1371">
        <v>5</v>
      </c>
      <c r="U1371">
        <v>1</v>
      </c>
      <c r="V1371">
        <v>16</v>
      </c>
      <c r="W1371">
        <v>14</v>
      </c>
      <c r="X1371">
        <v>12</v>
      </c>
      <c r="Y1371">
        <v>16</v>
      </c>
      <c r="Z1371">
        <v>2</v>
      </c>
      <c r="AA1371">
        <v>9</v>
      </c>
      <c r="AB1371">
        <v>1</v>
      </c>
      <c r="AC1371">
        <v>2</v>
      </c>
      <c r="AD1371">
        <v>19</v>
      </c>
      <c r="AE1371">
        <v>11</v>
      </c>
      <c r="AF1371">
        <v>5</v>
      </c>
      <c r="AG1371">
        <v>5</v>
      </c>
      <c r="AH1371">
        <v>0</v>
      </c>
      <c r="AI1371">
        <v>0</v>
      </c>
    </row>
    <row r="1372" spans="1:35" hidden="1" x14ac:dyDescent="0.25">
      <c r="A1372">
        <v>2020</v>
      </c>
      <c r="B1372" s="1">
        <v>44150</v>
      </c>
      <c r="C1372">
        <v>21</v>
      </c>
      <c r="D1372">
        <v>0</v>
      </c>
      <c r="E1372">
        <v>78838</v>
      </c>
      <c r="F1372" t="s">
        <v>77</v>
      </c>
      <c r="G1372" t="s">
        <v>76</v>
      </c>
      <c r="H1372" t="s">
        <v>40</v>
      </c>
      <c r="I1372" t="s">
        <v>408</v>
      </c>
      <c r="J1372">
        <v>4</v>
      </c>
      <c r="K1372">
        <v>14</v>
      </c>
      <c r="L1372">
        <v>62300000</v>
      </c>
      <c r="M1372">
        <v>8200000</v>
      </c>
      <c r="N1372" t="s">
        <v>332</v>
      </c>
      <c r="O1372" t="s">
        <v>332</v>
      </c>
      <c r="P1372">
        <v>1</v>
      </c>
      <c r="Q1372">
        <v>1</v>
      </c>
      <c r="R1372">
        <v>1</v>
      </c>
      <c r="S1372">
        <v>0</v>
      </c>
      <c r="T1372">
        <v>11</v>
      </c>
      <c r="U1372">
        <v>4</v>
      </c>
      <c r="V1372">
        <v>15</v>
      </c>
      <c r="W1372">
        <v>16</v>
      </c>
      <c r="X1372">
        <v>16</v>
      </c>
      <c r="Y1372">
        <v>14</v>
      </c>
      <c r="Z1372">
        <v>4</v>
      </c>
      <c r="AA1372">
        <v>5</v>
      </c>
      <c r="AB1372">
        <v>1</v>
      </c>
      <c r="AC1372">
        <v>2</v>
      </c>
      <c r="AD1372">
        <v>19</v>
      </c>
      <c r="AE1372">
        <v>10</v>
      </c>
      <c r="AF1372">
        <v>9</v>
      </c>
      <c r="AG1372">
        <v>4</v>
      </c>
      <c r="AH1372">
        <v>0</v>
      </c>
      <c r="AI1372">
        <v>0</v>
      </c>
    </row>
    <row r="1373" spans="1:35" hidden="1" x14ac:dyDescent="0.25">
      <c r="A1373">
        <v>2020</v>
      </c>
      <c r="B1373" s="1">
        <v>44156</v>
      </c>
      <c r="C1373">
        <v>22</v>
      </c>
      <c r="D1373">
        <v>0</v>
      </c>
      <c r="E1373">
        <v>78838</v>
      </c>
      <c r="F1373" t="s">
        <v>77</v>
      </c>
      <c r="G1373" t="s">
        <v>321</v>
      </c>
      <c r="H1373" t="s">
        <v>40</v>
      </c>
      <c r="I1373" t="s">
        <v>431</v>
      </c>
      <c r="J1373">
        <v>4</v>
      </c>
      <c r="K1373">
        <v>18</v>
      </c>
      <c r="L1373">
        <v>60200000</v>
      </c>
      <c r="M1373">
        <v>8050000</v>
      </c>
      <c r="N1373" t="s">
        <v>128</v>
      </c>
      <c r="O1373" t="s">
        <v>135</v>
      </c>
      <c r="P1373">
        <v>3</v>
      </c>
      <c r="Q1373">
        <v>1</v>
      </c>
      <c r="R1373">
        <v>2</v>
      </c>
      <c r="S1373">
        <v>0</v>
      </c>
      <c r="T1373">
        <v>4</v>
      </c>
      <c r="U1373">
        <v>4</v>
      </c>
      <c r="V1373">
        <v>16</v>
      </c>
      <c r="W1373">
        <v>18</v>
      </c>
      <c r="X1373">
        <v>18</v>
      </c>
      <c r="Y1373">
        <v>15</v>
      </c>
      <c r="Z1373">
        <v>0</v>
      </c>
      <c r="AA1373">
        <v>6</v>
      </c>
      <c r="AB1373">
        <v>0</v>
      </c>
      <c r="AC1373">
        <v>1</v>
      </c>
      <c r="AD1373">
        <v>23</v>
      </c>
      <c r="AE1373">
        <v>6</v>
      </c>
      <c r="AF1373">
        <v>10</v>
      </c>
      <c r="AG1373">
        <v>2</v>
      </c>
      <c r="AH1373">
        <v>2</v>
      </c>
      <c r="AI1373">
        <v>1</v>
      </c>
    </row>
    <row r="1374" spans="1:35" hidden="1" x14ac:dyDescent="0.25">
      <c r="A1374">
        <v>2020</v>
      </c>
      <c r="B1374" s="1">
        <v>44178</v>
      </c>
      <c r="C1374">
        <v>25</v>
      </c>
      <c r="D1374">
        <v>0</v>
      </c>
      <c r="E1374">
        <v>78838</v>
      </c>
      <c r="F1374" t="s">
        <v>77</v>
      </c>
      <c r="G1374" t="s">
        <v>419</v>
      </c>
      <c r="H1374" t="s">
        <v>40</v>
      </c>
      <c r="I1374" t="s">
        <v>71</v>
      </c>
      <c r="J1374">
        <v>2</v>
      </c>
      <c r="K1374">
        <v>8</v>
      </c>
      <c r="L1374">
        <v>71150000</v>
      </c>
      <c r="M1374">
        <v>9400000</v>
      </c>
      <c r="N1374" t="s">
        <v>135</v>
      </c>
      <c r="O1374" t="s">
        <v>318</v>
      </c>
      <c r="P1374">
        <v>4</v>
      </c>
      <c r="Q1374">
        <v>1</v>
      </c>
      <c r="R1374">
        <v>1</v>
      </c>
      <c r="S1374">
        <v>0</v>
      </c>
      <c r="T1374">
        <v>6</v>
      </c>
      <c r="U1374">
        <v>4</v>
      </c>
      <c r="V1374">
        <v>12</v>
      </c>
      <c r="W1374">
        <v>11</v>
      </c>
      <c r="X1374">
        <v>11</v>
      </c>
      <c r="Y1374">
        <v>11</v>
      </c>
      <c r="Z1374">
        <v>2</v>
      </c>
      <c r="AA1374">
        <v>0</v>
      </c>
      <c r="AB1374">
        <v>3</v>
      </c>
      <c r="AC1374">
        <v>2</v>
      </c>
      <c r="AD1374">
        <v>12</v>
      </c>
      <c r="AE1374">
        <v>6</v>
      </c>
      <c r="AF1374">
        <v>8</v>
      </c>
      <c r="AG1374">
        <v>3</v>
      </c>
      <c r="AH1374">
        <v>3</v>
      </c>
      <c r="AI1374">
        <v>1</v>
      </c>
    </row>
    <row r="1375" spans="1:35" hidden="1" x14ac:dyDescent="0.25">
      <c r="A1375">
        <v>2020</v>
      </c>
      <c r="B1375" s="1">
        <v>44185</v>
      </c>
      <c r="C1375">
        <v>26</v>
      </c>
      <c r="D1375">
        <v>0</v>
      </c>
      <c r="E1375">
        <v>78838</v>
      </c>
      <c r="F1375" t="s">
        <v>77</v>
      </c>
      <c r="G1375" t="s">
        <v>38</v>
      </c>
      <c r="H1375" t="s">
        <v>40</v>
      </c>
      <c r="I1375" t="s">
        <v>240</v>
      </c>
      <c r="J1375">
        <v>2</v>
      </c>
      <c r="K1375">
        <v>16</v>
      </c>
      <c r="L1375">
        <v>71150000</v>
      </c>
      <c r="M1375">
        <v>7600000</v>
      </c>
      <c r="N1375" t="s">
        <v>135</v>
      </c>
      <c r="O1375" t="s">
        <v>73</v>
      </c>
      <c r="P1375">
        <v>4</v>
      </c>
      <c r="Q1375">
        <v>3</v>
      </c>
      <c r="R1375">
        <v>2</v>
      </c>
      <c r="S1375">
        <v>0</v>
      </c>
      <c r="T1375">
        <v>7</v>
      </c>
      <c r="U1375">
        <v>8</v>
      </c>
      <c r="V1375">
        <v>17</v>
      </c>
      <c r="W1375">
        <v>22</v>
      </c>
      <c r="X1375">
        <v>21</v>
      </c>
      <c r="Y1375">
        <v>15</v>
      </c>
      <c r="Z1375">
        <v>3</v>
      </c>
      <c r="AA1375">
        <v>1</v>
      </c>
      <c r="AB1375">
        <v>2</v>
      </c>
      <c r="AC1375">
        <v>1</v>
      </c>
      <c r="AD1375">
        <v>16</v>
      </c>
      <c r="AE1375">
        <v>17</v>
      </c>
      <c r="AF1375">
        <v>5</v>
      </c>
      <c r="AG1375">
        <v>2</v>
      </c>
      <c r="AH1375">
        <v>1</v>
      </c>
      <c r="AI1375">
        <v>1</v>
      </c>
    </row>
    <row r="1376" spans="1:35" hidden="1" x14ac:dyDescent="0.25">
      <c r="A1376">
        <v>2020</v>
      </c>
      <c r="B1376" s="1">
        <v>44203</v>
      </c>
      <c r="C1376">
        <v>28</v>
      </c>
      <c r="D1376">
        <v>0</v>
      </c>
      <c r="E1376">
        <v>78838</v>
      </c>
      <c r="F1376" t="s">
        <v>77</v>
      </c>
      <c r="G1376" t="s">
        <v>55</v>
      </c>
      <c r="H1376" t="s">
        <v>40</v>
      </c>
      <c r="I1376" t="s">
        <v>223</v>
      </c>
      <c r="J1376">
        <v>2</v>
      </c>
      <c r="K1376">
        <v>7</v>
      </c>
      <c r="L1376">
        <v>74650000</v>
      </c>
      <c r="M1376">
        <v>10050000</v>
      </c>
      <c r="N1376" t="s">
        <v>114</v>
      </c>
      <c r="O1376" t="s">
        <v>129</v>
      </c>
      <c r="P1376">
        <v>1</v>
      </c>
      <c r="Q1376">
        <v>2</v>
      </c>
      <c r="R1376">
        <v>1</v>
      </c>
      <c r="S1376">
        <v>0</v>
      </c>
      <c r="T1376">
        <v>11</v>
      </c>
      <c r="U1376">
        <v>4</v>
      </c>
      <c r="V1376">
        <v>12</v>
      </c>
      <c r="W1376">
        <v>22</v>
      </c>
      <c r="X1376">
        <v>21</v>
      </c>
      <c r="Y1376">
        <v>12</v>
      </c>
      <c r="Z1376">
        <v>3</v>
      </c>
      <c r="AA1376">
        <v>7</v>
      </c>
      <c r="AB1376">
        <v>0</v>
      </c>
      <c r="AC1376">
        <v>2</v>
      </c>
      <c r="AD1376">
        <v>19</v>
      </c>
      <c r="AE1376">
        <v>11</v>
      </c>
      <c r="AF1376">
        <v>7</v>
      </c>
      <c r="AG1376">
        <v>4</v>
      </c>
      <c r="AH1376">
        <v>-1</v>
      </c>
      <c r="AI1376">
        <v>0</v>
      </c>
    </row>
    <row r="1377" spans="1:35" hidden="1" x14ac:dyDescent="0.25">
      <c r="A1377">
        <v>2020</v>
      </c>
      <c r="B1377" s="1">
        <v>44217</v>
      </c>
      <c r="C1377">
        <v>31</v>
      </c>
      <c r="D1377">
        <v>0</v>
      </c>
      <c r="E1377">
        <v>72000</v>
      </c>
      <c r="F1377" t="s">
        <v>77</v>
      </c>
      <c r="G1377" t="s">
        <v>95</v>
      </c>
      <c r="H1377" t="s">
        <v>40</v>
      </c>
      <c r="I1377" t="s">
        <v>97</v>
      </c>
      <c r="J1377">
        <v>4</v>
      </c>
      <c r="K1377">
        <v>5</v>
      </c>
      <c r="L1377">
        <v>76650000</v>
      </c>
      <c r="M1377">
        <v>34600000</v>
      </c>
      <c r="N1377" t="s">
        <v>86</v>
      </c>
      <c r="O1377" t="s">
        <v>120</v>
      </c>
      <c r="P1377">
        <v>2</v>
      </c>
      <c r="Q1377">
        <v>0</v>
      </c>
      <c r="R1377">
        <v>1</v>
      </c>
      <c r="S1377">
        <v>0</v>
      </c>
      <c r="T1377">
        <v>4</v>
      </c>
      <c r="U1377">
        <v>1</v>
      </c>
      <c r="V1377">
        <v>26</v>
      </c>
      <c r="W1377">
        <v>15</v>
      </c>
      <c r="X1377">
        <v>14</v>
      </c>
      <c r="Y1377">
        <v>25</v>
      </c>
      <c r="Z1377">
        <v>0</v>
      </c>
      <c r="AA1377">
        <v>5</v>
      </c>
      <c r="AB1377">
        <v>1</v>
      </c>
      <c r="AC1377">
        <v>2</v>
      </c>
      <c r="AD1377">
        <v>15</v>
      </c>
      <c r="AE1377">
        <v>6</v>
      </c>
      <c r="AF1377">
        <v>4</v>
      </c>
      <c r="AG1377">
        <v>4</v>
      </c>
      <c r="AH1377">
        <v>2</v>
      </c>
      <c r="AI1377">
        <v>1</v>
      </c>
    </row>
    <row r="1378" spans="1:35" hidden="1" x14ac:dyDescent="0.25">
      <c r="A1378">
        <v>2020</v>
      </c>
      <c r="B1378" s="1">
        <v>44232</v>
      </c>
      <c r="C1378">
        <v>34</v>
      </c>
      <c r="D1378">
        <v>0</v>
      </c>
      <c r="E1378">
        <v>78838</v>
      </c>
      <c r="F1378" t="s">
        <v>77</v>
      </c>
      <c r="G1378" t="s">
        <v>82</v>
      </c>
      <c r="H1378" t="s">
        <v>40</v>
      </c>
      <c r="I1378" t="s">
        <v>317</v>
      </c>
      <c r="J1378">
        <v>2</v>
      </c>
      <c r="K1378">
        <v>14</v>
      </c>
      <c r="L1378">
        <v>73550000</v>
      </c>
      <c r="M1378">
        <v>17850000</v>
      </c>
      <c r="N1378">
        <v>29</v>
      </c>
      <c r="O1378" t="s">
        <v>120</v>
      </c>
      <c r="P1378">
        <v>2</v>
      </c>
      <c r="Q1378">
        <v>0</v>
      </c>
      <c r="R1378">
        <v>1</v>
      </c>
      <c r="S1378">
        <v>0</v>
      </c>
      <c r="T1378">
        <v>7</v>
      </c>
      <c r="U1378">
        <v>5</v>
      </c>
      <c r="V1378">
        <v>19</v>
      </c>
      <c r="W1378">
        <v>15</v>
      </c>
      <c r="X1378">
        <v>14</v>
      </c>
      <c r="Y1378">
        <v>19</v>
      </c>
      <c r="Z1378">
        <v>3</v>
      </c>
      <c r="AA1378">
        <v>4</v>
      </c>
      <c r="AB1378">
        <v>0</v>
      </c>
      <c r="AC1378">
        <v>1</v>
      </c>
      <c r="AD1378">
        <v>17</v>
      </c>
      <c r="AE1378">
        <v>6</v>
      </c>
      <c r="AF1378">
        <v>4</v>
      </c>
      <c r="AG1378">
        <v>2</v>
      </c>
      <c r="AH1378">
        <v>2</v>
      </c>
      <c r="AI1378">
        <v>1</v>
      </c>
    </row>
    <row r="1379" spans="1:35" hidden="1" x14ac:dyDescent="0.25">
      <c r="A1379">
        <v>2020</v>
      </c>
      <c r="B1379" s="1">
        <v>44056</v>
      </c>
      <c r="C1379">
        <v>2</v>
      </c>
      <c r="D1379">
        <v>0</v>
      </c>
      <c r="E1379">
        <v>60326</v>
      </c>
      <c r="F1379" t="s">
        <v>361</v>
      </c>
      <c r="G1379" t="s">
        <v>83</v>
      </c>
      <c r="H1379" t="s">
        <v>340</v>
      </c>
      <c r="I1379" t="s">
        <v>85</v>
      </c>
      <c r="J1379">
        <v>14</v>
      </c>
      <c r="K1379">
        <v>5</v>
      </c>
      <c r="L1379">
        <v>4530000</v>
      </c>
      <c r="M1379">
        <v>18080000</v>
      </c>
      <c r="N1379" t="s">
        <v>120</v>
      </c>
      <c r="O1379">
        <v>27</v>
      </c>
      <c r="P1379">
        <v>1</v>
      </c>
      <c r="Q1379">
        <v>1</v>
      </c>
      <c r="R1379">
        <v>1</v>
      </c>
      <c r="S1379">
        <v>0</v>
      </c>
      <c r="T1379">
        <v>1</v>
      </c>
      <c r="U1379">
        <v>7</v>
      </c>
      <c r="V1379">
        <v>17</v>
      </c>
      <c r="W1379">
        <v>7</v>
      </c>
      <c r="X1379">
        <v>7</v>
      </c>
      <c r="Y1379">
        <v>15</v>
      </c>
      <c r="Z1379">
        <v>7</v>
      </c>
      <c r="AA1379">
        <v>4</v>
      </c>
      <c r="AB1379">
        <v>1</v>
      </c>
      <c r="AC1379">
        <v>0</v>
      </c>
      <c r="AD1379">
        <v>11</v>
      </c>
      <c r="AE1379">
        <v>14</v>
      </c>
      <c r="AF1379">
        <v>5</v>
      </c>
      <c r="AG1379">
        <v>4</v>
      </c>
      <c r="AH1379">
        <v>0</v>
      </c>
      <c r="AI1379">
        <v>0</v>
      </c>
    </row>
    <row r="1380" spans="1:35" hidden="1" x14ac:dyDescent="0.25">
      <c r="A1380">
        <v>2020</v>
      </c>
      <c r="B1380" s="1">
        <v>44064</v>
      </c>
      <c r="C1380">
        <v>4</v>
      </c>
      <c r="D1380">
        <v>0</v>
      </c>
      <c r="E1380">
        <v>60326</v>
      </c>
      <c r="F1380" t="s">
        <v>361</v>
      </c>
      <c r="G1380" t="s">
        <v>82</v>
      </c>
      <c r="H1380" t="s">
        <v>340</v>
      </c>
      <c r="I1380" t="s">
        <v>426</v>
      </c>
      <c r="J1380">
        <v>17</v>
      </c>
      <c r="K1380">
        <v>3</v>
      </c>
      <c r="L1380">
        <v>5930000</v>
      </c>
      <c r="M1380">
        <v>17530000</v>
      </c>
      <c r="N1380" t="s">
        <v>74</v>
      </c>
      <c r="O1380" t="s">
        <v>168</v>
      </c>
      <c r="P1380">
        <v>0</v>
      </c>
      <c r="Q1380">
        <v>3</v>
      </c>
      <c r="R1380">
        <v>0</v>
      </c>
      <c r="S1380">
        <v>0</v>
      </c>
      <c r="T1380">
        <v>13</v>
      </c>
      <c r="U1380">
        <v>2</v>
      </c>
      <c r="V1380">
        <v>18</v>
      </c>
      <c r="W1380">
        <v>14</v>
      </c>
      <c r="X1380">
        <v>13</v>
      </c>
      <c r="Y1380">
        <v>18</v>
      </c>
      <c r="Z1380">
        <v>1</v>
      </c>
      <c r="AA1380">
        <v>2</v>
      </c>
      <c r="AB1380">
        <v>1</v>
      </c>
      <c r="AC1380">
        <v>2</v>
      </c>
      <c r="AD1380">
        <v>22</v>
      </c>
      <c r="AE1380">
        <v>5</v>
      </c>
      <c r="AF1380">
        <v>9</v>
      </c>
      <c r="AG1380">
        <v>0</v>
      </c>
      <c r="AH1380">
        <v>-3</v>
      </c>
      <c r="AI1380">
        <v>0</v>
      </c>
    </row>
    <row r="1381" spans="1:35" hidden="1" x14ac:dyDescent="0.25">
      <c r="A1381">
        <v>2020</v>
      </c>
      <c r="B1381" s="1">
        <v>44067</v>
      </c>
      <c r="C1381">
        <v>5</v>
      </c>
      <c r="D1381">
        <v>0</v>
      </c>
      <c r="E1381">
        <v>60326</v>
      </c>
      <c r="F1381" t="s">
        <v>361</v>
      </c>
      <c r="G1381" t="s">
        <v>38</v>
      </c>
      <c r="H1381" t="s">
        <v>340</v>
      </c>
      <c r="I1381" t="s">
        <v>46</v>
      </c>
      <c r="J1381">
        <v>19</v>
      </c>
      <c r="K1381">
        <v>2</v>
      </c>
      <c r="L1381">
        <v>5650000</v>
      </c>
      <c r="M1381">
        <v>10900000</v>
      </c>
      <c r="N1381" t="s">
        <v>66</v>
      </c>
      <c r="O1381" t="s">
        <v>296</v>
      </c>
      <c r="P1381">
        <v>2</v>
      </c>
      <c r="Q1381">
        <v>0</v>
      </c>
      <c r="R1381">
        <v>1</v>
      </c>
      <c r="S1381">
        <v>0</v>
      </c>
      <c r="T1381">
        <v>6</v>
      </c>
      <c r="U1381">
        <v>11</v>
      </c>
      <c r="V1381">
        <v>21</v>
      </c>
      <c r="W1381">
        <v>7</v>
      </c>
      <c r="X1381">
        <v>7</v>
      </c>
      <c r="Y1381">
        <v>18</v>
      </c>
      <c r="Z1381">
        <v>7</v>
      </c>
      <c r="AA1381">
        <v>2</v>
      </c>
      <c r="AB1381">
        <v>1</v>
      </c>
      <c r="AC1381">
        <v>1</v>
      </c>
      <c r="AD1381">
        <v>11</v>
      </c>
      <c r="AE1381">
        <v>16</v>
      </c>
      <c r="AF1381">
        <v>5</v>
      </c>
      <c r="AG1381">
        <v>7</v>
      </c>
      <c r="AH1381">
        <v>2</v>
      </c>
      <c r="AI1381">
        <v>1</v>
      </c>
    </row>
    <row r="1382" spans="1:35" hidden="1" x14ac:dyDescent="0.25">
      <c r="A1382">
        <v>2020</v>
      </c>
      <c r="B1382" s="1">
        <v>44077</v>
      </c>
      <c r="C1382">
        <v>7</v>
      </c>
      <c r="D1382">
        <v>0</v>
      </c>
      <c r="E1382">
        <v>60326</v>
      </c>
      <c r="F1382" t="s">
        <v>361</v>
      </c>
      <c r="G1382" t="s">
        <v>63</v>
      </c>
      <c r="H1382" t="s">
        <v>340</v>
      </c>
      <c r="I1382" t="s">
        <v>40</v>
      </c>
      <c r="J1382">
        <v>13</v>
      </c>
      <c r="K1382">
        <v>10</v>
      </c>
      <c r="L1382">
        <v>6000000</v>
      </c>
      <c r="M1382">
        <v>6850000</v>
      </c>
      <c r="N1382" t="s">
        <v>105</v>
      </c>
      <c r="O1382" t="s">
        <v>100</v>
      </c>
      <c r="P1382">
        <v>1</v>
      </c>
      <c r="Q1382">
        <v>0</v>
      </c>
      <c r="R1382">
        <v>1</v>
      </c>
      <c r="S1382">
        <v>0</v>
      </c>
      <c r="T1382">
        <v>2</v>
      </c>
      <c r="U1382">
        <v>6</v>
      </c>
      <c r="V1382">
        <v>22</v>
      </c>
      <c r="W1382">
        <v>18</v>
      </c>
      <c r="X1382">
        <v>18</v>
      </c>
      <c r="Y1382">
        <v>20</v>
      </c>
      <c r="Z1382">
        <v>0</v>
      </c>
      <c r="AA1382">
        <v>3</v>
      </c>
      <c r="AB1382">
        <v>4</v>
      </c>
      <c r="AC1382">
        <v>2</v>
      </c>
      <c r="AD1382">
        <v>9</v>
      </c>
      <c r="AE1382">
        <v>5</v>
      </c>
      <c r="AF1382">
        <v>5</v>
      </c>
      <c r="AG1382">
        <v>3</v>
      </c>
      <c r="AH1382">
        <v>1</v>
      </c>
      <c r="AI1382">
        <v>1</v>
      </c>
    </row>
    <row r="1383" spans="1:35" hidden="1" x14ac:dyDescent="0.25">
      <c r="A1383">
        <v>2020</v>
      </c>
      <c r="B1383" s="1">
        <v>44087</v>
      </c>
      <c r="C1383">
        <v>10</v>
      </c>
      <c r="D1383">
        <v>0</v>
      </c>
      <c r="E1383">
        <v>60326</v>
      </c>
      <c r="F1383" t="s">
        <v>361</v>
      </c>
      <c r="G1383" t="s">
        <v>77</v>
      </c>
      <c r="H1383" t="s">
        <v>340</v>
      </c>
      <c r="I1383" t="s">
        <v>430</v>
      </c>
      <c r="J1383">
        <v>14</v>
      </c>
      <c r="K1383">
        <v>3</v>
      </c>
      <c r="L1383">
        <v>8400000</v>
      </c>
      <c r="M1383">
        <v>53650000</v>
      </c>
      <c r="N1383" t="s">
        <v>296</v>
      </c>
      <c r="O1383" t="s">
        <v>168</v>
      </c>
      <c r="P1383">
        <v>2</v>
      </c>
      <c r="Q1383">
        <v>0</v>
      </c>
      <c r="R1383">
        <v>0</v>
      </c>
      <c r="S1383">
        <v>0</v>
      </c>
      <c r="T1383">
        <v>5</v>
      </c>
      <c r="U1383">
        <v>8</v>
      </c>
      <c r="V1383">
        <v>8</v>
      </c>
      <c r="W1383">
        <v>6</v>
      </c>
      <c r="X1383">
        <v>5</v>
      </c>
      <c r="Y1383">
        <v>8</v>
      </c>
      <c r="Z1383">
        <v>2</v>
      </c>
      <c r="AA1383">
        <v>1</v>
      </c>
      <c r="AB1383">
        <v>2</v>
      </c>
      <c r="AC1383">
        <v>2</v>
      </c>
      <c r="AD1383">
        <v>8</v>
      </c>
      <c r="AE1383">
        <v>11</v>
      </c>
      <c r="AF1383">
        <v>3</v>
      </c>
      <c r="AG1383">
        <v>7</v>
      </c>
      <c r="AH1383">
        <v>2</v>
      </c>
      <c r="AI1383">
        <v>1</v>
      </c>
    </row>
    <row r="1384" spans="1:35" hidden="1" x14ac:dyDescent="0.25">
      <c r="A1384">
        <v>2020</v>
      </c>
      <c r="B1384" s="1">
        <v>44142</v>
      </c>
      <c r="C1384">
        <v>20</v>
      </c>
      <c r="D1384">
        <v>0</v>
      </c>
      <c r="E1384">
        <v>60326</v>
      </c>
      <c r="F1384" t="s">
        <v>361</v>
      </c>
      <c r="G1384" t="s">
        <v>391</v>
      </c>
      <c r="H1384" t="s">
        <v>340</v>
      </c>
      <c r="I1384" t="s">
        <v>78</v>
      </c>
      <c r="J1384">
        <v>11</v>
      </c>
      <c r="K1384">
        <v>10</v>
      </c>
      <c r="L1384">
        <v>5950000</v>
      </c>
      <c r="M1384">
        <v>7800000</v>
      </c>
      <c r="N1384" t="s">
        <v>120</v>
      </c>
      <c r="O1384" t="s">
        <v>168</v>
      </c>
      <c r="P1384">
        <v>0</v>
      </c>
      <c r="Q1384">
        <v>0</v>
      </c>
      <c r="R1384">
        <v>0</v>
      </c>
      <c r="S1384">
        <v>0</v>
      </c>
      <c r="T1384">
        <v>9</v>
      </c>
      <c r="U1384">
        <v>1</v>
      </c>
      <c r="V1384">
        <v>17</v>
      </c>
      <c r="W1384">
        <v>13</v>
      </c>
      <c r="X1384">
        <v>12</v>
      </c>
      <c r="Y1384">
        <v>17</v>
      </c>
      <c r="Z1384">
        <v>1</v>
      </c>
      <c r="AA1384">
        <v>6</v>
      </c>
      <c r="AB1384">
        <v>4</v>
      </c>
      <c r="AC1384">
        <v>0</v>
      </c>
      <c r="AD1384">
        <v>26</v>
      </c>
      <c r="AE1384">
        <v>4</v>
      </c>
      <c r="AF1384">
        <v>13</v>
      </c>
      <c r="AG1384">
        <v>2</v>
      </c>
      <c r="AH1384">
        <v>0</v>
      </c>
      <c r="AI1384">
        <v>0</v>
      </c>
    </row>
    <row r="1385" spans="1:35" hidden="1" x14ac:dyDescent="0.25">
      <c r="A1385">
        <v>2020</v>
      </c>
      <c r="B1385" s="1">
        <v>44178</v>
      </c>
      <c r="C1385">
        <v>25</v>
      </c>
      <c r="D1385">
        <v>0</v>
      </c>
      <c r="E1385">
        <v>60326</v>
      </c>
      <c r="F1385" t="s">
        <v>361</v>
      </c>
      <c r="G1385" t="s">
        <v>76</v>
      </c>
      <c r="H1385" t="s">
        <v>340</v>
      </c>
      <c r="I1385" t="s">
        <v>408</v>
      </c>
      <c r="J1385">
        <v>9</v>
      </c>
      <c r="K1385">
        <v>15</v>
      </c>
      <c r="L1385">
        <v>6850000</v>
      </c>
      <c r="M1385">
        <v>7750000</v>
      </c>
      <c r="N1385" t="s">
        <v>107</v>
      </c>
      <c r="O1385" t="s">
        <v>339</v>
      </c>
      <c r="P1385">
        <v>1</v>
      </c>
      <c r="Q1385">
        <v>2</v>
      </c>
      <c r="R1385">
        <v>0</v>
      </c>
      <c r="S1385">
        <v>0</v>
      </c>
      <c r="T1385">
        <v>2</v>
      </c>
      <c r="U1385">
        <v>8</v>
      </c>
      <c r="V1385">
        <v>13</v>
      </c>
      <c r="W1385">
        <v>15</v>
      </c>
      <c r="X1385">
        <v>14</v>
      </c>
      <c r="Y1385">
        <v>11</v>
      </c>
      <c r="Z1385">
        <v>4</v>
      </c>
      <c r="AA1385">
        <v>2</v>
      </c>
      <c r="AB1385">
        <v>3</v>
      </c>
      <c r="AC1385">
        <v>2</v>
      </c>
      <c r="AD1385">
        <v>8</v>
      </c>
      <c r="AE1385">
        <v>12</v>
      </c>
      <c r="AF1385">
        <v>4</v>
      </c>
      <c r="AG1385">
        <v>1</v>
      </c>
      <c r="AH1385">
        <v>-1</v>
      </c>
      <c r="AI1385">
        <v>0</v>
      </c>
    </row>
    <row r="1386" spans="1:35" hidden="1" x14ac:dyDescent="0.25">
      <c r="A1386">
        <v>2020</v>
      </c>
      <c r="B1386" s="1">
        <v>44203</v>
      </c>
      <c r="C1386">
        <v>28</v>
      </c>
      <c r="D1386">
        <v>0</v>
      </c>
      <c r="E1386">
        <v>60326</v>
      </c>
      <c r="F1386" t="s">
        <v>361</v>
      </c>
      <c r="G1386" t="s">
        <v>37</v>
      </c>
      <c r="H1386" t="s">
        <v>340</v>
      </c>
      <c r="I1386" t="s">
        <v>376</v>
      </c>
      <c r="J1386">
        <v>10</v>
      </c>
      <c r="K1386">
        <v>4</v>
      </c>
      <c r="L1386">
        <v>7700000</v>
      </c>
      <c r="M1386">
        <v>22900000</v>
      </c>
      <c r="N1386" t="s">
        <v>137</v>
      </c>
      <c r="O1386" t="s">
        <v>168</v>
      </c>
      <c r="P1386">
        <v>0</v>
      </c>
      <c r="Q1386">
        <v>2</v>
      </c>
      <c r="R1386">
        <v>0</v>
      </c>
      <c r="S1386">
        <v>0</v>
      </c>
      <c r="T1386">
        <v>7</v>
      </c>
      <c r="U1386">
        <v>4</v>
      </c>
      <c r="V1386">
        <v>18</v>
      </c>
      <c r="W1386">
        <v>16</v>
      </c>
      <c r="X1386">
        <v>14</v>
      </c>
      <c r="Y1386">
        <v>18</v>
      </c>
      <c r="Z1386">
        <v>1</v>
      </c>
      <c r="AA1386">
        <v>5</v>
      </c>
      <c r="AB1386">
        <v>0</v>
      </c>
      <c r="AC1386">
        <v>0</v>
      </c>
      <c r="AD1386">
        <v>19</v>
      </c>
      <c r="AE1386">
        <v>8</v>
      </c>
      <c r="AF1386">
        <v>6</v>
      </c>
      <c r="AG1386">
        <v>3</v>
      </c>
      <c r="AH1386">
        <v>-2</v>
      </c>
      <c r="AI1386">
        <v>0</v>
      </c>
    </row>
    <row r="1387" spans="1:35" hidden="1" x14ac:dyDescent="0.25">
      <c r="A1387">
        <v>2020</v>
      </c>
      <c r="B1387" s="1">
        <v>44214</v>
      </c>
      <c r="C1387">
        <v>30</v>
      </c>
      <c r="D1387">
        <v>0</v>
      </c>
      <c r="E1387">
        <v>60326</v>
      </c>
      <c r="F1387" t="s">
        <v>361</v>
      </c>
      <c r="G1387" t="s">
        <v>56</v>
      </c>
      <c r="H1387" t="s">
        <v>340</v>
      </c>
      <c r="I1387" t="s">
        <v>341</v>
      </c>
      <c r="J1387">
        <v>10</v>
      </c>
      <c r="K1387">
        <v>13</v>
      </c>
      <c r="L1387">
        <v>7350000</v>
      </c>
      <c r="M1387">
        <v>19850000</v>
      </c>
      <c r="N1387" t="s">
        <v>137</v>
      </c>
      <c r="O1387" t="s">
        <v>149</v>
      </c>
      <c r="P1387">
        <v>1</v>
      </c>
      <c r="Q1387">
        <v>2</v>
      </c>
      <c r="R1387">
        <v>0</v>
      </c>
      <c r="S1387">
        <v>0</v>
      </c>
      <c r="T1387">
        <v>6</v>
      </c>
      <c r="U1387">
        <v>9</v>
      </c>
      <c r="V1387">
        <v>13</v>
      </c>
      <c r="W1387">
        <v>16</v>
      </c>
      <c r="X1387">
        <v>15</v>
      </c>
      <c r="Y1387">
        <v>12</v>
      </c>
      <c r="Z1387">
        <v>5</v>
      </c>
      <c r="AA1387">
        <v>2</v>
      </c>
      <c r="AB1387">
        <v>1</v>
      </c>
      <c r="AC1387">
        <v>0</v>
      </c>
      <c r="AD1387">
        <v>12</v>
      </c>
      <c r="AE1387">
        <v>15</v>
      </c>
      <c r="AF1387">
        <v>7</v>
      </c>
      <c r="AG1387">
        <v>4</v>
      </c>
      <c r="AH1387">
        <v>-1</v>
      </c>
      <c r="AI1387">
        <v>0</v>
      </c>
    </row>
    <row r="1388" spans="1:35" hidden="1" x14ac:dyDescent="0.25">
      <c r="A1388">
        <v>2020</v>
      </c>
      <c r="B1388" s="1">
        <v>44227</v>
      </c>
      <c r="C1388">
        <v>33</v>
      </c>
      <c r="D1388">
        <v>0</v>
      </c>
      <c r="E1388">
        <v>60326</v>
      </c>
      <c r="F1388" t="s">
        <v>361</v>
      </c>
      <c r="G1388" t="s">
        <v>69</v>
      </c>
      <c r="H1388" t="s">
        <v>340</v>
      </c>
      <c r="I1388" t="s">
        <v>334</v>
      </c>
      <c r="J1388">
        <v>8</v>
      </c>
      <c r="K1388">
        <v>12</v>
      </c>
      <c r="L1388">
        <v>6700000</v>
      </c>
      <c r="M1388">
        <v>23400000</v>
      </c>
      <c r="N1388">
        <v>28</v>
      </c>
      <c r="O1388" t="s">
        <v>99</v>
      </c>
      <c r="P1388">
        <v>0</v>
      </c>
      <c r="Q1388">
        <v>2</v>
      </c>
      <c r="R1388">
        <v>0</v>
      </c>
      <c r="S1388">
        <v>0</v>
      </c>
      <c r="T1388">
        <v>4</v>
      </c>
      <c r="U1388">
        <v>4</v>
      </c>
      <c r="V1388">
        <v>15</v>
      </c>
      <c r="W1388">
        <v>18</v>
      </c>
      <c r="X1388">
        <v>18</v>
      </c>
      <c r="Y1388">
        <v>15</v>
      </c>
      <c r="Z1388">
        <v>0</v>
      </c>
      <c r="AA1388">
        <v>2</v>
      </c>
      <c r="AB1388">
        <v>1</v>
      </c>
      <c r="AC1388">
        <v>2</v>
      </c>
      <c r="AD1388">
        <v>9</v>
      </c>
      <c r="AE1388">
        <v>11</v>
      </c>
      <c r="AF1388">
        <v>5</v>
      </c>
      <c r="AG1388">
        <v>5</v>
      </c>
      <c r="AH1388">
        <v>-2</v>
      </c>
      <c r="AI1388">
        <v>0</v>
      </c>
    </row>
    <row r="1389" spans="1:35" hidden="1" x14ac:dyDescent="0.25">
      <c r="A1389">
        <v>2020</v>
      </c>
      <c r="B1389" s="1">
        <v>44253</v>
      </c>
      <c r="C1389">
        <v>38</v>
      </c>
      <c r="D1389">
        <v>0</v>
      </c>
      <c r="E1389">
        <v>60326</v>
      </c>
      <c r="F1389" t="s">
        <v>361</v>
      </c>
      <c r="G1389" t="s">
        <v>51</v>
      </c>
      <c r="H1389" t="s">
        <v>340</v>
      </c>
      <c r="I1389" t="s">
        <v>320</v>
      </c>
      <c r="J1389">
        <v>12</v>
      </c>
      <c r="K1389">
        <v>20</v>
      </c>
      <c r="L1389">
        <v>6450000</v>
      </c>
      <c r="M1389">
        <v>3430000</v>
      </c>
      <c r="N1389" t="s">
        <v>217</v>
      </c>
      <c r="O1389">
        <v>22</v>
      </c>
      <c r="P1389">
        <v>2</v>
      </c>
      <c r="Q1389">
        <v>1</v>
      </c>
      <c r="R1389">
        <v>1</v>
      </c>
      <c r="S1389">
        <v>0</v>
      </c>
      <c r="T1389">
        <v>5</v>
      </c>
      <c r="U1389">
        <v>7</v>
      </c>
      <c r="V1389">
        <v>7</v>
      </c>
      <c r="W1389">
        <v>4</v>
      </c>
      <c r="X1389">
        <v>4</v>
      </c>
      <c r="Y1389">
        <v>5</v>
      </c>
      <c r="Z1389">
        <v>2</v>
      </c>
      <c r="AA1389">
        <v>4</v>
      </c>
      <c r="AB1389">
        <v>0</v>
      </c>
      <c r="AC1389">
        <v>2</v>
      </c>
      <c r="AD1389">
        <v>12</v>
      </c>
      <c r="AE1389">
        <v>17</v>
      </c>
      <c r="AF1389">
        <v>5</v>
      </c>
      <c r="AG1389">
        <v>8</v>
      </c>
      <c r="AH1389">
        <v>1</v>
      </c>
      <c r="AI1389">
        <v>1</v>
      </c>
    </row>
    <row r="1390" spans="1:35" hidden="1" x14ac:dyDescent="0.25">
      <c r="A1390">
        <v>2020</v>
      </c>
      <c r="B1390" s="1">
        <v>44060</v>
      </c>
      <c r="C1390">
        <v>3</v>
      </c>
      <c r="D1390">
        <v>0</v>
      </c>
      <c r="E1390">
        <v>60326</v>
      </c>
      <c r="F1390" t="s">
        <v>63</v>
      </c>
      <c r="G1390" t="s">
        <v>51</v>
      </c>
      <c r="H1390" t="s">
        <v>40</v>
      </c>
      <c r="I1390" t="s">
        <v>334</v>
      </c>
      <c r="J1390">
        <v>18</v>
      </c>
      <c r="K1390">
        <v>14</v>
      </c>
      <c r="L1390">
        <v>7230000</v>
      </c>
      <c r="M1390">
        <v>10230000</v>
      </c>
      <c r="N1390">
        <v>30</v>
      </c>
      <c r="O1390" t="s">
        <v>99</v>
      </c>
      <c r="P1390">
        <v>0</v>
      </c>
      <c r="Q1390">
        <v>0</v>
      </c>
      <c r="R1390">
        <v>0</v>
      </c>
      <c r="S1390">
        <v>0</v>
      </c>
      <c r="T1390">
        <v>4</v>
      </c>
      <c r="U1390">
        <v>7</v>
      </c>
      <c r="V1390">
        <v>9</v>
      </c>
      <c r="W1390">
        <v>8</v>
      </c>
      <c r="X1390">
        <v>8</v>
      </c>
      <c r="Y1390">
        <v>9</v>
      </c>
      <c r="Z1390">
        <v>6</v>
      </c>
      <c r="AA1390">
        <v>1</v>
      </c>
      <c r="AB1390">
        <v>2</v>
      </c>
      <c r="AC1390">
        <v>1</v>
      </c>
      <c r="AD1390">
        <v>12</v>
      </c>
      <c r="AE1390">
        <v>15</v>
      </c>
      <c r="AF1390">
        <v>8</v>
      </c>
      <c r="AG1390">
        <v>6</v>
      </c>
      <c r="AH1390">
        <v>0</v>
      </c>
      <c r="AI1390">
        <v>0</v>
      </c>
    </row>
    <row r="1391" spans="1:35" hidden="1" x14ac:dyDescent="0.25">
      <c r="A1391">
        <v>2020</v>
      </c>
      <c r="B1391" s="1">
        <v>44073</v>
      </c>
      <c r="C1391">
        <v>6</v>
      </c>
      <c r="D1391">
        <v>0</v>
      </c>
      <c r="E1391">
        <v>60326</v>
      </c>
      <c r="F1391" t="s">
        <v>63</v>
      </c>
      <c r="G1391" t="s">
        <v>56</v>
      </c>
      <c r="H1391" t="s">
        <v>40</v>
      </c>
      <c r="I1391" t="s">
        <v>425</v>
      </c>
      <c r="J1391">
        <v>14</v>
      </c>
      <c r="K1391">
        <v>13</v>
      </c>
      <c r="L1391">
        <v>7350000</v>
      </c>
      <c r="M1391">
        <v>10480000</v>
      </c>
      <c r="N1391" t="s">
        <v>74</v>
      </c>
      <c r="O1391" t="s">
        <v>253</v>
      </c>
      <c r="P1391">
        <v>3</v>
      </c>
      <c r="Q1391">
        <v>0</v>
      </c>
      <c r="R1391">
        <v>1</v>
      </c>
      <c r="S1391">
        <v>0</v>
      </c>
      <c r="T1391">
        <v>3</v>
      </c>
      <c r="U1391">
        <v>4</v>
      </c>
      <c r="V1391">
        <v>22</v>
      </c>
      <c r="W1391">
        <v>10</v>
      </c>
      <c r="X1391">
        <v>9</v>
      </c>
      <c r="Y1391">
        <v>19</v>
      </c>
      <c r="Z1391">
        <v>2</v>
      </c>
      <c r="AA1391">
        <v>3</v>
      </c>
      <c r="AB1391">
        <v>0</v>
      </c>
      <c r="AC1391">
        <v>1</v>
      </c>
      <c r="AD1391">
        <v>13</v>
      </c>
      <c r="AE1391">
        <v>6</v>
      </c>
      <c r="AF1391">
        <v>6</v>
      </c>
      <c r="AG1391">
        <v>3</v>
      </c>
      <c r="AH1391">
        <v>3</v>
      </c>
      <c r="AI1391">
        <v>1</v>
      </c>
    </row>
    <row r="1392" spans="1:35" hidden="1" x14ac:dyDescent="0.25">
      <c r="A1392">
        <v>2020</v>
      </c>
      <c r="B1392" s="1">
        <v>44083</v>
      </c>
      <c r="C1392">
        <v>9</v>
      </c>
      <c r="D1392">
        <v>0</v>
      </c>
      <c r="E1392">
        <v>60326</v>
      </c>
      <c r="F1392" t="s">
        <v>63</v>
      </c>
      <c r="G1392" t="s">
        <v>391</v>
      </c>
      <c r="H1392" t="s">
        <v>40</v>
      </c>
      <c r="I1392" t="s">
        <v>78</v>
      </c>
      <c r="J1392">
        <v>15</v>
      </c>
      <c r="K1392">
        <v>13</v>
      </c>
      <c r="L1392">
        <v>8050000</v>
      </c>
      <c r="M1392">
        <v>7400000</v>
      </c>
      <c r="N1392" t="s">
        <v>142</v>
      </c>
      <c r="O1392" t="s">
        <v>209</v>
      </c>
      <c r="P1392">
        <v>1</v>
      </c>
      <c r="Q1392">
        <v>0</v>
      </c>
      <c r="R1392">
        <v>0</v>
      </c>
      <c r="S1392">
        <v>0</v>
      </c>
      <c r="T1392">
        <v>6</v>
      </c>
      <c r="U1392">
        <v>1</v>
      </c>
      <c r="V1392">
        <v>27</v>
      </c>
      <c r="W1392">
        <v>14</v>
      </c>
      <c r="X1392">
        <v>14</v>
      </c>
      <c r="Y1392">
        <v>26</v>
      </c>
      <c r="Z1392">
        <v>1</v>
      </c>
      <c r="AA1392">
        <v>3</v>
      </c>
      <c r="AB1392">
        <v>0</v>
      </c>
      <c r="AC1392">
        <v>2</v>
      </c>
      <c r="AD1392">
        <v>12</v>
      </c>
      <c r="AE1392">
        <v>4</v>
      </c>
      <c r="AF1392">
        <v>7</v>
      </c>
      <c r="AG1392">
        <v>2</v>
      </c>
      <c r="AH1392">
        <v>1</v>
      </c>
      <c r="AI1392">
        <v>1</v>
      </c>
    </row>
    <row r="1393" spans="1:35" hidden="1" x14ac:dyDescent="0.25">
      <c r="A1393">
        <v>2020</v>
      </c>
      <c r="B1393" s="1">
        <v>44094</v>
      </c>
      <c r="C1393">
        <v>11</v>
      </c>
      <c r="D1393">
        <v>0</v>
      </c>
      <c r="E1393">
        <v>60326</v>
      </c>
      <c r="F1393" t="s">
        <v>63</v>
      </c>
      <c r="G1393" t="s">
        <v>37</v>
      </c>
      <c r="H1393" t="s">
        <v>40</v>
      </c>
      <c r="I1393" t="s">
        <v>39</v>
      </c>
      <c r="J1393">
        <v>13</v>
      </c>
      <c r="K1393">
        <v>1</v>
      </c>
      <c r="L1393">
        <v>7750000</v>
      </c>
      <c r="M1393">
        <v>17850000</v>
      </c>
      <c r="N1393" t="s">
        <v>205</v>
      </c>
      <c r="O1393" t="s">
        <v>120</v>
      </c>
      <c r="P1393">
        <v>1</v>
      </c>
      <c r="Q1393">
        <v>0</v>
      </c>
      <c r="R1393">
        <v>0</v>
      </c>
      <c r="S1393">
        <v>0</v>
      </c>
      <c r="T1393">
        <v>3</v>
      </c>
      <c r="U1393">
        <v>7</v>
      </c>
      <c r="V1393">
        <v>9</v>
      </c>
      <c r="W1393">
        <v>20</v>
      </c>
      <c r="X1393">
        <v>19</v>
      </c>
      <c r="Y1393">
        <v>9</v>
      </c>
      <c r="Z1393">
        <v>1</v>
      </c>
      <c r="AA1393">
        <v>2</v>
      </c>
      <c r="AB1393">
        <v>2</v>
      </c>
      <c r="AC1393">
        <v>2</v>
      </c>
      <c r="AD1393">
        <v>12</v>
      </c>
      <c r="AE1393">
        <v>11</v>
      </c>
      <c r="AF1393">
        <v>7</v>
      </c>
      <c r="AG1393">
        <v>7</v>
      </c>
      <c r="AH1393">
        <v>1</v>
      </c>
      <c r="AI1393">
        <v>1</v>
      </c>
    </row>
    <row r="1394" spans="1:35" hidden="1" x14ac:dyDescent="0.25">
      <c r="A1394">
        <v>2020</v>
      </c>
      <c r="B1394" s="1">
        <v>44108</v>
      </c>
      <c r="C1394">
        <v>13</v>
      </c>
      <c r="D1394">
        <v>0</v>
      </c>
      <c r="E1394">
        <v>60326</v>
      </c>
      <c r="F1394" t="s">
        <v>63</v>
      </c>
      <c r="G1394" t="s">
        <v>76</v>
      </c>
      <c r="H1394" t="s">
        <v>40</v>
      </c>
      <c r="I1394" t="s">
        <v>429</v>
      </c>
      <c r="J1394">
        <v>11</v>
      </c>
      <c r="K1394">
        <v>14</v>
      </c>
      <c r="L1394">
        <v>7250000</v>
      </c>
      <c r="M1394">
        <v>8400000</v>
      </c>
      <c r="N1394" t="s">
        <v>296</v>
      </c>
      <c r="O1394" t="s">
        <v>189</v>
      </c>
      <c r="P1394">
        <v>0</v>
      </c>
      <c r="Q1394">
        <v>0</v>
      </c>
      <c r="R1394">
        <v>0</v>
      </c>
      <c r="S1394">
        <v>0</v>
      </c>
      <c r="T1394">
        <v>8</v>
      </c>
      <c r="U1394">
        <v>1</v>
      </c>
      <c r="V1394">
        <v>8</v>
      </c>
      <c r="W1394">
        <v>14</v>
      </c>
      <c r="X1394">
        <v>14</v>
      </c>
      <c r="Y1394">
        <v>7</v>
      </c>
      <c r="Z1394">
        <v>2</v>
      </c>
      <c r="AA1394">
        <v>4</v>
      </c>
      <c r="AB1394">
        <v>1</v>
      </c>
      <c r="AC1394">
        <v>0</v>
      </c>
      <c r="AD1394">
        <v>15</v>
      </c>
      <c r="AE1394">
        <v>7</v>
      </c>
      <c r="AF1394">
        <v>8</v>
      </c>
      <c r="AG1394">
        <v>4</v>
      </c>
      <c r="AH1394">
        <v>0</v>
      </c>
      <c r="AI1394">
        <v>0</v>
      </c>
    </row>
    <row r="1395" spans="1:35" hidden="1" x14ac:dyDescent="0.25">
      <c r="A1395">
        <v>2020</v>
      </c>
      <c r="B1395" s="1">
        <v>44123</v>
      </c>
      <c r="C1395">
        <v>17</v>
      </c>
      <c r="D1395">
        <v>0</v>
      </c>
      <c r="E1395">
        <v>60326</v>
      </c>
      <c r="F1395" t="s">
        <v>63</v>
      </c>
      <c r="G1395" t="s">
        <v>95</v>
      </c>
      <c r="H1395" t="s">
        <v>40</v>
      </c>
      <c r="I1395" t="s">
        <v>432</v>
      </c>
      <c r="J1395">
        <v>9</v>
      </c>
      <c r="K1395">
        <v>8</v>
      </c>
      <c r="L1395">
        <v>6250000</v>
      </c>
      <c r="M1395">
        <v>46400000</v>
      </c>
      <c r="N1395" t="s">
        <v>107</v>
      </c>
      <c r="O1395" t="s">
        <v>117</v>
      </c>
      <c r="P1395">
        <v>2</v>
      </c>
      <c r="Q1395">
        <v>0</v>
      </c>
      <c r="R1395">
        <v>2</v>
      </c>
      <c r="S1395">
        <v>0</v>
      </c>
      <c r="T1395">
        <v>1</v>
      </c>
      <c r="U1395">
        <v>7</v>
      </c>
      <c r="V1395">
        <v>14</v>
      </c>
      <c r="W1395">
        <v>19</v>
      </c>
      <c r="X1395">
        <v>19</v>
      </c>
      <c r="Y1395">
        <v>14</v>
      </c>
      <c r="Z1395">
        <v>3</v>
      </c>
      <c r="AA1395">
        <v>2</v>
      </c>
      <c r="AB1395">
        <v>0</v>
      </c>
      <c r="AC1395">
        <v>2</v>
      </c>
      <c r="AD1395">
        <v>10</v>
      </c>
      <c r="AE1395">
        <v>15</v>
      </c>
      <c r="AF1395">
        <v>5</v>
      </c>
      <c r="AG1395">
        <v>6</v>
      </c>
      <c r="AH1395">
        <v>2</v>
      </c>
      <c r="AI1395">
        <v>1</v>
      </c>
    </row>
    <row r="1396" spans="1:35" hidden="1" x14ac:dyDescent="0.25">
      <c r="A1396">
        <v>2020</v>
      </c>
      <c r="B1396" s="1">
        <v>44136</v>
      </c>
      <c r="C1396">
        <v>19</v>
      </c>
      <c r="D1396">
        <v>0</v>
      </c>
      <c r="E1396">
        <v>60326</v>
      </c>
      <c r="F1396" t="s">
        <v>63</v>
      </c>
      <c r="G1396" t="s">
        <v>55</v>
      </c>
      <c r="H1396" t="s">
        <v>40</v>
      </c>
      <c r="I1396" t="s">
        <v>328</v>
      </c>
      <c r="J1396">
        <v>9</v>
      </c>
      <c r="K1396">
        <v>5</v>
      </c>
      <c r="L1396">
        <v>7400000</v>
      </c>
      <c r="M1396">
        <v>12800000</v>
      </c>
      <c r="N1396" t="s">
        <v>134</v>
      </c>
      <c r="O1396" t="s">
        <v>209</v>
      </c>
      <c r="P1396">
        <v>0</v>
      </c>
      <c r="Q1396">
        <v>1</v>
      </c>
      <c r="R1396">
        <v>0</v>
      </c>
      <c r="S1396">
        <v>0</v>
      </c>
      <c r="T1396">
        <v>3</v>
      </c>
      <c r="U1396">
        <v>7</v>
      </c>
      <c r="V1396">
        <v>14</v>
      </c>
      <c r="W1396">
        <v>18</v>
      </c>
      <c r="X1396">
        <v>18</v>
      </c>
      <c r="Y1396">
        <v>14</v>
      </c>
      <c r="Z1396">
        <v>3</v>
      </c>
      <c r="AA1396">
        <v>1</v>
      </c>
      <c r="AB1396">
        <v>0</v>
      </c>
      <c r="AC1396">
        <v>1</v>
      </c>
      <c r="AD1396">
        <v>4</v>
      </c>
      <c r="AE1396">
        <v>11</v>
      </c>
      <c r="AF1396">
        <v>2</v>
      </c>
      <c r="AG1396">
        <v>4</v>
      </c>
      <c r="AH1396">
        <v>-1</v>
      </c>
      <c r="AI1396">
        <v>0</v>
      </c>
    </row>
    <row r="1397" spans="1:35" hidden="1" x14ac:dyDescent="0.25">
      <c r="A1397">
        <v>2020</v>
      </c>
      <c r="B1397" s="1">
        <v>44168</v>
      </c>
      <c r="C1397">
        <v>24</v>
      </c>
      <c r="D1397">
        <v>0</v>
      </c>
      <c r="E1397">
        <v>60326</v>
      </c>
      <c r="F1397" t="s">
        <v>63</v>
      </c>
      <c r="G1397" t="s">
        <v>88</v>
      </c>
      <c r="H1397" t="s">
        <v>422</v>
      </c>
      <c r="I1397" t="s">
        <v>429</v>
      </c>
      <c r="J1397">
        <v>9</v>
      </c>
      <c r="K1397">
        <v>11</v>
      </c>
      <c r="L1397">
        <v>7900000</v>
      </c>
      <c r="M1397">
        <v>35900000</v>
      </c>
      <c r="N1397" t="s">
        <v>296</v>
      </c>
      <c r="O1397" t="s">
        <v>166</v>
      </c>
      <c r="P1397">
        <v>0</v>
      </c>
      <c r="Q1397">
        <v>0</v>
      </c>
      <c r="R1397">
        <v>0</v>
      </c>
      <c r="S1397">
        <v>0</v>
      </c>
      <c r="T1397">
        <v>3</v>
      </c>
      <c r="U1397">
        <v>4</v>
      </c>
      <c r="V1397">
        <v>12</v>
      </c>
      <c r="W1397">
        <v>15</v>
      </c>
      <c r="X1397">
        <v>15</v>
      </c>
      <c r="Y1397">
        <v>11</v>
      </c>
      <c r="Z1397">
        <v>5</v>
      </c>
      <c r="AA1397">
        <v>5</v>
      </c>
      <c r="AB1397">
        <v>2</v>
      </c>
      <c r="AC1397">
        <v>0</v>
      </c>
      <c r="AD1397">
        <v>13</v>
      </c>
      <c r="AE1397">
        <v>9</v>
      </c>
      <c r="AF1397">
        <v>5</v>
      </c>
      <c r="AG1397">
        <v>3</v>
      </c>
      <c r="AH1397">
        <v>0</v>
      </c>
      <c r="AI1397">
        <v>0</v>
      </c>
    </row>
    <row r="1398" spans="1:35" hidden="1" x14ac:dyDescent="0.25">
      <c r="A1398">
        <v>2020</v>
      </c>
      <c r="B1398" s="1">
        <v>44185</v>
      </c>
      <c r="C1398">
        <v>26</v>
      </c>
      <c r="D1398">
        <v>0</v>
      </c>
      <c r="E1398">
        <v>60326</v>
      </c>
      <c r="F1398" t="s">
        <v>63</v>
      </c>
      <c r="G1398" t="s">
        <v>361</v>
      </c>
      <c r="H1398" t="s">
        <v>422</v>
      </c>
      <c r="I1398" t="s">
        <v>340</v>
      </c>
      <c r="J1398">
        <v>13</v>
      </c>
      <c r="K1398">
        <v>10</v>
      </c>
      <c r="L1398">
        <v>8100000</v>
      </c>
      <c r="M1398">
        <v>7350000</v>
      </c>
      <c r="N1398" t="s">
        <v>111</v>
      </c>
      <c r="O1398" t="s">
        <v>66</v>
      </c>
      <c r="P1398">
        <v>0</v>
      </c>
      <c r="Q1398">
        <v>2</v>
      </c>
      <c r="R1398">
        <v>0</v>
      </c>
      <c r="S1398">
        <v>0</v>
      </c>
      <c r="T1398">
        <v>5</v>
      </c>
      <c r="U1398">
        <v>1</v>
      </c>
      <c r="V1398">
        <v>18</v>
      </c>
      <c r="W1398">
        <v>17</v>
      </c>
      <c r="X1398">
        <v>17</v>
      </c>
      <c r="Y1398">
        <v>16</v>
      </c>
      <c r="Z1398">
        <v>3</v>
      </c>
      <c r="AA1398">
        <v>0</v>
      </c>
      <c r="AB1398">
        <v>0</v>
      </c>
      <c r="AC1398">
        <v>0</v>
      </c>
      <c r="AD1398">
        <v>10</v>
      </c>
      <c r="AE1398">
        <v>6</v>
      </c>
      <c r="AF1398">
        <v>6</v>
      </c>
      <c r="AG1398">
        <v>1</v>
      </c>
      <c r="AH1398">
        <v>-2</v>
      </c>
      <c r="AI1398">
        <v>0</v>
      </c>
    </row>
    <row r="1399" spans="1:35" hidden="1" x14ac:dyDescent="0.25">
      <c r="A1399">
        <v>2020</v>
      </c>
      <c r="B1399" s="1">
        <v>44191</v>
      </c>
      <c r="C1399">
        <v>27</v>
      </c>
      <c r="D1399">
        <v>0</v>
      </c>
      <c r="E1399">
        <v>60326</v>
      </c>
      <c r="F1399" t="s">
        <v>63</v>
      </c>
      <c r="G1399" t="s">
        <v>77</v>
      </c>
      <c r="H1399" t="s">
        <v>422</v>
      </c>
      <c r="I1399" t="s">
        <v>40</v>
      </c>
      <c r="J1399">
        <v>14</v>
      </c>
      <c r="K1399">
        <v>2</v>
      </c>
      <c r="L1399">
        <v>7900000</v>
      </c>
      <c r="M1399">
        <v>66250000</v>
      </c>
      <c r="N1399">
        <v>29</v>
      </c>
      <c r="O1399" t="s">
        <v>151</v>
      </c>
      <c r="P1399">
        <v>0</v>
      </c>
      <c r="Q1399">
        <v>0</v>
      </c>
      <c r="R1399">
        <v>0</v>
      </c>
      <c r="S1399">
        <v>0</v>
      </c>
      <c r="T1399">
        <v>4</v>
      </c>
      <c r="U1399">
        <v>4</v>
      </c>
      <c r="V1399">
        <v>22</v>
      </c>
      <c r="W1399">
        <v>14</v>
      </c>
      <c r="X1399">
        <v>13</v>
      </c>
      <c r="Y1399">
        <v>21</v>
      </c>
      <c r="Z1399">
        <v>2</v>
      </c>
      <c r="AA1399">
        <v>4</v>
      </c>
      <c r="AB1399">
        <v>1</v>
      </c>
      <c r="AC1399">
        <v>0</v>
      </c>
      <c r="AD1399">
        <v>11</v>
      </c>
      <c r="AE1399">
        <v>13</v>
      </c>
      <c r="AF1399">
        <v>6</v>
      </c>
      <c r="AG1399">
        <v>6</v>
      </c>
      <c r="AH1399">
        <v>0</v>
      </c>
      <c r="AI1399">
        <v>0</v>
      </c>
    </row>
    <row r="1400" spans="1:35" hidden="1" x14ac:dyDescent="0.25">
      <c r="A1400">
        <v>2020</v>
      </c>
      <c r="B1400" s="1">
        <v>44206</v>
      </c>
      <c r="C1400">
        <v>29</v>
      </c>
      <c r="D1400">
        <v>0</v>
      </c>
      <c r="E1400">
        <v>60326</v>
      </c>
      <c r="F1400" t="s">
        <v>63</v>
      </c>
      <c r="G1400" t="s">
        <v>83</v>
      </c>
      <c r="H1400" t="s">
        <v>420</v>
      </c>
      <c r="I1400" t="s">
        <v>85</v>
      </c>
      <c r="J1400">
        <v>15</v>
      </c>
      <c r="K1400">
        <v>6</v>
      </c>
      <c r="L1400">
        <v>7000000</v>
      </c>
      <c r="M1400">
        <v>42850000</v>
      </c>
      <c r="N1400" t="s">
        <v>109</v>
      </c>
      <c r="O1400" t="s">
        <v>105</v>
      </c>
      <c r="P1400">
        <v>0</v>
      </c>
      <c r="Q1400">
        <v>0</v>
      </c>
      <c r="R1400">
        <v>0</v>
      </c>
      <c r="S1400">
        <v>0</v>
      </c>
      <c r="T1400">
        <v>4</v>
      </c>
      <c r="U1400">
        <v>5</v>
      </c>
      <c r="V1400">
        <v>17</v>
      </c>
      <c r="W1400">
        <v>12</v>
      </c>
      <c r="X1400">
        <v>11</v>
      </c>
      <c r="Y1400">
        <v>16</v>
      </c>
      <c r="Z1400">
        <v>2</v>
      </c>
      <c r="AA1400">
        <v>5</v>
      </c>
      <c r="AB1400">
        <v>3</v>
      </c>
      <c r="AC1400">
        <v>1</v>
      </c>
      <c r="AD1400">
        <v>14</v>
      </c>
      <c r="AE1400">
        <v>11</v>
      </c>
      <c r="AF1400">
        <v>4</v>
      </c>
      <c r="AG1400">
        <v>4</v>
      </c>
      <c r="AH1400">
        <v>0</v>
      </c>
      <c r="AI1400">
        <v>0</v>
      </c>
    </row>
    <row r="1401" spans="1:35" hidden="1" x14ac:dyDescent="0.25">
      <c r="A1401">
        <v>2020</v>
      </c>
      <c r="B1401" s="1">
        <v>44217</v>
      </c>
      <c r="C1401">
        <v>31</v>
      </c>
      <c r="D1401">
        <v>0</v>
      </c>
      <c r="E1401">
        <v>60326</v>
      </c>
      <c r="F1401" t="s">
        <v>63</v>
      </c>
      <c r="G1401" t="s">
        <v>419</v>
      </c>
      <c r="H1401" t="s">
        <v>420</v>
      </c>
      <c r="I1401" t="s">
        <v>71</v>
      </c>
      <c r="J1401">
        <v>17</v>
      </c>
      <c r="K1401">
        <v>8</v>
      </c>
      <c r="L1401">
        <v>8050000</v>
      </c>
      <c r="M1401">
        <v>11750000</v>
      </c>
      <c r="N1401" t="s">
        <v>142</v>
      </c>
      <c r="O1401" t="s">
        <v>113</v>
      </c>
      <c r="P1401">
        <v>2</v>
      </c>
      <c r="Q1401">
        <v>0</v>
      </c>
      <c r="R1401">
        <v>0</v>
      </c>
      <c r="S1401">
        <v>0</v>
      </c>
      <c r="T1401">
        <v>7</v>
      </c>
      <c r="U1401">
        <v>5</v>
      </c>
      <c r="V1401">
        <v>20</v>
      </c>
      <c r="W1401">
        <v>14</v>
      </c>
      <c r="X1401">
        <v>13</v>
      </c>
      <c r="Y1401">
        <v>18</v>
      </c>
      <c r="Z1401">
        <v>3</v>
      </c>
      <c r="AA1401">
        <v>1</v>
      </c>
      <c r="AB1401">
        <v>4</v>
      </c>
      <c r="AC1401">
        <v>1</v>
      </c>
      <c r="AD1401">
        <v>10</v>
      </c>
      <c r="AE1401">
        <v>12</v>
      </c>
      <c r="AF1401">
        <v>4</v>
      </c>
      <c r="AG1401">
        <v>8</v>
      </c>
      <c r="AH1401">
        <v>2</v>
      </c>
      <c r="AI1401">
        <v>1</v>
      </c>
    </row>
    <row r="1402" spans="1:35" hidden="1" x14ac:dyDescent="0.25">
      <c r="A1402">
        <v>2020</v>
      </c>
      <c r="B1402" s="1">
        <v>44237</v>
      </c>
      <c r="C1402">
        <v>35</v>
      </c>
      <c r="D1402">
        <v>0</v>
      </c>
      <c r="E1402">
        <v>60326</v>
      </c>
      <c r="F1402" t="s">
        <v>63</v>
      </c>
      <c r="G1402" t="s">
        <v>82</v>
      </c>
      <c r="H1402" t="s">
        <v>420</v>
      </c>
      <c r="I1402" t="s">
        <v>317</v>
      </c>
      <c r="J1402">
        <v>15</v>
      </c>
      <c r="K1402">
        <v>16</v>
      </c>
      <c r="L1402">
        <v>6750000</v>
      </c>
      <c r="M1402">
        <v>12800000</v>
      </c>
      <c r="N1402" t="s">
        <v>100</v>
      </c>
      <c r="O1402" t="s">
        <v>80</v>
      </c>
      <c r="P1402">
        <v>3</v>
      </c>
      <c r="Q1402">
        <v>0</v>
      </c>
      <c r="R1402">
        <v>2</v>
      </c>
      <c r="S1402">
        <v>0</v>
      </c>
      <c r="T1402">
        <v>5</v>
      </c>
      <c r="U1402">
        <v>7</v>
      </c>
      <c r="V1402">
        <v>15</v>
      </c>
      <c r="W1402">
        <v>14</v>
      </c>
      <c r="X1402">
        <v>13</v>
      </c>
      <c r="Y1402">
        <v>15</v>
      </c>
      <c r="Z1402">
        <v>1</v>
      </c>
      <c r="AA1402">
        <v>4</v>
      </c>
      <c r="AB1402">
        <v>1</v>
      </c>
      <c r="AC1402">
        <v>1</v>
      </c>
      <c r="AD1402">
        <v>17</v>
      </c>
      <c r="AE1402">
        <v>12</v>
      </c>
      <c r="AF1402">
        <v>5</v>
      </c>
      <c r="AG1402">
        <v>5</v>
      </c>
      <c r="AH1402">
        <v>3</v>
      </c>
      <c r="AI1402">
        <v>1</v>
      </c>
    </row>
    <row r="1403" spans="1:35" hidden="1" x14ac:dyDescent="0.25">
      <c r="A1403">
        <v>2020</v>
      </c>
      <c r="B1403" s="1">
        <v>44087</v>
      </c>
      <c r="C1403">
        <v>10</v>
      </c>
      <c r="D1403">
        <v>0</v>
      </c>
      <c r="E1403">
        <v>50049</v>
      </c>
      <c r="F1403" t="s">
        <v>416</v>
      </c>
      <c r="G1403" t="s">
        <v>37</v>
      </c>
      <c r="H1403" t="s">
        <v>433</v>
      </c>
      <c r="I1403" t="s">
        <v>39</v>
      </c>
      <c r="J1403">
        <v>20</v>
      </c>
      <c r="K1403">
        <v>1</v>
      </c>
      <c r="L1403">
        <v>10050000</v>
      </c>
      <c r="M1403">
        <v>18150000</v>
      </c>
      <c r="N1403">
        <v>28</v>
      </c>
      <c r="O1403" t="s">
        <v>123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12</v>
      </c>
      <c r="V1403">
        <v>10</v>
      </c>
      <c r="W1403">
        <v>14</v>
      </c>
      <c r="X1403">
        <v>14</v>
      </c>
      <c r="Y1403">
        <v>10</v>
      </c>
      <c r="Z1403">
        <v>4</v>
      </c>
      <c r="AA1403">
        <v>0</v>
      </c>
      <c r="AB1403">
        <v>1</v>
      </c>
      <c r="AC1403">
        <v>5</v>
      </c>
      <c r="AD1403">
        <v>6</v>
      </c>
      <c r="AE1403">
        <v>15</v>
      </c>
      <c r="AF1403">
        <v>3</v>
      </c>
      <c r="AG1403">
        <v>5</v>
      </c>
      <c r="AH1403">
        <v>1</v>
      </c>
      <c r="AI1403">
        <v>1</v>
      </c>
    </row>
    <row r="1404" spans="1:35" hidden="1" x14ac:dyDescent="0.25">
      <c r="A1404">
        <v>2020</v>
      </c>
      <c r="B1404" s="1">
        <v>44121</v>
      </c>
      <c r="C1404">
        <v>16</v>
      </c>
      <c r="D1404">
        <v>0</v>
      </c>
      <c r="E1404">
        <v>50049</v>
      </c>
      <c r="F1404" t="s">
        <v>416</v>
      </c>
      <c r="G1404" t="s">
        <v>38</v>
      </c>
      <c r="H1404" t="s">
        <v>420</v>
      </c>
      <c r="I1404" t="s">
        <v>240</v>
      </c>
      <c r="J1404">
        <v>20</v>
      </c>
      <c r="K1404">
        <v>16</v>
      </c>
      <c r="L1404">
        <v>7830000</v>
      </c>
      <c r="M1404">
        <v>11600000</v>
      </c>
      <c r="N1404" t="s">
        <v>66</v>
      </c>
      <c r="O1404" t="s">
        <v>235</v>
      </c>
      <c r="P1404">
        <v>1</v>
      </c>
      <c r="Q1404">
        <v>1</v>
      </c>
      <c r="R1404">
        <v>0</v>
      </c>
      <c r="S1404">
        <v>0</v>
      </c>
      <c r="T1404">
        <v>5</v>
      </c>
      <c r="U1404">
        <v>2</v>
      </c>
      <c r="V1404">
        <v>16</v>
      </c>
      <c r="W1404">
        <v>18</v>
      </c>
      <c r="X1404">
        <v>16</v>
      </c>
      <c r="Y1404">
        <v>16</v>
      </c>
      <c r="Z1404">
        <v>2</v>
      </c>
      <c r="AA1404">
        <v>3</v>
      </c>
      <c r="AB1404">
        <v>1</v>
      </c>
      <c r="AC1404">
        <v>3</v>
      </c>
      <c r="AD1404">
        <v>10</v>
      </c>
      <c r="AE1404">
        <v>13</v>
      </c>
      <c r="AF1404">
        <v>4</v>
      </c>
      <c r="AG1404">
        <v>6</v>
      </c>
      <c r="AH1404">
        <v>0</v>
      </c>
      <c r="AI1404">
        <v>0</v>
      </c>
    </row>
    <row r="1405" spans="1:35" hidden="1" x14ac:dyDescent="0.25">
      <c r="A1405">
        <v>2020</v>
      </c>
      <c r="B1405" s="1">
        <v>44157</v>
      </c>
      <c r="C1405">
        <v>22</v>
      </c>
      <c r="D1405">
        <v>0</v>
      </c>
      <c r="E1405">
        <v>12500</v>
      </c>
      <c r="F1405" t="s">
        <v>416</v>
      </c>
      <c r="G1405" t="s">
        <v>95</v>
      </c>
      <c r="H1405" t="s">
        <v>380</v>
      </c>
      <c r="I1405" t="s">
        <v>97</v>
      </c>
      <c r="J1405">
        <v>20</v>
      </c>
      <c r="K1405">
        <v>6</v>
      </c>
      <c r="L1405">
        <v>7800000</v>
      </c>
      <c r="M1405">
        <v>32700000</v>
      </c>
      <c r="N1405">
        <v>27</v>
      </c>
      <c r="O1405" t="s">
        <v>114</v>
      </c>
      <c r="P1405">
        <v>1</v>
      </c>
      <c r="Q1405">
        <v>0</v>
      </c>
      <c r="R1405">
        <v>0</v>
      </c>
      <c r="S1405">
        <v>0</v>
      </c>
      <c r="T1405">
        <v>1</v>
      </c>
      <c r="U1405">
        <v>4</v>
      </c>
      <c r="V1405">
        <v>20</v>
      </c>
      <c r="W1405">
        <v>15</v>
      </c>
      <c r="X1405">
        <v>15</v>
      </c>
      <c r="Y1405">
        <v>17</v>
      </c>
      <c r="Z1405">
        <v>3</v>
      </c>
      <c r="AA1405">
        <v>1</v>
      </c>
      <c r="AB1405">
        <v>1</v>
      </c>
      <c r="AC1405">
        <v>1</v>
      </c>
      <c r="AD1405">
        <v>8</v>
      </c>
      <c r="AE1405">
        <v>14</v>
      </c>
      <c r="AF1405">
        <v>6</v>
      </c>
      <c r="AG1405">
        <v>7</v>
      </c>
      <c r="AH1405">
        <v>1</v>
      </c>
      <c r="AI1405">
        <v>1</v>
      </c>
    </row>
    <row r="1406" spans="1:35" hidden="1" x14ac:dyDescent="0.25">
      <c r="A1406">
        <v>2020</v>
      </c>
      <c r="B1406" s="1">
        <v>44178</v>
      </c>
      <c r="C1406">
        <v>25</v>
      </c>
      <c r="D1406">
        <v>0</v>
      </c>
      <c r="E1406">
        <v>12500</v>
      </c>
      <c r="F1406" t="s">
        <v>416</v>
      </c>
      <c r="G1406" t="s">
        <v>83</v>
      </c>
      <c r="H1406" t="s">
        <v>380</v>
      </c>
      <c r="I1406" t="s">
        <v>85</v>
      </c>
      <c r="J1406">
        <v>20</v>
      </c>
      <c r="K1406">
        <v>4</v>
      </c>
      <c r="L1406">
        <v>5880000</v>
      </c>
      <c r="M1406">
        <v>45050000</v>
      </c>
      <c r="N1406" t="s">
        <v>168</v>
      </c>
      <c r="O1406" t="s">
        <v>114</v>
      </c>
      <c r="P1406">
        <v>0</v>
      </c>
      <c r="Q1406">
        <v>0</v>
      </c>
      <c r="R1406">
        <v>0</v>
      </c>
      <c r="S1406">
        <v>0</v>
      </c>
      <c r="T1406">
        <v>4</v>
      </c>
      <c r="U1406">
        <v>9</v>
      </c>
      <c r="V1406">
        <v>12</v>
      </c>
      <c r="W1406">
        <v>10</v>
      </c>
      <c r="X1406">
        <v>10</v>
      </c>
      <c r="Y1406">
        <v>12</v>
      </c>
      <c r="Z1406">
        <v>5</v>
      </c>
      <c r="AA1406">
        <v>2</v>
      </c>
      <c r="AB1406">
        <v>0</v>
      </c>
      <c r="AC1406">
        <v>2</v>
      </c>
      <c r="AD1406">
        <v>12</v>
      </c>
      <c r="AE1406">
        <v>17</v>
      </c>
      <c r="AF1406">
        <v>6</v>
      </c>
      <c r="AG1406">
        <v>8</v>
      </c>
      <c r="AH1406">
        <v>0</v>
      </c>
      <c r="AI1406">
        <v>0</v>
      </c>
    </row>
    <row r="1407" spans="1:35" hidden="1" x14ac:dyDescent="0.25">
      <c r="A1407">
        <v>2020</v>
      </c>
      <c r="B1407" s="1">
        <v>44191</v>
      </c>
      <c r="C1407">
        <v>27</v>
      </c>
      <c r="D1407">
        <v>0</v>
      </c>
      <c r="E1407">
        <v>12500</v>
      </c>
      <c r="F1407" t="s">
        <v>416</v>
      </c>
      <c r="G1407" t="s">
        <v>391</v>
      </c>
      <c r="H1407" t="s">
        <v>380</v>
      </c>
      <c r="I1407" t="s">
        <v>78</v>
      </c>
      <c r="J1407">
        <v>20</v>
      </c>
      <c r="K1407">
        <v>15</v>
      </c>
      <c r="L1407">
        <v>6850000</v>
      </c>
      <c r="M1407">
        <v>7900000</v>
      </c>
      <c r="N1407" t="s">
        <v>41</v>
      </c>
      <c r="O1407" t="s">
        <v>41</v>
      </c>
      <c r="P1407">
        <v>1</v>
      </c>
      <c r="Q1407">
        <v>0</v>
      </c>
      <c r="R1407">
        <v>1</v>
      </c>
      <c r="S1407">
        <v>0</v>
      </c>
      <c r="T1407">
        <v>4</v>
      </c>
      <c r="U1407">
        <v>5</v>
      </c>
      <c r="V1407">
        <v>20</v>
      </c>
      <c r="W1407">
        <v>17</v>
      </c>
      <c r="X1407">
        <v>19</v>
      </c>
      <c r="Y1407">
        <v>21</v>
      </c>
      <c r="Z1407">
        <v>4</v>
      </c>
      <c r="AA1407">
        <v>3</v>
      </c>
      <c r="AB1407">
        <v>0</v>
      </c>
      <c r="AC1407">
        <v>4</v>
      </c>
      <c r="AD1407">
        <v>10</v>
      </c>
      <c r="AE1407">
        <v>15</v>
      </c>
      <c r="AF1407">
        <v>6</v>
      </c>
      <c r="AG1407">
        <v>5</v>
      </c>
      <c r="AH1407">
        <v>1</v>
      </c>
      <c r="AI1407">
        <v>1</v>
      </c>
    </row>
    <row r="1408" spans="1:35" hidden="1" x14ac:dyDescent="0.25">
      <c r="A1408">
        <v>2020</v>
      </c>
      <c r="B1408" s="1">
        <v>44231</v>
      </c>
      <c r="C1408">
        <v>34</v>
      </c>
      <c r="D1408">
        <v>0</v>
      </c>
      <c r="E1408">
        <v>12500</v>
      </c>
      <c r="F1408" t="s">
        <v>416</v>
      </c>
      <c r="G1408" t="s">
        <v>89</v>
      </c>
      <c r="H1408" t="s">
        <v>380</v>
      </c>
      <c r="I1408" t="s">
        <v>329</v>
      </c>
      <c r="J1408">
        <v>18</v>
      </c>
      <c r="K1408">
        <v>3</v>
      </c>
      <c r="L1408">
        <v>3850000</v>
      </c>
      <c r="M1408">
        <v>27900000</v>
      </c>
      <c r="N1408" t="s">
        <v>145</v>
      </c>
      <c r="O1408" t="s">
        <v>120</v>
      </c>
      <c r="P1408">
        <v>1</v>
      </c>
      <c r="Q1408">
        <v>0</v>
      </c>
      <c r="R1408">
        <v>1</v>
      </c>
      <c r="S1408">
        <v>0</v>
      </c>
      <c r="T1408">
        <v>1</v>
      </c>
      <c r="U1408">
        <v>8</v>
      </c>
      <c r="V1408">
        <v>13</v>
      </c>
      <c r="W1408">
        <v>13</v>
      </c>
      <c r="X1408">
        <v>13</v>
      </c>
      <c r="Y1408">
        <v>13</v>
      </c>
      <c r="Z1408">
        <v>2</v>
      </c>
      <c r="AA1408">
        <v>0</v>
      </c>
      <c r="AB1408">
        <v>2</v>
      </c>
      <c r="AC1408">
        <v>4</v>
      </c>
      <c r="AD1408">
        <v>3</v>
      </c>
      <c r="AE1408">
        <v>19</v>
      </c>
      <c r="AF1408">
        <v>1</v>
      </c>
      <c r="AG1408">
        <v>12</v>
      </c>
      <c r="AH1408">
        <v>1</v>
      </c>
      <c r="AI1408">
        <v>1</v>
      </c>
    </row>
    <row r="1409" spans="1:35" hidden="1" x14ac:dyDescent="0.25">
      <c r="A1409">
        <v>2020</v>
      </c>
      <c r="B1409" s="1">
        <v>44240</v>
      </c>
      <c r="C1409">
        <v>36</v>
      </c>
      <c r="D1409">
        <v>0</v>
      </c>
      <c r="E1409">
        <v>12500</v>
      </c>
      <c r="F1409" t="s">
        <v>416</v>
      </c>
      <c r="G1409" t="s">
        <v>51</v>
      </c>
      <c r="H1409" t="s">
        <v>380</v>
      </c>
      <c r="I1409" t="s">
        <v>320</v>
      </c>
      <c r="J1409">
        <v>18</v>
      </c>
      <c r="K1409">
        <v>20</v>
      </c>
      <c r="L1409">
        <v>6080000</v>
      </c>
      <c r="M1409">
        <v>8200000</v>
      </c>
      <c r="N1409" t="s">
        <v>99</v>
      </c>
      <c r="O1409" t="s">
        <v>434</v>
      </c>
      <c r="P1409">
        <v>2</v>
      </c>
      <c r="Q1409">
        <v>0</v>
      </c>
      <c r="R1409">
        <v>1</v>
      </c>
      <c r="S1409">
        <v>0</v>
      </c>
      <c r="T1409">
        <v>2</v>
      </c>
      <c r="U1409">
        <v>5</v>
      </c>
      <c r="V1409">
        <v>22</v>
      </c>
      <c r="W1409">
        <v>26</v>
      </c>
      <c r="X1409">
        <v>23</v>
      </c>
      <c r="Y1409">
        <v>21</v>
      </c>
      <c r="Z1409">
        <v>3</v>
      </c>
      <c r="AA1409">
        <v>5</v>
      </c>
      <c r="AB1409">
        <v>2</v>
      </c>
      <c r="AC1409">
        <v>2</v>
      </c>
      <c r="AD1409">
        <v>11</v>
      </c>
      <c r="AE1409">
        <v>11</v>
      </c>
      <c r="AF1409">
        <v>3</v>
      </c>
      <c r="AG1409">
        <v>6</v>
      </c>
      <c r="AH1409">
        <v>2</v>
      </c>
      <c r="AI1409">
        <v>1</v>
      </c>
    </row>
    <row r="1410" spans="1:35" hidden="1" x14ac:dyDescent="0.25">
      <c r="A1410">
        <v>2020</v>
      </c>
      <c r="B1410" s="1">
        <v>44249</v>
      </c>
      <c r="C1410">
        <v>37</v>
      </c>
      <c r="D1410">
        <v>0</v>
      </c>
      <c r="E1410">
        <v>12500</v>
      </c>
      <c r="F1410" t="s">
        <v>416</v>
      </c>
      <c r="G1410" t="s">
        <v>56</v>
      </c>
      <c r="H1410" t="s">
        <v>380</v>
      </c>
      <c r="I1410" t="s">
        <v>341</v>
      </c>
      <c r="J1410">
        <v>18</v>
      </c>
      <c r="K1410">
        <v>11</v>
      </c>
      <c r="L1410">
        <v>5830000</v>
      </c>
      <c r="M1410">
        <v>28400000</v>
      </c>
      <c r="N1410" t="s">
        <v>104</v>
      </c>
      <c r="O1410" t="s">
        <v>99</v>
      </c>
      <c r="P1410">
        <v>0</v>
      </c>
      <c r="Q1410">
        <v>0</v>
      </c>
      <c r="R1410">
        <v>0</v>
      </c>
      <c r="S1410">
        <v>0</v>
      </c>
      <c r="T1410">
        <v>3</v>
      </c>
      <c r="U1410">
        <v>11</v>
      </c>
      <c r="V1410">
        <v>18</v>
      </c>
      <c r="W1410">
        <v>20</v>
      </c>
      <c r="X1410">
        <v>20</v>
      </c>
      <c r="Y1410">
        <v>18</v>
      </c>
      <c r="Z1410">
        <v>5</v>
      </c>
      <c r="AA1410">
        <v>1</v>
      </c>
      <c r="AB1410">
        <v>1</v>
      </c>
      <c r="AC1410">
        <v>1</v>
      </c>
      <c r="AD1410">
        <v>14</v>
      </c>
      <c r="AE1410">
        <v>14</v>
      </c>
      <c r="AF1410">
        <v>8</v>
      </c>
      <c r="AG1410">
        <v>4</v>
      </c>
      <c r="AH1410">
        <v>0</v>
      </c>
      <c r="AI1410">
        <v>0</v>
      </c>
    </row>
    <row r="1411" spans="1:35" hidden="1" x14ac:dyDescent="0.25">
      <c r="A1411">
        <v>2020</v>
      </c>
      <c r="B1411" s="1">
        <v>44066</v>
      </c>
      <c r="C1411">
        <v>5</v>
      </c>
      <c r="D1411">
        <v>0</v>
      </c>
      <c r="E1411">
        <v>67000</v>
      </c>
      <c r="F1411" t="s">
        <v>95</v>
      </c>
      <c r="G1411" t="s">
        <v>419</v>
      </c>
      <c r="H1411" t="s">
        <v>317</v>
      </c>
      <c r="I1411" t="s">
        <v>71</v>
      </c>
      <c r="J1411">
        <v>8</v>
      </c>
      <c r="K1411">
        <v>6</v>
      </c>
      <c r="L1411">
        <v>33450000</v>
      </c>
      <c r="M1411">
        <v>27850000</v>
      </c>
      <c r="N1411">
        <v>28</v>
      </c>
      <c r="O1411">
        <v>27</v>
      </c>
      <c r="P1411">
        <v>2</v>
      </c>
      <c r="Q1411">
        <v>1</v>
      </c>
      <c r="R1411">
        <v>1</v>
      </c>
      <c r="S1411">
        <v>0</v>
      </c>
      <c r="T1411">
        <v>5</v>
      </c>
      <c r="U1411">
        <v>6</v>
      </c>
      <c r="V1411">
        <v>21</v>
      </c>
      <c r="W1411">
        <v>14</v>
      </c>
      <c r="X1411">
        <v>13</v>
      </c>
      <c r="Y1411">
        <v>19</v>
      </c>
      <c r="Z1411">
        <v>2</v>
      </c>
      <c r="AA1411">
        <v>3</v>
      </c>
      <c r="AB1411">
        <v>4</v>
      </c>
      <c r="AC1411">
        <v>0</v>
      </c>
      <c r="AD1411">
        <v>17</v>
      </c>
      <c r="AE1411">
        <v>9</v>
      </c>
      <c r="AF1411">
        <v>6</v>
      </c>
      <c r="AG1411">
        <v>4</v>
      </c>
      <c r="AH1411">
        <v>1</v>
      </c>
      <c r="AI1411">
        <v>1</v>
      </c>
    </row>
    <row r="1412" spans="1:35" hidden="1" x14ac:dyDescent="0.25">
      <c r="A1412">
        <v>2020</v>
      </c>
      <c r="B1412" s="1">
        <v>44077</v>
      </c>
      <c r="C1412">
        <v>7</v>
      </c>
      <c r="D1412">
        <v>0</v>
      </c>
      <c r="E1412">
        <v>43600</v>
      </c>
      <c r="F1412" t="s">
        <v>95</v>
      </c>
      <c r="G1412" t="s">
        <v>37</v>
      </c>
      <c r="H1412" t="s">
        <v>317</v>
      </c>
      <c r="I1412" t="s">
        <v>39</v>
      </c>
      <c r="J1412">
        <v>6</v>
      </c>
      <c r="K1412">
        <v>1</v>
      </c>
      <c r="L1412">
        <v>30750000</v>
      </c>
      <c r="M1412">
        <v>17650000</v>
      </c>
      <c r="N1412" t="s">
        <v>209</v>
      </c>
      <c r="O1412" t="s">
        <v>239</v>
      </c>
      <c r="P1412">
        <v>1</v>
      </c>
      <c r="Q1412">
        <v>1</v>
      </c>
      <c r="R1412">
        <v>0</v>
      </c>
      <c r="S1412">
        <v>0</v>
      </c>
      <c r="T1412">
        <v>5</v>
      </c>
      <c r="U1412">
        <v>4</v>
      </c>
      <c r="V1412">
        <v>21</v>
      </c>
      <c r="W1412">
        <v>23</v>
      </c>
      <c r="X1412">
        <v>22</v>
      </c>
      <c r="Y1412">
        <v>20</v>
      </c>
      <c r="Z1412">
        <v>1</v>
      </c>
      <c r="AA1412">
        <v>0</v>
      </c>
      <c r="AB1412">
        <v>1</v>
      </c>
      <c r="AC1412">
        <v>0</v>
      </c>
      <c r="AD1412">
        <v>11</v>
      </c>
      <c r="AE1412">
        <v>8</v>
      </c>
      <c r="AF1412">
        <v>5</v>
      </c>
      <c r="AG1412">
        <v>2</v>
      </c>
      <c r="AH1412">
        <v>0</v>
      </c>
      <c r="AI1412">
        <v>0</v>
      </c>
    </row>
    <row r="1413" spans="1:35" hidden="1" x14ac:dyDescent="0.25">
      <c r="A1413">
        <v>2020</v>
      </c>
      <c r="B1413" s="1">
        <v>44101</v>
      </c>
      <c r="C1413">
        <v>12</v>
      </c>
      <c r="D1413">
        <v>0</v>
      </c>
      <c r="E1413">
        <v>43600</v>
      </c>
      <c r="F1413" t="s">
        <v>95</v>
      </c>
      <c r="G1413" t="s">
        <v>77</v>
      </c>
      <c r="H1413" t="s">
        <v>317</v>
      </c>
      <c r="I1413" t="s">
        <v>430</v>
      </c>
      <c r="J1413">
        <v>5</v>
      </c>
      <c r="K1413">
        <v>4</v>
      </c>
      <c r="L1413">
        <v>70250000</v>
      </c>
      <c r="M1413">
        <v>50500000</v>
      </c>
      <c r="N1413" t="s">
        <v>120</v>
      </c>
      <c r="O1413" t="s">
        <v>435</v>
      </c>
      <c r="P1413">
        <v>1</v>
      </c>
      <c r="Q1413">
        <v>1</v>
      </c>
      <c r="R1413">
        <v>0</v>
      </c>
      <c r="S1413">
        <v>0</v>
      </c>
      <c r="T1413">
        <v>5</v>
      </c>
      <c r="U1413">
        <v>4</v>
      </c>
      <c r="V1413">
        <v>13</v>
      </c>
      <c r="W1413">
        <v>16</v>
      </c>
      <c r="X1413">
        <v>16</v>
      </c>
      <c r="Y1413">
        <v>13</v>
      </c>
      <c r="Z1413">
        <v>3</v>
      </c>
      <c r="AA1413">
        <v>6</v>
      </c>
      <c r="AB1413">
        <v>1</v>
      </c>
      <c r="AC1413">
        <v>0</v>
      </c>
      <c r="AD1413">
        <v>17</v>
      </c>
      <c r="AE1413">
        <v>10</v>
      </c>
      <c r="AF1413">
        <v>7</v>
      </c>
      <c r="AG1413">
        <v>4</v>
      </c>
      <c r="AH1413">
        <v>0</v>
      </c>
      <c r="AI1413">
        <v>0</v>
      </c>
    </row>
    <row r="1414" spans="1:35" hidden="1" x14ac:dyDescent="0.25">
      <c r="A1414">
        <v>2020</v>
      </c>
      <c r="B1414" s="1">
        <v>44115</v>
      </c>
      <c r="C1414">
        <v>15</v>
      </c>
      <c r="D1414">
        <v>0</v>
      </c>
      <c r="E1414">
        <v>43600</v>
      </c>
      <c r="F1414" t="s">
        <v>95</v>
      </c>
      <c r="G1414" t="s">
        <v>62</v>
      </c>
      <c r="H1414" t="s">
        <v>317</v>
      </c>
      <c r="I1414" t="s">
        <v>57</v>
      </c>
      <c r="J1414">
        <v>5</v>
      </c>
      <c r="K1414">
        <v>3</v>
      </c>
      <c r="L1414">
        <v>28350000</v>
      </c>
      <c r="M1414">
        <v>31200000</v>
      </c>
      <c r="N1414" t="s">
        <v>100</v>
      </c>
      <c r="O1414" t="s">
        <v>122</v>
      </c>
      <c r="P1414">
        <v>0</v>
      </c>
      <c r="Q1414">
        <v>2</v>
      </c>
      <c r="R1414">
        <v>0</v>
      </c>
      <c r="S1414">
        <v>0</v>
      </c>
      <c r="T1414">
        <v>8</v>
      </c>
      <c r="U1414">
        <v>4</v>
      </c>
      <c r="V1414">
        <v>15</v>
      </c>
      <c r="W1414">
        <v>17</v>
      </c>
      <c r="X1414">
        <v>15</v>
      </c>
      <c r="Y1414">
        <v>15</v>
      </c>
      <c r="Z1414">
        <v>2</v>
      </c>
      <c r="AA1414">
        <v>3</v>
      </c>
      <c r="AB1414">
        <v>2</v>
      </c>
      <c r="AC1414">
        <v>0</v>
      </c>
      <c r="AD1414">
        <v>9</v>
      </c>
      <c r="AE1414">
        <v>13</v>
      </c>
      <c r="AF1414">
        <v>4</v>
      </c>
      <c r="AG1414">
        <v>6</v>
      </c>
      <c r="AH1414">
        <v>-2</v>
      </c>
      <c r="AI1414">
        <v>0</v>
      </c>
    </row>
    <row r="1415" spans="1:35" hidden="1" x14ac:dyDescent="0.25">
      <c r="A1415">
        <v>2020</v>
      </c>
      <c r="B1415" s="1">
        <v>44137</v>
      </c>
      <c r="C1415">
        <v>19</v>
      </c>
      <c r="D1415">
        <v>0</v>
      </c>
      <c r="E1415">
        <v>43600</v>
      </c>
      <c r="F1415" t="s">
        <v>95</v>
      </c>
      <c r="G1415" t="s">
        <v>89</v>
      </c>
      <c r="H1415" t="s">
        <v>432</v>
      </c>
      <c r="I1415" t="s">
        <v>329</v>
      </c>
      <c r="J1415">
        <v>8</v>
      </c>
      <c r="K1415">
        <v>4</v>
      </c>
      <c r="L1415">
        <v>40250000</v>
      </c>
      <c r="M1415">
        <v>42500000</v>
      </c>
      <c r="N1415" t="s">
        <v>114</v>
      </c>
      <c r="O1415" t="s">
        <v>221</v>
      </c>
      <c r="P1415">
        <v>3</v>
      </c>
      <c r="Q1415">
        <v>0</v>
      </c>
      <c r="R1415">
        <v>1</v>
      </c>
      <c r="S1415">
        <v>0</v>
      </c>
      <c r="T1415">
        <v>3</v>
      </c>
      <c r="U1415">
        <v>9</v>
      </c>
      <c r="V1415">
        <v>10</v>
      </c>
      <c r="W1415">
        <v>12</v>
      </c>
      <c r="X1415">
        <v>11</v>
      </c>
      <c r="Y1415">
        <v>10</v>
      </c>
      <c r="Z1415">
        <v>2</v>
      </c>
      <c r="AA1415">
        <v>5</v>
      </c>
      <c r="AB1415">
        <v>2</v>
      </c>
      <c r="AC1415">
        <v>0</v>
      </c>
      <c r="AD1415">
        <v>19</v>
      </c>
      <c r="AE1415">
        <v>16</v>
      </c>
      <c r="AF1415">
        <v>9</v>
      </c>
      <c r="AG1415">
        <v>9</v>
      </c>
      <c r="AH1415">
        <v>3</v>
      </c>
      <c r="AI1415">
        <v>1</v>
      </c>
    </row>
    <row r="1416" spans="1:35" hidden="1" x14ac:dyDescent="0.25">
      <c r="A1416">
        <v>2020</v>
      </c>
      <c r="B1416" s="1">
        <v>44150</v>
      </c>
      <c r="C1416">
        <v>21</v>
      </c>
      <c r="D1416">
        <v>0</v>
      </c>
      <c r="E1416">
        <v>43600</v>
      </c>
      <c r="F1416" t="s">
        <v>95</v>
      </c>
      <c r="G1416" t="s">
        <v>55</v>
      </c>
      <c r="H1416" t="s">
        <v>97</v>
      </c>
      <c r="I1416" t="s">
        <v>328</v>
      </c>
      <c r="J1416">
        <v>7</v>
      </c>
      <c r="K1416">
        <v>6</v>
      </c>
      <c r="L1416">
        <v>53550000</v>
      </c>
      <c r="M1416">
        <v>12050000</v>
      </c>
      <c r="N1416" t="s">
        <v>168</v>
      </c>
      <c r="O1416" t="s">
        <v>137</v>
      </c>
      <c r="P1416">
        <v>2</v>
      </c>
      <c r="Q1416">
        <v>0</v>
      </c>
      <c r="R1416">
        <v>0</v>
      </c>
      <c r="S1416">
        <v>0</v>
      </c>
      <c r="T1416">
        <v>3</v>
      </c>
      <c r="U1416">
        <v>5</v>
      </c>
      <c r="V1416">
        <v>15</v>
      </c>
      <c r="W1416">
        <v>8</v>
      </c>
      <c r="X1416">
        <v>7</v>
      </c>
      <c r="Y1416">
        <v>15</v>
      </c>
      <c r="Z1416">
        <v>5</v>
      </c>
      <c r="AA1416">
        <v>3</v>
      </c>
      <c r="AB1416">
        <v>3</v>
      </c>
      <c r="AC1416">
        <v>3</v>
      </c>
      <c r="AD1416">
        <v>9</v>
      </c>
      <c r="AE1416">
        <v>15</v>
      </c>
      <c r="AF1416">
        <v>2</v>
      </c>
      <c r="AG1416">
        <v>8</v>
      </c>
      <c r="AH1416">
        <v>2</v>
      </c>
      <c r="AI1416">
        <v>1</v>
      </c>
    </row>
    <row r="1417" spans="1:35" hidden="1" x14ac:dyDescent="0.25">
      <c r="A1417">
        <v>2020</v>
      </c>
      <c r="B1417" s="1">
        <v>44163</v>
      </c>
      <c r="C1417">
        <v>23</v>
      </c>
      <c r="D1417">
        <v>0</v>
      </c>
      <c r="E1417">
        <v>43600</v>
      </c>
      <c r="F1417" t="s">
        <v>95</v>
      </c>
      <c r="G1417" t="s">
        <v>69</v>
      </c>
      <c r="H1417" t="s">
        <v>97</v>
      </c>
      <c r="I1417" t="s">
        <v>334</v>
      </c>
      <c r="J1417">
        <v>7</v>
      </c>
      <c r="K1417">
        <v>9</v>
      </c>
      <c r="L1417">
        <v>49800000</v>
      </c>
      <c r="M1417">
        <v>12150000</v>
      </c>
      <c r="N1417" t="s">
        <v>189</v>
      </c>
      <c r="O1417" t="s">
        <v>176</v>
      </c>
      <c r="P1417">
        <v>3</v>
      </c>
      <c r="Q1417">
        <v>0</v>
      </c>
      <c r="R1417">
        <v>2</v>
      </c>
      <c r="S1417">
        <v>0</v>
      </c>
      <c r="T1417">
        <v>10</v>
      </c>
      <c r="U1417">
        <v>1</v>
      </c>
      <c r="V1417">
        <v>16</v>
      </c>
      <c r="W1417">
        <v>15</v>
      </c>
      <c r="X1417">
        <v>15</v>
      </c>
      <c r="Y1417">
        <v>16</v>
      </c>
      <c r="Z1417">
        <v>1</v>
      </c>
      <c r="AA1417">
        <v>5</v>
      </c>
      <c r="AB1417">
        <v>4</v>
      </c>
      <c r="AC1417">
        <v>2</v>
      </c>
      <c r="AD1417">
        <v>22</v>
      </c>
      <c r="AE1417">
        <v>4</v>
      </c>
      <c r="AF1417">
        <v>11</v>
      </c>
      <c r="AG1417">
        <v>3</v>
      </c>
      <c r="AH1417">
        <v>3</v>
      </c>
      <c r="AI1417">
        <v>1</v>
      </c>
    </row>
    <row r="1418" spans="1:35" hidden="1" x14ac:dyDescent="0.25">
      <c r="A1418">
        <v>2020</v>
      </c>
      <c r="B1418" s="1">
        <v>44177</v>
      </c>
      <c r="C1418">
        <v>25</v>
      </c>
      <c r="D1418">
        <v>0</v>
      </c>
      <c r="E1418">
        <v>43600</v>
      </c>
      <c r="F1418" t="s">
        <v>95</v>
      </c>
      <c r="G1418" t="s">
        <v>38</v>
      </c>
      <c r="H1418" t="s">
        <v>97</v>
      </c>
      <c r="I1418" t="s">
        <v>240</v>
      </c>
      <c r="J1418">
        <v>6</v>
      </c>
      <c r="K1418">
        <v>13</v>
      </c>
      <c r="L1418">
        <v>33200000</v>
      </c>
      <c r="M1418">
        <v>11030000</v>
      </c>
      <c r="N1418" t="s">
        <v>104</v>
      </c>
      <c r="O1418" t="s">
        <v>107</v>
      </c>
      <c r="P1418">
        <v>3</v>
      </c>
      <c r="Q1418">
        <v>0</v>
      </c>
      <c r="R1418">
        <v>3</v>
      </c>
      <c r="S1418">
        <v>0</v>
      </c>
      <c r="T1418">
        <v>8</v>
      </c>
      <c r="U1418">
        <v>7</v>
      </c>
      <c r="V1418">
        <v>11</v>
      </c>
      <c r="W1418">
        <v>20</v>
      </c>
      <c r="X1418">
        <v>20</v>
      </c>
      <c r="Y1418">
        <v>11</v>
      </c>
      <c r="Z1418">
        <v>8</v>
      </c>
      <c r="AA1418">
        <v>4</v>
      </c>
      <c r="AB1418">
        <v>4</v>
      </c>
      <c r="AC1418">
        <v>1</v>
      </c>
      <c r="AD1418">
        <v>15</v>
      </c>
      <c r="AE1418">
        <v>18</v>
      </c>
      <c r="AF1418">
        <v>3</v>
      </c>
      <c r="AG1418">
        <v>6</v>
      </c>
      <c r="AH1418">
        <v>3</v>
      </c>
      <c r="AI1418">
        <v>1</v>
      </c>
    </row>
    <row r="1419" spans="1:35" hidden="1" x14ac:dyDescent="0.25">
      <c r="A1419">
        <v>2020</v>
      </c>
      <c r="B1419" s="1">
        <v>44192</v>
      </c>
      <c r="C1419">
        <v>27</v>
      </c>
      <c r="D1419">
        <v>0</v>
      </c>
      <c r="E1419">
        <v>43600</v>
      </c>
      <c r="F1419" t="s">
        <v>95</v>
      </c>
      <c r="G1419" t="s">
        <v>56</v>
      </c>
      <c r="H1419" t="s">
        <v>97</v>
      </c>
      <c r="I1419" t="s">
        <v>341</v>
      </c>
      <c r="J1419">
        <v>5</v>
      </c>
      <c r="K1419">
        <v>13</v>
      </c>
      <c r="L1419">
        <v>64200000</v>
      </c>
      <c r="M1419">
        <v>20000000</v>
      </c>
      <c r="N1419" t="s">
        <v>332</v>
      </c>
      <c r="O1419" t="s">
        <v>270</v>
      </c>
      <c r="P1419">
        <v>1</v>
      </c>
      <c r="Q1419">
        <v>0</v>
      </c>
      <c r="R1419">
        <v>1</v>
      </c>
      <c r="S1419">
        <v>0</v>
      </c>
      <c r="T1419">
        <v>5</v>
      </c>
      <c r="U1419">
        <v>8</v>
      </c>
      <c r="V1419">
        <v>10</v>
      </c>
      <c r="W1419">
        <v>6</v>
      </c>
      <c r="X1419">
        <v>5</v>
      </c>
      <c r="Y1419">
        <v>9</v>
      </c>
      <c r="Z1419">
        <v>2</v>
      </c>
      <c r="AA1419">
        <v>0</v>
      </c>
      <c r="AB1419">
        <v>1</v>
      </c>
      <c r="AC1419">
        <v>1</v>
      </c>
      <c r="AD1419">
        <v>6</v>
      </c>
      <c r="AE1419">
        <v>21</v>
      </c>
      <c r="AF1419">
        <v>5</v>
      </c>
      <c r="AG1419">
        <v>10</v>
      </c>
      <c r="AH1419">
        <v>1</v>
      </c>
      <c r="AI1419">
        <v>1</v>
      </c>
    </row>
    <row r="1420" spans="1:35" hidden="1" x14ac:dyDescent="0.25">
      <c r="A1420">
        <v>2020</v>
      </c>
      <c r="B1420" s="1">
        <v>44214</v>
      </c>
      <c r="C1420">
        <v>28</v>
      </c>
      <c r="D1420">
        <v>0</v>
      </c>
      <c r="E1420">
        <v>43600</v>
      </c>
      <c r="F1420" t="s">
        <v>95</v>
      </c>
      <c r="G1420" t="s">
        <v>88</v>
      </c>
      <c r="H1420" t="s">
        <v>97</v>
      </c>
      <c r="I1420" t="s">
        <v>429</v>
      </c>
      <c r="J1420">
        <v>5</v>
      </c>
      <c r="K1420">
        <v>9</v>
      </c>
      <c r="L1420">
        <v>33900000</v>
      </c>
      <c r="M1420">
        <v>32200000</v>
      </c>
      <c r="N1420" t="s">
        <v>163</v>
      </c>
      <c r="O1420" t="s">
        <v>166</v>
      </c>
      <c r="P1420">
        <v>4</v>
      </c>
      <c r="Q1420">
        <v>0</v>
      </c>
      <c r="R1420">
        <v>2</v>
      </c>
      <c r="S1420">
        <v>0</v>
      </c>
      <c r="T1420">
        <v>7</v>
      </c>
      <c r="U1420">
        <v>7</v>
      </c>
      <c r="V1420">
        <v>14</v>
      </c>
      <c r="W1420">
        <v>11</v>
      </c>
      <c r="X1420">
        <v>11</v>
      </c>
      <c r="Y1420">
        <v>14</v>
      </c>
      <c r="Z1420">
        <v>4</v>
      </c>
      <c r="AA1420">
        <v>4</v>
      </c>
      <c r="AB1420">
        <v>3</v>
      </c>
      <c r="AC1420">
        <v>0</v>
      </c>
      <c r="AD1420">
        <v>15</v>
      </c>
      <c r="AE1420">
        <v>10</v>
      </c>
      <c r="AF1420">
        <v>5</v>
      </c>
      <c r="AG1420">
        <v>3</v>
      </c>
      <c r="AH1420">
        <v>4</v>
      </c>
      <c r="AI1420">
        <v>1</v>
      </c>
    </row>
    <row r="1421" spans="1:35" hidden="1" x14ac:dyDescent="0.25">
      <c r="A1421">
        <v>2020</v>
      </c>
      <c r="B1421" s="1">
        <v>44212</v>
      </c>
      <c r="C1421">
        <v>30</v>
      </c>
      <c r="D1421">
        <v>0</v>
      </c>
      <c r="E1421">
        <v>43600</v>
      </c>
      <c r="F1421" t="s">
        <v>95</v>
      </c>
      <c r="G1421" t="s">
        <v>83</v>
      </c>
      <c r="H1421" t="s">
        <v>97</v>
      </c>
      <c r="I1421" t="s">
        <v>85</v>
      </c>
      <c r="J1421">
        <v>5</v>
      </c>
      <c r="K1421">
        <v>6</v>
      </c>
      <c r="L1421">
        <v>25100000</v>
      </c>
      <c r="M1421">
        <v>55350000</v>
      </c>
      <c r="N1421" t="s">
        <v>135</v>
      </c>
      <c r="O1421" t="s">
        <v>107</v>
      </c>
      <c r="P1421">
        <v>1</v>
      </c>
      <c r="Q1421">
        <v>1</v>
      </c>
      <c r="R1421">
        <v>1</v>
      </c>
      <c r="S1421">
        <v>0</v>
      </c>
      <c r="T1421">
        <v>3</v>
      </c>
      <c r="U1421">
        <v>7</v>
      </c>
      <c r="V1421">
        <v>22</v>
      </c>
      <c r="W1421">
        <v>10</v>
      </c>
      <c r="X1421">
        <v>8</v>
      </c>
      <c r="Y1421">
        <v>21</v>
      </c>
      <c r="Z1421">
        <v>6</v>
      </c>
      <c r="AA1421">
        <v>5</v>
      </c>
      <c r="AB1421">
        <v>2</v>
      </c>
      <c r="AC1421">
        <v>0</v>
      </c>
      <c r="AD1421">
        <v>16</v>
      </c>
      <c r="AE1421">
        <v>12</v>
      </c>
      <c r="AF1421">
        <v>8</v>
      </c>
      <c r="AG1421">
        <v>3</v>
      </c>
      <c r="AH1421">
        <v>0</v>
      </c>
      <c r="AI1421">
        <v>0</v>
      </c>
    </row>
    <row r="1422" spans="1:35" hidden="1" x14ac:dyDescent="0.25">
      <c r="A1422">
        <v>2020</v>
      </c>
      <c r="B1422" s="1">
        <v>44229</v>
      </c>
      <c r="C1422">
        <v>33</v>
      </c>
      <c r="D1422">
        <v>0</v>
      </c>
      <c r="E1422">
        <v>43600</v>
      </c>
      <c r="F1422" t="s">
        <v>95</v>
      </c>
      <c r="G1422" t="s">
        <v>51</v>
      </c>
      <c r="H1422" t="s">
        <v>97</v>
      </c>
      <c r="I1422" t="s">
        <v>367</v>
      </c>
      <c r="J1422">
        <v>5</v>
      </c>
      <c r="K1422">
        <v>20</v>
      </c>
      <c r="L1422">
        <v>27950000</v>
      </c>
      <c r="M1422">
        <v>6130000</v>
      </c>
      <c r="N1422" t="s">
        <v>128</v>
      </c>
      <c r="O1422">
        <v>24</v>
      </c>
      <c r="P1422">
        <v>1</v>
      </c>
      <c r="Q1422">
        <v>1</v>
      </c>
      <c r="R1422">
        <v>1</v>
      </c>
      <c r="S1422">
        <v>0</v>
      </c>
      <c r="T1422">
        <v>12</v>
      </c>
      <c r="U1422">
        <v>6</v>
      </c>
      <c r="V1422">
        <v>16</v>
      </c>
      <c r="W1422">
        <v>10</v>
      </c>
      <c r="X1422">
        <v>9</v>
      </c>
      <c r="Y1422">
        <v>15</v>
      </c>
      <c r="Z1422">
        <v>2</v>
      </c>
      <c r="AA1422">
        <v>1</v>
      </c>
      <c r="AB1422">
        <v>1</v>
      </c>
      <c r="AC1422">
        <v>0</v>
      </c>
      <c r="AD1422">
        <v>17</v>
      </c>
      <c r="AE1422">
        <v>17</v>
      </c>
      <c r="AF1422">
        <v>9</v>
      </c>
      <c r="AG1422">
        <v>9</v>
      </c>
      <c r="AH1422">
        <v>0</v>
      </c>
      <c r="AI1422">
        <v>0</v>
      </c>
    </row>
    <row r="1423" spans="1:35" hidden="1" x14ac:dyDescent="0.25">
      <c r="A1423">
        <v>2020</v>
      </c>
      <c r="B1423" s="1">
        <v>44241</v>
      </c>
      <c r="C1423">
        <v>36</v>
      </c>
      <c r="D1423">
        <v>0</v>
      </c>
      <c r="E1423">
        <v>43600</v>
      </c>
      <c r="F1423" t="s">
        <v>95</v>
      </c>
      <c r="G1423" t="s">
        <v>63</v>
      </c>
      <c r="H1423" t="s">
        <v>97</v>
      </c>
      <c r="I1423" t="s">
        <v>420</v>
      </c>
      <c r="J1423">
        <v>7</v>
      </c>
      <c r="K1423">
        <v>15</v>
      </c>
      <c r="L1423">
        <v>43550000</v>
      </c>
      <c r="M1423">
        <v>7430000</v>
      </c>
      <c r="N1423" t="s">
        <v>189</v>
      </c>
      <c r="O1423" t="s">
        <v>128</v>
      </c>
      <c r="P1423">
        <v>3</v>
      </c>
      <c r="Q1423">
        <v>0</v>
      </c>
      <c r="R1423">
        <v>3</v>
      </c>
      <c r="S1423">
        <v>0</v>
      </c>
      <c r="T1423">
        <v>3</v>
      </c>
      <c r="U1423">
        <v>4</v>
      </c>
      <c r="V1423">
        <v>16</v>
      </c>
      <c r="W1423">
        <v>11</v>
      </c>
      <c r="X1423">
        <v>10</v>
      </c>
      <c r="Y1423">
        <v>15</v>
      </c>
      <c r="Z1423">
        <v>1</v>
      </c>
      <c r="AA1423">
        <v>3</v>
      </c>
      <c r="AB1423">
        <v>4</v>
      </c>
      <c r="AC1423">
        <v>0</v>
      </c>
      <c r="AD1423">
        <v>13</v>
      </c>
      <c r="AE1423">
        <v>5</v>
      </c>
      <c r="AF1423">
        <v>4</v>
      </c>
      <c r="AG1423">
        <v>2</v>
      </c>
      <c r="AH1423">
        <v>3</v>
      </c>
      <c r="AI1423">
        <v>1</v>
      </c>
    </row>
    <row r="1424" spans="1:35" hidden="1" x14ac:dyDescent="0.25">
      <c r="A1424">
        <v>2020</v>
      </c>
      <c r="B1424" s="1">
        <v>44052</v>
      </c>
      <c r="C1424">
        <v>1</v>
      </c>
      <c r="D1424">
        <v>0</v>
      </c>
      <c r="E1424">
        <v>20120</v>
      </c>
      <c r="F1424" t="s">
        <v>419</v>
      </c>
      <c r="G1424" t="s">
        <v>56</v>
      </c>
      <c r="H1424" t="s">
        <v>71</v>
      </c>
      <c r="I1424" t="s">
        <v>425</v>
      </c>
      <c r="J1424">
        <v>8</v>
      </c>
      <c r="K1424">
        <v>11</v>
      </c>
      <c r="L1424">
        <v>28450000</v>
      </c>
      <c r="M1424">
        <v>10700000</v>
      </c>
      <c r="N1424" t="s">
        <v>120</v>
      </c>
      <c r="O1424" t="s">
        <v>270</v>
      </c>
      <c r="P1424">
        <v>1</v>
      </c>
      <c r="Q1424">
        <v>1</v>
      </c>
      <c r="R1424">
        <v>0</v>
      </c>
      <c r="S1424">
        <v>0</v>
      </c>
      <c r="T1424">
        <v>4</v>
      </c>
      <c r="U1424">
        <v>2</v>
      </c>
      <c r="V1424">
        <v>10</v>
      </c>
      <c r="W1424">
        <v>19</v>
      </c>
      <c r="X1424">
        <v>19</v>
      </c>
      <c r="Y1424">
        <v>9</v>
      </c>
      <c r="Z1424">
        <v>5</v>
      </c>
      <c r="AA1424">
        <v>3</v>
      </c>
      <c r="AB1424">
        <v>4</v>
      </c>
      <c r="AC1424">
        <v>2</v>
      </c>
      <c r="AD1424">
        <v>10</v>
      </c>
      <c r="AE1424">
        <v>18</v>
      </c>
      <c r="AF1424">
        <v>5</v>
      </c>
      <c r="AG1424">
        <v>8</v>
      </c>
      <c r="AH1424">
        <v>0</v>
      </c>
      <c r="AI1424">
        <v>0</v>
      </c>
    </row>
    <row r="1425" spans="1:35" hidden="1" x14ac:dyDescent="0.25">
      <c r="A1425">
        <v>2020</v>
      </c>
      <c r="B1425" s="1">
        <v>44060</v>
      </c>
      <c r="C1425">
        <v>3</v>
      </c>
      <c r="D1425">
        <v>0</v>
      </c>
      <c r="E1425">
        <v>20120</v>
      </c>
      <c r="F1425" t="s">
        <v>419</v>
      </c>
      <c r="G1425" t="s">
        <v>69</v>
      </c>
      <c r="H1425" t="s">
        <v>71</v>
      </c>
      <c r="I1425" t="s">
        <v>315</v>
      </c>
      <c r="J1425">
        <v>16</v>
      </c>
      <c r="K1425">
        <v>2</v>
      </c>
      <c r="L1425">
        <v>28450000</v>
      </c>
      <c r="M1425">
        <v>13880000</v>
      </c>
      <c r="N1425" t="s">
        <v>120</v>
      </c>
      <c r="O1425" t="s">
        <v>151</v>
      </c>
      <c r="P1425">
        <v>3</v>
      </c>
      <c r="Q1425">
        <v>1</v>
      </c>
      <c r="R1425">
        <v>2</v>
      </c>
      <c r="S1425">
        <v>0</v>
      </c>
      <c r="T1425">
        <v>2</v>
      </c>
      <c r="U1425">
        <v>6</v>
      </c>
      <c r="V1425">
        <v>9</v>
      </c>
      <c r="W1425">
        <v>22</v>
      </c>
      <c r="X1425">
        <v>21</v>
      </c>
      <c r="Y1425">
        <v>9</v>
      </c>
      <c r="Z1425">
        <v>1</v>
      </c>
      <c r="AA1425">
        <v>3</v>
      </c>
      <c r="AB1425">
        <v>0</v>
      </c>
      <c r="AC1425">
        <v>0</v>
      </c>
      <c r="AD1425">
        <v>11</v>
      </c>
      <c r="AE1425">
        <v>12</v>
      </c>
      <c r="AF1425">
        <v>5</v>
      </c>
      <c r="AG1425">
        <v>6</v>
      </c>
      <c r="AH1425">
        <v>2</v>
      </c>
      <c r="AI1425">
        <v>1</v>
      </c>
    </row>
    <row r="1426" spans="1:35" hidden="1" x14ac:dyDescent="0.25">
      <c r="A1426">
        <v>2020</v>
      </c>
      <c r="B1426" s="1">
        <v>44102</v>
      </c>
      <c r="C1426">
        <v>12</v>
      </c>
      <c r="D1426">
        <v>0</v>
      </c>
      <c r="E1426">
        <v>20120</v>
      </c>
      <c r="F1426" t="s">
        <v>419</v>
      </c>
      <c r="G1426" t="s">
        <v>63</v>
      </c>
      <c r="H1426" t="s">
        <v>71</v>
      </c>
      <c r="I1426" t="s">
        <v>40</v>
      </c>
      <c r="J1426">
        <v>7</v>
      </c>
      <c r="K1426">
        <v>9</v>
      </c>
      <c r="L1426">
        <v>28300000</v>
      </c>
      <c r="M1426">
        <v>8050000</v>
      </c>
      <c r="N1426" t="s">
        <v>145</v>
      </c>
      <c r="O1426" t="s">
        <v>197</v>
      </c>
      <c r="P1426">
        <v>1</v>
      </c>
      <c r="Q1426">
        <v>1</v>
      </c>
      <c r="R1426">
        <v>1</v>
      </c>
      <c r="S1426">
        <v>0</v>
      </c>
      <c r="T1426">
        <v>9</v>
      </c>
      <c r="U1426">
        <v>5</v>
      </c>
      <c r="V1426">
        <v>12</v>
      </c>
      <c r="W1426">
        <v>19</v>
      </c>
      <c r="X1426">
        <v>19</v>
      </c>
      <c r="Y1426">
        <v>12</v>
      </c>
      <c r="Z1426">
        <v>2</v>
      </c>
      <c r="AA1426">
        <v>5</v>
      </c>
      <c r="AB1426">
        <v>1</v>
      </c>
      <c r="AC1426">
        <v>2</v>
      </c>
      <c r="AD1426">
        <v>15</v>
      </c>
      <c r="AE1426">
        <v>12</v>
      </c>
      <c r="AF1426">
        <v>6</v>
      </c>
      <c r="AG1426">
        <v>6</v>
      </c>
      <c r="AH1426">
        <v>0</v>
      </c>
      <c r="AI1426">
        <v>0</v>
      </c>
    </row>
    <row r="1427" spans="1:35" hidden="1" x14ac:dyDescent="0.25">
      <c r="A1427">
        <v>2020</v>
      </c>
      <c r="B1427" s="1">
        <v>44115</v>
      </c>
      <c r="C1427">
        <v>15</v>
      </c>
      <c r="D1427">
        <v>0</v>
      </c>
      <c r="E1427">
        <v>20120</v>
      </c>
      <c r="F1427" t="s">
        <v>419</v>
      </c>
      <c r="G1427" t="s">
        <v>83</v>
      </c>
      <c r="H1427" t="s">
        <v>71</v>
      </c>
      <c r="I1427" t="s">
        <v>85</v>
      </c>
      <c r="J1427">
        <v>7</v>
      </c>
      <c r="K1427">
        <v>10</v>
      </c>
      <c r="L1427">
        <v>30600000</v>
      </c>
      <c r="M1427">
        <v>21950000</v>
      </c>
      <c r="N1427">
        <v>26</v>
      </c>
      <c r="O1427">
        <v>30</v>
      </c>
      <c r="P1427">
        <v>2</v>
      </c>
      <c r="Q1427">
        <v>1</v>
      </c>
      <c r="R1427">
        <v>1</v>
      </c>
      <c r="S1427">
        <v>0</v>
      </c>
      <c r="T1427">
        <v>4</v>
      </c>
      <c r="U1427">
        <v>7</v>
      </c>
      <c r="V1427">
        <v>16</v>
      </c>
      <c r="W1427">
        <v>14</v>
      </c>
      <c r="X1427">
        <v>12</v>
      </c>
      <c r="Y1427">
        <v>16</v>
      </c>
      <c r="Z1427">
        <v>3</v>
      </c>
      <c r="AA1427">
        <v>4</v>
      </c>
      <c r="AB1427">
        <v>3</v>
      </c>
      <c r="AC1427">
        <v>2</v>
      </c>
      <c r="AD1427">
        <v>11</v>
      </c>
      <c r="AE1427">
        <v>11</v>
      </c>
      <c r="AF1427">
        <v>4</v>
      </c>
      <c r="AG1427">
        <v>5</v>
      </c>
      <c r="AH1427">
        <v>1</v>
      </c>
      <c r="AI1427">
        <v>1</v>
      </c>
    </row>
    <row r="1428" spans="1:35" hidden="1" x14ac:dyDescent="0.25">
      <c r="A1428">
        <v>2020</v>
      </c>
      <c r="B1428" s="1">
        <v>44119</v>
      </c>
      <c r="C1428">
        <v>16</v>
      </c>
      <c r="D1428">
        <v>0</v>
      </c>
      <c r="E1428">
        <v>20120</v>
      </c>
      <c r="F1428" t="s">
        <v>419</v>
      </c>
      <c r="G1428" t="s">
        <v>76</v>
      </c>
      <c r="H1428" t="s">
        <v>71</v>
      </c>
      <c r="I1428" t="s">
        <v>375</v>
      </c>
      <c r="J1428">
        <v>6</v>
      </c>
      <c r="K1428">
        <v>14</v>
      </c>
      <c r="L1428">
        <v>25200000</v>
      </c>
      <c r="M1428">
        <v>8400000</v>
      </c>
      <c r="N1428">
        <v>26</v>
      </c>
      <c r="O1428" t="s">
        <v>202</v>
      </c>
      <c r="P1428">
        <v>0</v>
      </c>
      <c r="Q1428">
        <v>1</v>
      </c>
      <c r="R1428">
        <v>0</v>
      </c>
      <c r="S1428">
        <v>0</v>
      </c>
      <c r="T1428">
        <v>7</v>
      </c>
      <c r="U1428">
        <v>2</v>
      </c>
      <c r="V1428">
        <v>18</v>
      </c>
      <c r="W1428">
        <v>21</v>
      </c>
      <c r="X1428">
        <v>20</v>
      </c>
      <c r="Y1428">
        <v>16</v>
      </c>
      <c r="Z1428">
        <v>0</v>
      </c>
      <c r="AA1428">
        <v>3</v>
      </c>
      <c r="AB1428">
        <v>1</v>
      </c>
      <c r="AC1428">
        <v>2</v>
      </c>
      <c r="AD1428">
        <v>12</v>
      </c>
      <c r="AE1428">
        <v>8</v>
      </c>
      <c r="AF1428">
        <v>5</v>
      </c>
      <c r="AG1428">
        <v>5</v>
      </c>
      <c r="AH1428">
        <v>-1</v>
      </c>
      <c r="AI1428">
        <v>0</v>
      </c>
    </row>
    <row r="1429" spans="1:35" hidden="1" x14ac:dyDescent="0.25">
      <c r="A1429">
        <v>2020</v>
      </c>
      <c r="B1429" s="1">
        <v>44149</v>
      </c>
      <c r="C1429">
        <v>21</v>
      </c>
      <c r="D1429">
        <v>0</v>
      </c>
      <c r="E1429">
        <v>20120</v>
      </c>
      <c r="F1429" t="s">
        <v>419</v>
      </c>
      <c r="G1429" t="s">
        <v>37</v>
      </c>
      <c r="H1429" t="s">
        <v>71</v>
      </c>
      <c r="I1429" t="s">
        <v>376</v>
      </c>
      <c r="J1429">
        <v>8</v>
      </c>
      <c r="K1429">
        <v>2</v>
      </c>
      <c r="L1429">
        <v>21200000</v>
      </c>
      <c r="M1429">
        <v>23580000</v>
      </c>
      <c r="N1429" t="s">
        <v>171</v>
      </c>
      <c r="O1429" t="s">
        <v>137</v>
      </c>
      <c r="P1429">
        <v>2</v>
      </c>
      <c r="Q1429">
        <v>0</v>
      </c>
      <c r="R1429">
        <v>0</v>
      </c>
      <c r="S1429">
        <v>0</v>
      </c>
      <c r="T1429">
        <v>2</v>
      </c>
      <c r="U1429">
        <v>7</v>
      </c>
      <c r="V1429">
        <v>24</v>
      </c>
      <c r="W1429">
        <v>18</v>
      </c>
      <c r="X1429">
        <v>18</v>
      </c>
      <c r="Y1429">
        <v>22</v>
      </c>
      <c r="Z1429">
        <v>6</v>
      </c>
      <c r="AA1429">
        <v>5</v>
      </c>
      <c r="AB1429">
        <v>1</v>
      </c>
      <c r="AC1429">
        <v>2</v>
      </c>
      <c r="AD1429">
        <v>10</v>
      </c>
      <c r="AE1429">
        <v>12</v>
      </c>
      <c r="AF1429">
        <v>1</v>
      </c>
      <c r="AG1429">
        <v>4</v>
      </c>
      <c r="AH1429">
        <v>2</v>
      </c>
      <c r="AI1429">
        <v>1</v>
      </c>
    </row>
    <row r="1430" spans="1:35" hidden="1" x14ac:dyDescent="0.25">
      <c r="A1430">
        <v>2020</v>
      </c>
      <c r="B1430" s="1">
        <v>44170</v>
      </c>
      <c r="C1430">
        <v>24</v>
      </c>
      <c r="D1430">
        <v>0</v>
      </c>
      <c r="E1430">
        <v>20120</v>
      </c>
      <c r="F1430" t="s">
        <v>419</v>
      </c>
      <c r="G1430" t="s">
        <v>95</v>
      </c>
      <c r="H1430" t="s">
        <v>71</v>
      </c>
      <c r="I1430" t="s">
        <v>97</v>
      </c>
      <c r="J1430">
        <v>6</v>
      </c>
      <c r="K1430">
        <v>4</v>
      </c>
      <c r="L1430">
        <v>36550000</v>
      </c>
      <c r="M1430">
        <v>49600000</v>
      </c>
      <c r="N1430" t="s">
        <v>99</v>
      </c>
      <c r="O1430" t="s">
        <v>209</v>
      </c>
      <c r="P1430">
        <v>2</v>
      </c>
      <c r="Q1430">
        <v>2</v>
      </c>
      <c r="R1430">
        <v>1</v>
      </c>
      <c r="S1430">
        <v>0</v>
      </c>
      <c r="T1430">
        <v>8</v>
      </c>
      <c r="U1430">
        <v>7</v>
      </c>
      <c r="V1430">
        <v>14</v>
      </c>
      <c r="W1430">
        <v>16</v>
      </c>
      <c r="X1430">
        <v>16</v>
      </c>
      <c r="Y1430">
        <v>12</v>
      </c>
      <c r="Z1430">
        <v>3</v>
      </c>
      <c r="AA1430">
        <v>3</v>
      </c>
      <c r="AB1430">
        <v>2</v>
      </c>
      <c r="AC1430">
        <v>0</v>
      </c>
      <c r="AD1430">
        <v>15</v>
      </c>
      <c r="AE1430">
        <v>11</v>
      </c>
      <c r="AF1430">
        <v>8</v>
      </c>
      <c r="AG1430">
        <v>3</v>
      </c>
      <c r="AH1430">
        <v>0</v>
      </c>
      <c r="AI1430">
        <v>0</v>
      </c>
    </row>
    <row r="1431" spans="1:35" hidden="1" x14ac:dyDescent="0.25">
      <c r="A1431">
        <v>2020</v>
      </c>
      <c r="B1431" s="1">
        <v>44220</v>
      </c>
      <c r="C1431">
        <v>32</v>
      </c>
      <c r="D1431">
        <v>0</v>
      </c>
      <c r="E1431">
        <v>20120</v>
      </c>
      <c r="F1431" t="s">
        <v>419</v>
      </c>
      <c r="G1431" t="s">
        <v>416</v>
      </c>
      <c r="H1431" t="s">
        <v>71</v>
      </c>
      <c r="I1431" t="s">
        <v>380</v>
      </c>
      <c r="J1431">
        <v>9</v>
      </c>
      <c r="K1431">
        <v>19</v>
      </c>
      <c r="L1431">
        <v>35550000</v>
      </c>
      <c r="M1431">
        <v>4830000</v>
      </c>
      <c r="N1431" t="s">
        <v>332</v>
      </c>
      <c r="O1431" t="s">
        <v>228</v>
      </c>
      <c r="P1431">
        <v>3</v>
      </c>
      <c r="Q1431">
        <v>4</v>
      </c>
      <c r="R1431">
        <v>2</v>
      </c>
      <c r="S1431">
        <v>0</v>
      </c>
      <c r="T1431">
        <v>11</v>
      </c>
      <c r="U1431">
        <v>3</v>
      </c>
      <c r="V1431">
        <v>11</v>
      </c>
      <c r="W1431">
        <v>19</v>
      </c>
      <c r="X1431">
        <v>19</v>
      </c>
      <c r="Y1431">
        <v>11</v>
      </c>
      <c r="Z1431">
        <v>2</v>
      </c>
      <c r="AA1431">
        <v>5</v>
      </c>
      <c r="AB1431">
        <v>4</v>
      </c>
      <c r="AC1431">
        <v>2</v>
      </c>
      <c r="AD1431">
        <v>20</v>
      </c>
      <c r="AE1431">
        <v>17</v>
      </c>
      <c r="AF1431">
        <v>7</v>
      </c>
      <c r="AG1431">
        <v>8</v>
      </c>
      <c r="AH1431">
        <v>-1</v>
      </c>
      <c r="AI1431">
        <v>0</v>
      </c>
    </row>
    <row r="1432" spans="1:35" hidden="1" x14ac:dyDescent="0.25">
      <c r="A1432">
        <v>2020</v>
      </c>
      <c r="B1432" s="1">
        <v>44244</v>
      </c>
      <c r="C1432">
        <v>33</v>
      </c>
      <c r="D1432">
        <v>0</v>
      </c>
      <c r="E1432">
        <v>20120</v>
      </c>
      <c r="F1432" t="s">
        <v>419</v>
      </c>
      <c r="G1432" t="s">
        <v>88</v>
      </c>
      <c r="H1432" t="s">
        <v>71</v>
      </c>
      <c r="I1432" t="s">
        <v>429</v>
      </c>
      <c r="J1432">
        <v>10</v>
      </c>
      <c r="K1432">
        <v>9</v>
      </c>
      <c r="L1432">
        <v>18550000</v>
      </c>
      <c r="M1432">
        <v>24300000</v>
      </c>
      <c r="N1432" t="s">
        <v>176</v>
      </c>
      <c r="O1432" t="s">
        <v>129</v>
      </c>
      <c r="P1432">
        <v>1</v>
      </c>
      <c r="Q1432">
        <v>0</v>
      </c>
      <c r="R1432">
        <v>0</v>
      </c>
      <c r="S1432">
        <v>0</v>
      </c>
      <c r="T1432">
        <v>6</v>
      </c>
      <c r="U1432">
        <v>5</v>
      </c>
      <c r="V1432">
        <v>24</v>
      </c>
      <c r="W1432">
        <v>25</v>
      </c>
      <c r="X1432">
        <v>24</v>
      </c>
      <c r="Y1432">
        <v>23</v>
      </c>
      <c r="Z1432">
        <v>4</v>
      </c>
      <c r="AA1432">
        <v>4</v>
      </c>
      <c r="AB1432">
        <v>2</v>
      </c>
      <c r="AC1432">
        <v>2</v>
      </c>
      <c r="AD1432">
        <v>11</v>
      </c>
      <c r="AE1432">
        <v>11</v>
      </c>
      <c r="AF1432">
        <v>2</v>
      </c>
      <c r="AG1432">
        <v>4</v>
      </c>
      <c r="AH1432">
        <v>1</v>
      </c>
      <c r="AI1432">
        <v>1</v>
      </c>
    </row>
    <row r="1433" spans="1:35" hidden="1" x14ac:dyDescent="0.25">
      <c r="A1433">
        <v>2020</v>
      </c>
      <c r="B1433" s="1">
        <v>44240</v>
      </c>
      <c r="C1433">
        <v>36</v>
      </c>
      <c r="D1433">
        <v>0</v>
      </c>
      <c r="E1433">
        <v>20120</v>
      </c>
      <c r="F1433" t="s">
        <v>419</v>
      </c>
      <c r="G1433" t="s">
        <v>321</v>
      </c>
      <c r="H1433" t="s">
        <v>71</v>
      </c>
      <c r="I1433" t="s">
        <v>358</v>
      </c>
      <c r="J1433">
        <v>8</v>
      </c>
      <c r="K1433">
        <v>19</v>
      </c>
      <c r="L1433">
        <v>35300000</v>
      </c>
      <c r="M1433">
        <v>5000000</v>
      </c>
      <c r="N1433" t="s">
        <v>221</v>
      </c>
      <c r="O1433" t="s">
        <v>99</v>
      </c>
      <c r="P1433">
        <v>2</v>
      </c>
      <c r="Q1433">
        <v>0</v>
      </c>
      <c r="R1433">
        <v>1</v>
      </c>
      <c r="S1433">
        <v>0</v>
      </c>
      <c r="T1433">
        <v>7</v>
      </c>
      <c r="U1433">
        <v>3</v>
      </c>
      <c r="V1433">
        <v>15</v>
      </c>
      <c r="W1433">
        <v>16</v>
      </c>
      <c r="X1433">
        <v>14</v>
      </c>
      <c r="Y1433">
        <v>15</v>
      </c>
      <c r="Z1433">
        <v>3</v>
      </c>
      <c r="AA1433">
        <v>4</v>
      </c>
      <c r="AB1433">
        <v>3</v>
      </c>
      <c r="AC1433">
        <v>1</v>
      </c>
      <c r="AD1433">
        <v>17</v>
      </c>
      <c r="AE1433">
        <v>8</v>
      </c>
      <c r="AF1433">
        <v>8</v>
      </c>
      <c r="AG1433">
        <v>4</v>
      </c>
      <c r="AH1433">
        <v>2</v>
      </c>
      <c r="AI1433">
        <v>1</v>
      </c>
    </row>
    <row r="1434" spans="1:35" hidden="1" x14ac:dyDescent="0.25">
      <c r="A1434">
        <v>2020</v>
      </c>
      <c r="B1434" s="1">
        <v>44073</v>
      </c>
      <c r="C1434">
        <v>6</v>
      </c>
      <c r="D1434">
        <v>0</v>
      </c>
      <c r="E1434">
        <v>82238</v>
      </c>
      <c r="F1434" t="s">
        <v>55</v>
      </c>
      <c r="G1434" t="s">
        <v>82</v>
      </c>
      <c r="H1434" t="s">
        <v>328</v>
      </c>
      <c r="I1434" t="s">
        <v>426</v>
      </c>
      <c r="J1434">
        <v>8</v>
      </c>
      <c r="K1434">
        <v>2</v>
      </c>
      <c r="L1434">
        <v>19580000</v>
      </c>
      <c r="M1434">
        <v>17600000</v>
      </c>
      <c r="N1434" t="s">
        <v>252</v>
      </c>
      <c r="O1434" t="s">
        <v>135</v>
      </c>
      <c r="P1434">
        <v>2</v>
      </c>
      <c r="Q1434">
        <v>1</v>
      </c>
      <c r="R1434">
        <v>1</v>
      </c>
      <c r="S1434">
        <v>0</v>
      </c>
      <c r="T1434">
        <v>2</v>
      </c>
      <c r="U1434">
        <v>4</v>
      </c>
      <c r="V1434">
        <v>19</v>
      </c>
      <c r="W1434">
        <v>16</v>
      </c>
      <c r="X1434">
        <v>16</v>
      </c>
      <c r="Y1434">
        <v>15</v>
      </c>
      <c r="Z1434">
        <v>3</v>
      </c>
      <c r="AA1434">
        <v>1</v>
      </c>
      <c r="AB1434">
        <v>1</v>
      </c>
      <c r="AC1434">
        <v>1</v>
      </c>
      <c r="AD1434">
        <v>12</v>
      </c>
      <c r="AE1434">
        <v>9</v>
      </c>
      <c r="AF1434">
        <v>6</v>
      </c>
      <c r="AG1434">
        <v>3</v>
      </c>
      <c r="AH1434">
        <v>1</v>
      </c>
      <c r="AI1434">
        <v>1</v>
      </c>
    </row>
    <row r="1435" spans="1:35" hidden="1" x14ac:dyDescent="0.25">
      <c r="A1435">
        <v>2020</v>
      </c>
      <c r="B1435" s="1">
        <v>44077</v>
      </c>
      <c r="C1435">
        <v>7</v>
      </c>
      <c r="D1435">
        <v>0</v>
      </c>
      <c r="E1435">
        <v>82238</v>
      </c>
      <c r="F1435" t="s">
        <v>55</v>
      </c>
      <c r="G1435" t="s">
        <v>76</v>
      </c>
      <c r="H1435" t="s">
        <v>328</v>
      </c>
      <c r="I1435" t="s">
        <v>429</v>
      </c>
      <c r="J1435">
        <v>5</v>
      </c>
      <c r="K1435">
        <v>18</v>
      </c>
      <c r="L1435">
        <v>20830000</v>
      </c>
      <c r="M1435">
        <v>7430000</v>
      </c>
      <c r="N1435" t="s">
        <v>120</v>
      </c>
      <c r="O1435" t="s">
        <v>202</v>
      </c>
      <c r="P1435">
        <v>1</v>
      </c>
      <c r="Q1435">
        <v>1</v>
      </c>
      <c r="R1435">
        <v>1</v>
      </c>
      <c r="S1435">
        <v>0</v>
      </c>
      <c r="T1435">
        <v>2</v>
      </c>
      <c r="U1435">
        <v>9</v>
      </c>
      <c r="V1435">
        <v>14</v>
      </c>
      <c r="W1435">
        <v>16</v>
      </c>
      <c r="X1435">
        <v>16</v>
      </c>
      <c r="Y1435">
        <v>13</v>
      </c>
      <c r="Z1435">
        <v>2</v>
      </c>
      <c r="AA1435">
        <v>3</v>
      </c>
      <c r="AB1435">
        <v>0</v>
      </c>
      <c r="AC1435">
        <v>1</v>
      </c>
      <c r="AD1435">
        <v>11</v>
      </c>
      <c r="AE1435">
        <v>15</v>
      </c>
      <c r="AF1435">
        <v>4</v>
      </c>
      <c r="AG1435">
        <v>9</v>
      </c>
      <c r="AH1435">
        <v>0</v>
      </c>
      <c r="AI1435">
        <v>0</v>
      </c>
    </row>
    <row r="1436" spans="1:35" hidden="1" x14ac:dyDescent="0.25">
      <c r="A1436">
        <v>2020</v>
      </c>
      <c r="B1436" s="1">
        <v>44087</v>
      </c>
      <c r="C1436">
        <v>10</v>
      </c>
      <c r="D1436">
        <v>0</v>
      </c>
      <c r="E1436">
        <v>82238</v>
      </c>
      <c r="F1436" t="s">
        <v>55</v>
      </c>
      <c r="G1436" t="s">
        <v>88</v>
      </c>
      <c r="H1436" t="s">
        <v>328</v>
      </c>
      <c r="I1436" t="s">
        <v>436</v>
      </c>
      <c r="J1436">
        <v>12</v>
      </c>
      <c r="K1436">
        <v>15</v>
      </c>
      <c r="L1436">
        <v>18000000</v>
      </c>
      <c r="M1436">
        <v>29800000</v>
      </c>
      <c r="N1436" t="s">
        <v>107</v>
      </c>
      <c r="O1436" t="s">
        <v>168</v>
      </c>
      <c r="P1436">
        <v>2</v>
      </c>
      <c r="Q1436">
        <v>1</v>
      </c>
      <c r="R1436">
        <v>1</v>
      </c>
      <c r="S1436">
        <v>0</v>
      </c>
      <c r="T1436">
        <v>5</v>
      </c>
      <c r="U1436">
        <v>8</v>
      </c>
      <c r="V1436">
        <v>14</v>
      </c>
      <c r="W1436">
        <v>15</v>
      </c>
      <c r="X1436">
        <v>14</v>
      </c>
      <c r="Y1436">
        <v>12</v>
      </c>
      <c r="Z1436">
        <v>2</v>
      </c>
      <c r="AA1436">
        <v>1</v>
      </c>
      <c r="AB1436">
        <v>0</v>
      </c>
      <c r="AC1436">
        <v>2</v>
      </c>
      <c r="AD1436">
        <v>15</v>
      </c>
      <c r="AE1436">
        <v>9</v>
      </c>
      <c r="AF1436">
        <v>7</v>
      </c>
      <c r="AG1436">
        <v>5</v>
      </c>
      <c r="AH1436">
        <v>1</v>
      </c>
      <c r="AI1436">
        <v>1</v>
      </c>
    </row>
    <row r="1437" spans="1:35" hidden="1" x14ac:dyDescent="0.25">
      <c r="A1437">
        <v>2020</v>
      </c>
      <c r="B1437" s="1">
        <v>44103</v>
      </c>
      <c r="C1437">
        <v>12</v>
      </c>
      <c r="D1437">
        <v>0</v>
      </c>
      <c r="E1437">
        <v>42238</v>
      </c>
      <c r="F1437" t="s">
        <v>55</v>
      </c>
      <c r="G1437" t="s">
        <v>321</v>
      </c>
      <c r="J1437">
        <v>11</v>
      </c>
      <c r="K1437">
        <v>17</v>
      </c>
      <c r="P1437">
        <v>4</v>
      </c>
      <c r="Q1437">
        <v>0</v>
      </c>
      <c r="R1437">
        <v>1</v>
      </c>
      <c r="S1437">
        <v>0</v>
      </c>
      <c r="T1437">
        <v>5</v>
      </c>
      <c r="U1437">
        <v>4</v>
      </c>
      <c r="V1437">
        <v>16</v>
      </c>
      <c r="W1437">
        <v>19</v>
      </c>
      <c r="X1437">
        <v>18</v>
      </c>
      <c r="Y1437">
        <v>14</v>
      </c>
      <c r="Z1437">
        <v>1</v>
      </c>
      <c r="AA1437">
        <v>3</v>
      </c>
      <c r="AB1437">
        <v>0</v>
      </c>
      <c r="AC1437">
        <v>3</v>
      </c>
      <c r="AD1437">
        <v>15</v>
      </c>
      <c r="AE1437">
        <v>10</v>
      </c>
      <c r="AF1437">
        <v>4</v>
      </c>
      <c r="AG1437">
        <v>5</v>
      </c>
      <c r="AH1437">
        <v>4</v>
      </c>
      <c r="AI1437">
        <v>1</v>
      </c>
    </row>
    <row r="1438" spans="1:35" hidden="1" x14ac:dyDescent="0.25">
      <c r="A1438">
        <v>2020</v>
      </c>
      <c r="B1438" s="1">
        <v>44115</v>
      </c>
      <c r="C1438">
        <v>15</v>
      </c>
      <c r="D1438">
        <v>0</v>
      </c>
      <c r="E1438">
        <v>82238</v>
      </c>
      <c r="F1438" t="s">
        <v>55</v>
      </c>
      <c r="G1438" t="s">
        <v>38</v>
      </c>
      <c r="H1438" t="s">
        <v>328</v>
      </c>
      <c r="I1438" t="s">
        <v>240</v>
      </c>
      <c r="J1438">
        <v>6</v>
      </c>
      <c r="K1438">
        <v>13</v>
      </c>
      <c r="L1438">
        <v>11350000</v>
      </c>
      <c r="M1438">
        <v>11700000</v>
      </c>
      <c r="N1438" t="s">
        <v>296</v>
      </c>
      <c r="O1438" t="s">
        <v>105</v>
      </c>
      <c r="P1438">
        <v>1</v>
      </c>
      <c r="Q1438">
        <v>0</v>
      </c>
      <c r="R1438">
        <v>0</v>
      </c>
      <c r="S1438">
        <v>0</v>
      </c>
      <c r="T1438">
        <v>3</v>
      </c>
      <c r="U1438">
        <v>4</v>
      </c>
      <c r="V1438">
        <v>26</v>
      </c>
      <c r="W1438">
        <v>18</v>
      </c>
      <c r="X1438">
        <v>18</v>
      </c>
      <c r="Y1438">
        <v>26</v>
      </c>
      <c r="Z1438">
        <v>1</v>
      </c>
      <c r="AA1438">
        <v>1</v>
      </c>
      <c r="AB1438">
        <v>0</v>
      </c>
      <c r="AC1438">
        <v>0</v>
      </c>
      <c r="AD1438">
        <v>8</v>
      </c>
      <c r="AE1438">
        <v>12</v>
      </c>
      <c r="AF1438">
        <v>5</v>
      </c>
      <c r="AG1438">
        <v>7</v>
      </c>
      <c r="AH1438">
        <v>1</v>
      </c>
      <c r="AI1438">
        <v>1</v>
      </c>
    </row>
    <row r="1439" spans="1:35" hidden="1" x14ac:dyDescent="0.25">
      <c r="A1439">
        <v>2020</v>
      </c>
      <c r="B1439" s="1">
        <v>44165</v>
      </c>
      <c r="C1439">
        <v>23</v>
      </c>
      <c r="D1439">
        <v>0</v>
      </c>
      <c r="E1439">
        <v>82238</v>
      </c>
      <c r="F1439" t="s">
        <v>55</v>
      </c>
      <c r="G1439" t="s">
        <v>56</v>
      </c>
      <c r="H1439" t="s">
        <v>328</v>
      </c>
      <c r="I1439" t="s">
        <v>341</v>
      </c>
      <c r="J1439">
        <v>6</v>
      </c>
      <c r="K1439">
        <v>13</v>
      </c>
      <c r="L1439">
        <v>16100000</v>
      </c>
      <c r="M1439">
        <v>24050000</v>
      </c>
      <c r="N1439" t="s">
        <v>122</v>
      </c>
      <c r="O1439" t="s">
        <v>217</v>
      </c>
      <c r="P1439">
        <v>0</v>
      </c>
      <c r="Q1439">
        <v>0</v>
      </c>
      <c r="R1439">
        <v>0</v>
      </c>
      <c r="S1439">
        <v>0</v>
      </c>
      <c r="T1439">
        <v>5</v>
      </c>
      <c r="U1439">
        <v>5</v>
      </c>
      <c r="V1439">
        <v>15</v>
      </c>
      <c r="W1439">
        <v>21</v>
      </c>
      <c r="X1439">
        <v>21</v>
      </c>
      <c r="Y1439">
        <v>15</v>
      </c>
      <c r="Z1439">
        <v>4</v>
      </c>
      <c r="AA1439">
        <v>1</v>
      </c>
      <c r="AB1439">
        <v>4</v>
      </c>
      <c r="AC1439">
        <v>0</v>
      </c>
      <c r="AD1439">
        <v>7</v>
      </c>
      <c r="AE1439">
        <v>11</v>
      </c>
      <c r="AF1439">
        <v>3</v>
      </c>
      <c r="AG1439">
        <v>3</v>
      </c>
      <c r="AH1439">
        <v>0</v>
      </c>
      <c r="AI1439">
        <v>0</v>
      </c>
    </row>
    <row r="1440" spans="1:35" hidden="1" x14ac:dyDescent="0.25">
      <c r="A1440">
        <v>2020</v>
      </c>
      <c r="B1440" s="1">
        <v>44212</v>
      </c>
      <c r="C1440">
        <v>30</v>
      </c>
      <c r="D1440">
        <v>0</v>
      </c>
      <c r="E1440">
        <v>46000</v>
      </c>
      <c r="F1440" t="s">
        <v>55</v>
      </c>
      <c r="G1440" t="s">
        <v>391</v>
      </c>
      <c r="H1440" t="s">
        <v>223</v>
      </c>
      <c r="I1440" t="s">
        <v>78</v>
      </c>
      <c r="J1440">
        <v>7</v>
      </c>
      <c r="K1440">
        <v>15</v>
      </c>
      <c r="L1440">
        <v>10550000</v>
      </c>
      <c r="M1440">
        <v>6900000</v>
      </c>
      <c r="N1440" t="s">
        <v>116</v>
      </c>
      <c r="O1440" t="s">
        <v>114</v>
      </c>
      <c r="P1440">
        <v>1</v>
      </c>
      <c r="Q1440">
        <v>0</v>
      </c>
      <c r="R1440">
        <v>0</v>
      </c>
      <c r="S1440">
        <v>0</v>
      </c>
      <c r="T1440">
        <v>5</v>
      </c>
      <c r="U1440">
        <v>4</v>
      </c>
      <c r="V1440">
        <v>23</v>
      </c>
      <c r="W1440">
        <v>18</v>
      </c>
      <c r="X1440">
        <v>17</v>
      </c>
      <c r="Y1440">
        <v>23</v>
      </c>
      <c r="Z1440">
        <v>0</v>
      </c>
      <c r="AA1440">
        <v>1</v>
      </c>
      <c r="AB1440">
        <v>2</v>
      </c>
      <c r="AC1440">
        <v>1</v>
      </c>
      <c r="AD1440">
        <v>11</v>
      </c>
      <c r="AE1440">
        <v>10</v>
      </c>
      <c r="AF1440">
        <v>8</v>
      </c>
      <c r="AG1440">
        <v>7</v>
      </c>
      <c r="AH1440">
        <v>1</v>
      </c>
      <c r="AI1440">
        <v>1</v>
      </c>
    </row>
    <row r="1441" spans="1:35" hidden="1" x14ac:dyDescent="0.25">
      <c r="A1441">
        <v>2020</v>
      </c>
      <c r="B1441" s="1">
        <v>44221</v>
      </c>
      <c r="C1441">
        <v>32</v>
      </c>
      <c r="D1441">
        <v>0</v>
      </c>
      <c r="E1441">
        <v>24500</v>
      </c>
      <c r="F1441" t="s">
        <v>55</v>
      </c>
      <c r="G1441" t="s">
        <v>51</v>
      </c>
      <c r="H1441" t="s">
        <v>223</v>
      </c>
      <c r="I1441" t="s">
        <v>367</v>
      </c>
      <c r="J1441">
        <v>7</v>
      </c>
      <c r="K1441">
        <v>20</v>
      </c>
      <c r="L1441">
        <v>11700000</v>
      </c>
      <c r="M1441">
        <v>8900000</v>
      </c>
      <c r="N1441">
        <v>26</v>
      </c>
      <c r="O1441" t="s">
        <v>221</v>
      </c>
      <c r="P1441">
        <v>2</v>
      </c>
      <c r="Q1441">
        <v>0</v>
      </c>
      <c r="R1441">
        <v>0</v>
      </c>
      <c r="S1441">
        <v>0</v>
      </c>
      <c r="T1441">
        <v>2</v>
      </c>
      <c r="U1441">
        <v>1</v>
      </c>
      <c r="V1441">
        <v>20</v>
      </c>
      <c r="W1441">
        <v>20</v>
      </c>
      <c r="X1441">
        <v>19</v>
      </c>
      <c r="Y1441">
        <v>19</v>
      </c>
      <c r="Z1441">
        <v>0</v>
      </c>
      <c r="AA1441">
        <v>3</v>
      </c>
      <c r="AB1441">
        <v>0</v>
      </c>
      <c r="AC1441">
        <v>1</v>
      </c>
      <c r="AD1441">
        <v>12</v>
      </c>
      <c r="AE1441">
        <v>5</v>
      </c>
      <c r="AF1441">
        <v>5</v>
      </c>
      <c r="AG1441">
        <v>3</v>
      </c>
      <c r="AH1441">
        <v>2</v>
      </c>
      <c r="AI1441">
        <v>1</v>
      </c>
    </row>
    <row r="1442" spans="1:35" hidden="1" x14ac:dyDescent="0.25">
      <c r="A1442">
        <v>2020</v>
      </c>
      <c r="B1442" s="1">
        <v>44228</v>
      </c>
      <c r="C1442">
        <v>33</v>
      </c>
      <c r="D1442">
        <v>0</v>
      </c>
      <c r="E1442">
        <v>46000</v>
      </c>
      <c r="F1442" t="s">
        <v>55</v>
      </c>
      <c r="G1442" t="s">
        <v>416</v>
      </c>
      <c r="H1442" t="s">
        <v>223</v>
      </c>
      <c r="I1442" t="s">
        <v>380</v>
      </c>
      <c r="J1442">
        <v>7</v>
      </c>
      <c r="K1442">
        <v>18</v>
      </c>
      <c r="L1442">
        <v>12400000</v>
      </c>
      <c r="M1442">
        <v>5730000</v>
      </c>
      <c r="N1442" t="s">
        <v>137</v>
      </c>
      <c r="O1442" t="s">
        <v>163</v>
      </c>
      <c r="P1442">
        <v>3</v>
      </c>
      <c r="Q1442">
        <v>0</v>
      </c>
      <c r="R1442">
        <v>3</v>
      </c>
      <c r="S1442">
        <v>0</v>
      </c>
      <c r="T1442">
        <v>7</v>
      </c>
      <c r="U1442">
        <v>2</v>
      </c>
      <c r="V1442">
        <v>9</v>
      </c>
      <c r="W1442">
        <v>15</v>
      </c>
      <c r="X1442">
        <v>14</v>
      </c>
      <c r="Y1442">
        <v>8</v>
      </c>
      <c r="Z1442">
        <v>0</v>
      </c>
      <c r="AA1442">
        <v>3</v>
      </c>
      <c r="AB1442">
        <v>1</v>
      </c>
      <c r="AC1442">
        <v>0</v>
      </c>
      <c r="AD1442">
        <v>17</v>
      </c>
      <c r="AE1442">
        <v>12</v>
      </c>
      <c r="AF1442">
        <v>10</v>
      </c>
      <c r="AG1442">
        <v>9</v>
      </c>
      <c r="AH1442">
        <v>3</v>
      </c>
      <c r="AI1442">
        <v>1</v>
      </c>
    </row>
    <row r="1443" spans="1:35" hidden="1" x14ac:dyDescent="0.25">
      <c r="A1443">
        <v>2020</v>
      </c>
      <c r="B1443" s="1">
        <v>44238</v>
      </c>
      <c r="C1443">
        <v>35</v>
      </c>
      <c r="D1443">
        <v>0</v>
      </c>
      <c r="E1443">
        <v>82238</v>
      </c>
      <c r="F1443" t="s">
        <v>55</v>
      </c>
      <c r="G1443" t="s">
        <v>89</v>
      </c>
      <c r="H1443" t="s">
        <v>223</v>
      </c>
      <c r="I1443" t="s">
        <v>329</v>
      </c>
      <c r="J1443">
        <v>5</v>
      </c>
      <c r="K1443">
        <v>3</v>
      </c>
      <c r="L1443">
        <v>11400000</v>
      </c>
      <c r="M1443">
        <v>36300000</v>
      </c>
      <c r="N1443" t="s">
        <v>86</v>
      </c>
      <c r="O1443" t="s">
        <v>168</v>
      </c>
      <c r="P1443">
        <v>0</v>
      </c>
      <c r="Q1443">
        <v>0</v>
      </c>
      <c r="R1443">
        <v>0</v>
      </c>
      <c r="S1443">
        <v>0</v>
      </c>
      <c r="T1443">
        <v>6</v>
      </c>
      <c r="U1443">
        <v>6</v>
      </c>
      <c r="V1443">
        <v>8</v>
      </c>
      <c r="W1443">
        <v>13</v>
      </c>
      <c r="X1443">
        <v>11</v>
      </c>
      <c r="Y1443">
        <v>6</v>
      </c>
      <c r="Z1443">
        <v>1</v>
      </c>
      <c r="AA1443">
        <v>3</v>
      </c>
      <c r="AB1443">
        <v>3</v>
      </c>
      <c r="AC1443">
        <v>1</v>
      </c>
      <c r="AD1443">
        <v>10</v>
      </c>
      <c r="AE1443">
        <v>8</v>
      </c>
      <c r="AF1443">
        <v>4</v>
      </c>
      <c r="AG1443">
        <v>4</v>
      </c>
      <c r="AH1443">
        <v>0</v>
      </c>
      <c r="AI1443">
        <v>0</v>
      </c>
    </row>
    <row r="1444" spans="1:35" hidden="1" x14ac:dyDescent="0.25">
      <c r="A1444">
        <v>2020</v>
      </c>
      <c r="B1444" s="1">
        <v>44253</v>
      </c>
      <c r="C1444">
        <v>38</v>
      </c>
      <c r="D1444">
        <v>0</v>
      </c>
      <c r="E1444">
        <v>82238</v>
      </c>
      <c r="F1444" t="s">
        <v>55</v>
      </c>
      <c r="G1444" t="s">
        <v>63</v>
      </c>
      <c r="H1444" t="s">
        <v>223</v>
      </c>
      <c r="I1444" t="s">
        <v>420</v>
      </c>
      <c r="J1444">
        <v>5</v>
      </c>
      <c r="K1444">
        <v>16</v>
      </c>
      <c r="L1444">
        <v>11450000</v>
      </c>
      <c r="M1444">
        <v>6700000</v>
      </c>
      <c r="N1444" t="s">
        <v>137</v>
      </c>
      <c r="O1444" t="s">
        <v>205</v>
      </c>
      <c r="P1444">
        <v>2</v>
      </c>
      <c r="Q1444">
        <v>0</v>
      </c>
      <c r="R1444">
        <v>1</v>
      </c>
      <c r="S1444">
        <v>0</v>
      </c>
      <c r="T1444">
        <v>3</v>
      </c>
      <c r="U1444">
        <v>5</v>
      </c>
      <c r="V1444">
        <v>10</v>
      </c>
      <c r="W1444">
        <v>12</v>
      </c>
      <c r="X1444">
        <v>12</v>
      </c>
      <c r="Y1444">
        <v>9</v>
      </c>
      <c r="Z1444">
        <v>2</v>
      </c>
      <c r="AA1444">
        <v>1</v>
      </c>
      <c r="AB1444">
        <v>0</v>
      </c>
      <c r="AC1444">
        <v>1</v>
      </c>
      <c r="AD1444">
        <v>9</v>
      </c>
      <c r="AE1444">
        <v>9</v>
      </c>
      <c r="AF1444">
        <v>2</v>
      </c>
      <c r="AG1444">
        <v>7</v>
      </c>
      <c r="AH1444">
        <v>2</v>
      </c>
      <c r="AI1444">
        <v>1</v>
      </c>
    </row>
    <row r="1445" spans="1:35" hidden="1" x14ac:dyDescent="0.25">
      <c r="A1445">
        <v>2020</v>
      </c>
      <c r="B1445" s="1">
        <v>44057</v>
      </c>
      <c r="C1445">
        <v>2</v>
      </c>
      <c r="D1445">
        <v>0</v>
      </c>
      <c r="E1445">
        <v>67428</v>
      </c>
      <c r="F1445" t="s">
        <v>62</v>
      </c>
      <c r="G1445" t="s">
        <v>63</v>
      </c>
      <c r="H1445" t="s">
        <v>57</v>
      </c>
      <c r="I1445" t="s">
        <v>40</v>
      </c>
      <c r="J1445">
        <v>1</v>
      </c>
      <c r="K1445">
        <v>19</v>
      </c>
      <c r="L1445">
        <v>27300000</v>
      </c>
      <c r="M1445">
        <v>6780000</v>
      </c>
      <c r="N1445" t="s">
        <v>129</v>
      </c>
      <c r="O1445" t="s">
        <v>86</v>
      </c>
      <c r="P1445">
        <v>1</v>
      </c>
      <c r="Q1445">
        <v>0</v>
      </c>
      <c r="R1445">
        <v>1</v>
      </c>
      <c r="S1445">
        <v>0</v>
      </c>
      <c r="T1445">
        <v>6</v>
      </c>
      <c r="U1445">
        <v>7</v>
      </c>
      <c r="V1445">
        <v>16</v>
      </c>
      <c r="W1445">
        <v>18</v>
      </c>
      <c r="X1445">
        <v>17</v>
      </c>
      <c r="Y1445">
        <v>14</v>
      </c>
      <c r="Z1445">
        <v>3</v>
      </c>
      <c r="AA1445">
        <v>2</v>
      </c>
      <c r="AB1445">
        <v>4</v>
      </c>
      <c r="AC1445">
        <v>3</v>
      </c>
      <c r="AD1445">
        <v>13</v>
      </c>
      <c r="AE1445">
        <v>12</v>
      </c>
      <c r="AF1445">
        <v>7</v>
      </c>
      <c r="AG1445">
        <v>6</v>
      </c>
      <c r="AH1445">
        <v>1</v>
      </c>
      <c r="AI1445">
        <v>1</v>
      </c>
    </row>
    <row r="1446" spans="1:35" hidden="1" x14ac:dyDescent="0.25">
      <c r="A1446">
        <v>2020</v>
      </c>
      <c r="B1446" s="1">
        <v>44084</v>
      </c>
      <c r="C1446">
        <v>9</v>
      </c>
      <c r="D1446">
        <v>0</v>
      </c>
      <c r="E1446">
        <v>67428</v>
      </c>
      <c r="F1446" t="s">
        <v>62</v>
      </c>
      <c r="G1446" t="s">
        <v>56</v>
      </c>
      <c r="H1446" t="s">
        <v>57</v>
      </c>
      <c r="I1446" t="s">
        <v>341</v>
      </c>
      <c r="J1446">
        <v>2</v>
      </c>
      <c r="K1446">
        <v>19</v>
      </c>
      <c r="L1446">
        <v>29000000</v>
      </c>
      <c r="M1446">
        <v>17200000</v>
      </c>
      <c r="N1446" t="s">
        <v>99</v>
      </c>
      <c r="O1446">
        <v>26</v>
      </c>
      <c r="P1446">
        <v>1</v>
      </c>
      <c r="Q1446">
        <v>1</v>
      </c>
      <c r="R1446">
        <v>0</v>
      </c>
      <c r="S1446">
        <v>0</v>
      </c>
      <c r="T1446">
        <v>5</v>
      </c>
      <c r="U1446">
        <v>1</v>
      </c>
      <c r="V1446">
        <v>18</v>
      </c>
      <c r="W1446">
        <v>18</v>
      </c>
      <c r="X1446">
        <v>16</v>
      </c>
      <c r="Y1446">
        <v>15</v>
      </c>
      <c r="Z1446">
        <v>1</v>
      </c>
      <c r="AA1446">
        <v>3</v>
      </c>
      <c r="AB1446">
        <v>5</v>
      </c>
      <c r="AC1446">
        <v>2</v>
      </c>
      <c r="AD1446">
        <v>14</v>
      </c>
      <c r="AE1446">
        <v>10</v>
      </c>
      <c r="AF1446">
        <v>5</v>
      </c>
      <c r="AG1446">
        <v>5</v>
      </c>
      <c r="AH1446">
        <v>0</v>
      </c>
      <c r="AI1446">
        <v>0</v>
      </c>
    </row>
    <row r="1447" spans="1:35" hidden="1" x14ac:dyDescent="0.25">
      <c r="A1447">
        <v>2020</v>
      </c>
      <c r="B1447" s="1">
        <v>44070</v>
      </c>
      <c r="C1447">
        <v>11</v>
      </c>
      <c r="D1447">
        <v>0</v>
      </c>
      <c r="E1447">
        <v>67428</v>
      </c>
      <c r="F1447" t="s">
        <v>62</v>
      </c>
      <c r="G1447" t="s">
        <v>69</v>
      </c>
      <c r="H1447" t="s">
        <v>57</v>
      </c>
      <c r="I1447" t="s">
        <v>315</v>
      </c>
      <c r="J1447">
        <v>4</v>
      </c>
      <c r="K1447">
        <v>9</v>
      </c>
      <c r="L1447">
        <v>19800000</v>
      </c>
      <c r="M1447">
        <v>14050000</v>
      </c>
      <c r="N1447" t="s">
        <v>163</v>
      </c>
      <c r="O1447" t="s">
        <v>60</v>
      </c>
      <c r="P1447">
        <v>1</v>
      </c>
      <c r="Q1447">
        <v>0</v>
      </c>
      <c r="R1447">
        <v>0</v>
      </c>
      <c r="S1447">
        <v>0</v>
      </c>
      <c r="T1447">
        <v>4</v>
      </c>
      <c r="U1447">
        <v>1</v>
      </c>
      <c r="V1447">
        <v>13</v>
      </c>
      <c r="W1447">
        <v>16</v>
      </c>
      <c r="X1447">
        <v>14</v>
      </c>
      <c r="Y1447">
        <v>13</v>
      </c>
      <c r="Z1447">
        <v>3</v>
      </c>
      <c r="AA1447">
        <v>5</v>
      </c>
      <c r="AB1447">
        <v>3</v>
      </c>
      <c r="AC1447">
        <v>1</v>
      </c>
      <c r="AD1447">
        <v>16</v>
      </c>
      <c r="AE1447">
        <v>5</v>
      </c>
      <c r="AF1447">
        <v>8</v>
      </c>
      <c r="AG1447">
        <v>2</v>
      </c>
      <c r="AH1447">
        <v>1</v>
      </c>
      <c r="AI1447">
        <v>1</v>
      </c>
    </row>
    <row r="1448" spans="1:35" hidden="1" x14ac:dyDescent="0.25">
      <c r="A1448">
        <v>2020</v>
      </c>
      <c r="B1448" s="1">
        <v>44112</v>
      </c>
      <c r="C1448">
        <v>14</v>
      </c>
      <c r="D1448">
        <v>0</v>
      </c>
      <c r="E1448">
        <v>67428</v>
      </c>
      <c r="F1448" t="s">
        <v>62</v>
      </c>
      <c r="G1448" t="s">
        <v>76</v>
      </c>
      <c r="H1448" t="s">
        <v>57</v>
      </c>
      <c r="I1448" t="s">
        <v>429</v>
      </c>
      <c r="J1448">
        <v>3</v>
      </c>
      <c r="K1448">
        <v>13</v>
      </c>
      <c r="L1448">
        <v>27000000</v>
      </c>
      <c r="M1448">
        <v>7650000</v>
      </c>
      <c r="N1448" t="s">
        <v>116</v>
      </c>
      <c r="O1448">
        <v>26</v>
      </c>
      <c r="P1448">
        <v>3</v>
      </c>
      <c r="Q1448">
        <v>0</v>
      </c>
      <c r="R1448">
        <v>1</v>
      </c>
      <c r="S1448">
        <v>0</v>
      </c>
      <c r="T1448">
        <v>5</v>
      </c>
      <c r="U1448">
        <v>3</v>
      </c>
      <c r="V1448">
        <v>17</v>
      </c>
      <c r="W1448">
        <v>12</v>
      </c>
      <c r="X1448">
        <v>12</v>
      </c>
      <c r="Y1448">
        <v>17</v>
      </c>
      <c r="Z1448">
        <v>5</v>
      </c>
      <c r="AA1448">
        <v>6</v>
      </c>
      <c r="AB1448">
        <v>1</v>
      </c>
      <c r="AC1448">
        <v>2</v>
      </c>
      <c r="AD1448">
        <v>25</v>
      </c>
      <c r="AE1448">
        <v>15</v>
      </c>
      <c r="AF1448">
        <v>8</v>
      </c>
      <c r="AG1448">
        <v>8</v>
      </c>
      <c r="AH1448">
        <v>3</v>
      </c>
      <c r="AI1448">
        <v>1</v>
      </c>
    </row>
    <row r="1449" spans="1:35" hidden="1" x14ac:dyDescent="0.25">
      <c r="A1449">
        <v>2020</v>
      </c>
      <c r="B1449" s="1">
        <v>44122</v>
      </c>
      <c r="C1449">
        <v>17</v>
      </c>
      <c r="D1449">
        <v>0</v>
      </c>
      <c r="E1449">
        <v>67428</v>
      </c>
      <c r="F1449" t="s">
        <v>62</v>
      </c>
      <c r="G1449" t="s">
        <v>83</v>
      </c>
      <c r="H1449" t="s">
        <v>57</v>
      </c>
      <c r="I1449" t="s">
        <v>85</v>
      </c>
      <c r="J1449">
        <v>4</v>
      </c>
      <c r="K1449">
        <v>7</v>
      </c>
      <c r="L1449">
        <v>31200000</v>
      </c>
      <c r="M1449">
        <v>48100000</v>
      </c>
      <c r="N1449" t="s">
        <v>149</v>
      </c>
      <c r="O1449" t="s">
        <v>123</v>
      </c>
      <c r="P1449">
        <v>0</v>
      </c>
      <c r="Q1449">
        <v>0</v>
      </c>
      <c r="R1449">
        <v>0</v>
      </c>
      <c r="S1449">
        <v>0</v>
      </c>
      <c r="T1449">
        <v>2</v>
      </c>
      <c r="U1449">
        <v>7</v>
      </c>
      <c r="V1449">
        <v>24</v>
      </c>
      <c r="W1449">
        <v>15</v>
      </c>
      <c r="X1449">
        <v>15</v>
      </c>
      <c r="Y1449">
        <v>23</v>
      </c>
      <c r="Z1449">
        <v>2</v>
      </c>
      <c r="AA1449">
        <v>1</v>
      </c>
      <c r="AB1449">
        <v>1</v>
      </c>
      <c r="AC1449">
        <v>2</v>
      </c>
      <c r="AD1449">
        <v>8</v>
      </c>
      <c r="AE1449">
        <v>11</v>
      </c>
      <c r="AF1449">
        <v>7</v>
      </c>
      <c r="AG1449">
        <v>6</v>
      </c>
      <c r="AH1449">
        <v>0</v>
      </c>
      <c r="AI1449">
        <v>0</v>
      </c>
    </row>
    <row r="1450" spans="1:35" hidden="1" x14ac:dyDescent="0.25">
      <c r="A1450">
        <v>2020</v>
      </c>
      <c r="B1450" s="1">
        <v>44175</v>
      </c>
      <c r="C1450">
        <v>18</v>
      </c>
      <c r="D1450">
        <v>0</v>
      </c>
      <c r="E1450">
        <v>67428</v>
      </c>
      <c r="F1450" t="s">
        <v>62</v>
      </c>
      <c r="G1450" t="s">
        <v>51</v>
      </c>
      <c r="H1450" t="s">
        <v>57</v>
      </c>
      <c r="I1450" t="s">
        <v>423</v>
      </c>
      <c r="J1450">
        <v>4</v>
      </c>
      <c r="K1450">
        <v>16</v>
      </c>
      <c r="L1450">
        <v>31000000</v>
      </c>
      <c r="M1450">
        <v>10850000</v>
      </c>
      <c r="N1450" t="s">
        <v>163</v>
      </c>
      <c r="O1450" t="s">
        <v>163</v>
      </c>
      <c r="P1450">
        <v>4</v>
      </c>
      <c r="Q1450">
        <v>0</v>
      </c>
      <c r="R1450">
        <v>3</v>
      </c>
      <c r="S1450">
        <v>0</v>
      </c>
      <c r="T1450">
        <v>12</v>
      </c>
      <c r="U1450">
        <v>0</v>
      </c>
      <c r="V1450">
        <v>12</v>
      </c>
      <c r="W1450">
        <v>8</v>
      </c>
      <c r="X1450">
        <v>6</v>
      </c>
      <c r="Y1450">
        <v>12</v>
      </c>
      <c r="Z1450">
        <v>1</v>
      </c>
      <c r="AA1450">
        <v>10</v>
      </c>
      <c r="AB1450">
        <v>1</v>
      </c>
      <c r="AC1450">
        <v>0</v>
      </c>
      <c r="AD1450">
        <v>31</v>
      </c>
      <c r="AE1450">
        <v>8</v>
      </c>
      <c r="AF1450">
        <v>13</v>
      </c>
      <c r="AG1450">
        <v>6</v>
      </c>
      <c r="AH1450">
        <v>4</v>
      </c>
      <c r="AI1450">
        <v>1</v>
      </c>
    </row>
    <row r="1451" spans="1:35" hidden="1" x14ac:dyDescent="0.25">
      <c r="A1451">
        <v>2020</v>
      </c>
      <c r="B1451" s="1">
        <v>44171</v>
      </c>
      <c r="C1451">
        <v>24</v>
      </c>
      <c r="D1451">
        <v>0</v>
      </c>
      <c r="E1451">
        <v>67428</v>
      </c>
      <c r="F1451" t="s">
        <v>62</v>
      </c>
      <c r="G1451" t="s">
        <v>391</v>
      </c>
      <c r="H1451" t="s">
        <v>57</v>
      </c>
      <c r="I1451" t="s">
        <v>78</v>
      </c>
      <c r="J1451">
        <v>1</v>
      </c>
      <c r="K1451">
        <v>16</v>
      </c>
      <c r="L1451">
        <v>28100000</v>
      </c>
      <c r="M1451">
        <v>5500000</v>
      </c>
      <c r="N1451" t="s">
        <v>135</v>
      </c>
      <c r="O1451">
        <v>28</v>
      </c>
      <c r="P1451">
        <v>1</v>
      </c>
      <c r="Q1451">
        <v>0</v>
      </c>
      <c r="R1451">
        <v>1</v>
      </c>
      <c r="S1451">
        <v>0</v>
      </c>
      <c r="T1451">
        <v>11</v>
      </c>
      <c r="U1451">
        <v>1</v>
      </c>
      <c r="V1451">
        <v>17</v>
      </c>
      <c r="W1451">
        <v>16</v>
      </c>
      <c r="X1451">
        <v>15</v>
      </c>
      <c r="Y1451">
        <v>16</v>
      </c>
      <c r="Z1451">
        <v>0</v>
      </c>
      <c r="AA1451">
        <v>6</v>
      </c>
      <c r="AB1451">
        <v>0</v>
      </c>
      <c r="AC1451">
        <v>3</v>
      </c>
      <c r="AD1451">
        <v>13</v>
      </c>
      <c r="AE1451">
        <v>4</v>
      </c>
      <c r="AF1451">
        <v>4</v>
      </c>
      <c r="AG1451">
        <v>4</v>
      </c>
      <c r="AH1451">
        <v>1</v>
      </c>
      <c r="AI1451">
        <v>1</v>
      </c>
    </row>
    <row r="1452" spans="1:35" hidden="1" x14ac:dyDescent="0.25">
      <c r="A1452">
        <v>2020</v>
      </c>
      <c r="B1452" s="1">
        <v>44182</v>
      </c>
      <c r="C1452">
        <v>26</v>
      </c>
      <c r="D1452">
        <v>0</v>
      </c>
      <c r="E1452">
        <v>67428</v>
      </c>
      <c r="F1452" t="s">
        <v>62</v>
      </c>
      <c r="G1452" t="s">
        <v>89</v>
      </c>
      <c r="H1452" t="s">
        <v>57</v>
      </c>
      <c r="I1452" t="s">
        <v>329</v>
      </c>
      <c r="J1452">
        <v>1</v>
      </c>
      <c r="K1452">
        <v>3</v>
      </c>
      <c r="L1452">
        <v>29800000</v>
      </c>
      <c r="M1452">
        <v>28900000</v>
      </c>
      <c r="N1452">
        <v>28</v>
      </c>
      <c r="O1452" t="s">
        <v>99</v>
      </c>
      <c r="P1452">
        <v>3</v>
      </c>
      <c r="Q1452">
        <v>0</v>
      </c>
      <c r="R1452">
        <v>1</v>
      </c>
      <c r="S1452">
        <v>0</v>
      </c>
      <c r="T1452">
        <v>5</v>
      </c>
      <c r="U1452">
        <v>3</v>
      </c>
      <c r="V1452">
        <v>9</v>
      </c>
      <c r="W1452">
        <v>10</v>
      </c>
      <c r="X1452">
        <v>10</v>
      </c>
      <c r="Y1452">
        <v>8</v>
      </c>
      <c r="Z1452">
        <v>6</v>
      </c>
      <c r="AA1452">
        <v>4</v>
      </c>
      <c r="AB1452">
        <v>3</v>
      </c>
      <c r="AC1452">
        <v>3</v>
      </c>
      <c r="AD1452">
        <v>17</v>
      </c>
      <c r="AE1452">
        <v>14</v>
      </c>
      <c r="AF1452">
        <v>7</v>
      </c>
      <c r="AG1452">
        <v>3</v>
      </c>
      <c r="AH1452">
        <v>3</v>
      </c>
      <c r="AI1452">
        <v>1</v>
      </c>
    </row>
    <row r="1453" spans="1:35" hidden="1" x14ac:dyDescent="0.25">
      <c r="A1453">
        <v>2020</v>
      </c>
      <c r="B1453" s="1">
        <v>44206</v>
      </c>
      <c r="C1453">
        <v>29</v>
      </c>
      <c r="D1453">
        <v>0</v>
      </c>
      <c r="E1453">
        <v>67428</v>
      </c>
      <c r="F1453" t="s">
        <v>62</v>
      </c>
      <c r="G1453" t="s">
        <v>419</v>
      </c>
      <c r="H1453" t="s">
        <v>57</v>
      </c>
      <c r="I1453" t="s">
        <v>71</v>
      </c>
      <c r="J1453">
        <v>1</v>
      </c>
      <c r="K1453">
        <v>8</v>
      </c>
      <c r="L1453">
        <v>29100000</v>
      </c>
      <c r="M1453">
        <v>7700000</v>
      </c>
      <c r="N1453" t="s">
        <v>41</v>
      </c>
      <c r="O1453" t="s">
        <v>113</v>
      </c>
      <c r="P1453">
        <v>0</v>
      </c>
      <c r="Q1453">
        <v>1</v>
      </c>
      <c r="R1453">
        <v>0</v>
      </c>
      <c r="S1453">
        <v>0</v>
      </c>
      <c r="T1453">
        <v>8</v>
      </c>
      <c r="U1453">
        <v>3</v>
      </c>
      <c r="V1453">
        <v>19</v>
      </c>
      <c r="W1453">
        <v>21</v>
      </c>
      <c r="X1453">
        <v>21</v>
      </c>
      <c r="Y1453">
        <v>18</v>
      </c>
      <c r="Z1453">
        <v>1</v>
      </c>
      <c r="AA1453">
        <v>5</v>
      </c>
      <c r="AB1453">
        <v>0</v>
      </c>
      <c r="AC1453">
        <v>0</v>
      </c>
      <c r="AD1453">
        <v>26</v>
      </c>
      <c r="AE1453">
        <v>7</v>
      </c>
      <c r="AF1453">
        <v>14</v>
      </c>
      <c r="AG1453">
        <v>1</v>
      </c>
      <c r="AH1453">
        <v>-1</v>
      </c>
      <c r="AI1453">
        <v>0</v>
      </c>
    </row>
    <row r="1454" spans="1:35" hidden="1" x14ac:dyDescent="0.25">
      <c r="A1454">
        <v>2020</v>
      </c>
      <c r="B1454" s="1">
        <v>44219</v>
      </c>
      <c r="C1454">
        <v>32</v>
      </c>
      <c r="D1454">
        <v>0</v>
      </c>
      <c r="E1454">
        <v>67428</v>
      </c>
      <c r="F1454" t="s">
        <v>62</v>
      </c>
      <c r="G1454" t="s">
        <v>321</v>
      </c>
      <c r="H1454" t="s">
        <v>57</v>
      </c>
      <c r="I1454" t="s">
        <v>358</v>
      </c>
      <c r="J1454">
        <v>4</v>
      </c>
      <c r="K1454">
        <v>18</v>
      </c>
      <c r="L1454">
        <v>29100000</v>
      </c>
      <c r="M1454">
        <v>5580000</v>
      </c>
      <c r="N1454" t="s">
        <v>134</v>
      </c>
      <c r="O1454" t="s">
        <v>151</v>
      </c>
      <c r="P1454">
        <v>1</v>
      </c>
      <c r="Q1454">
        <v>1</v>
      </c>
      <c r="R1454">
        <v>0</v>
      </c>
      <c r="S1454">
        <v>0</v>
      </c>
      <c r="T1454">
        <v>7</v>
      </c>
      <c r="U1454">
        <v>2</v>
      </c>
      <c r="V1454">
        <v>19</v>
      </c>
      <c r="W1454">
        <v>16</v>
      </c>
      <c r="X1454">
        <v>16</v>
      </c>
      <c r="Y1454">
        <v>15</v>
      </c>
      <c r="Z1454">
        <v>2</v>
      </c>
      <c r="AA1454">
        <v>5</v>
      </c>
      <c r="AB1454">
        <v>1</v>
      </c>
      <c r="AC1454">
        <v>0</v>
      </c>
      <c r="AD1454">
        <v>18</v>
      </c>
      <c r="AE1454">
        <v>10</v>
      </c>
      <c r="AF1454">
        <v>11</v>
      </c>
      <c r="AG1454">
        <v>5</v>
      </c>
      <c r="AH1454">
        <v>0</v>
      </c>
      <c r="AI1454">
        <v>0</v>
      </c>
    </row>
    <row r="1455" spans="1:35" hidden="1" x14ac:dyDescent="0.25">
      <c r="A1455">
        <v>2020</v>
      </c>
      <c r="B1455" s="1">
        <v>44247</v>
      </c>
      <c r="C1455">
        <v>34</v>
      </c>
      <c r="D1455">
        <v>0</v>
      </c>
      <c r="E1455">
        <v>67428</v>
      </c>
      <c r="F1455" t="s">
        <v>62</v>
      </c>
      <c r="G1455" t="s">
        <v>95</v>
      </c>
      <c r="H1455" t="s">
        <v>418</v>
      </c>
      <c r="I1455" t="s">
        <v>97</v>
      </c>
      <c r="J1455">
        <v>4</v>
      </c>
      <c r="K1455">
        <v>6</v>
      </c>
      <c r="L1455">
        <v>33000000</v>
      </c>
      <c r="M1455">
        <v>40850000</v>
      </c>
      <c r="N1455" t="s">
        <v>105</v>
      </c>
      <c r="O1455">
        <v>29</v>
      </c>
      <c r="P1455">
        <v>1</v>
      </c>
      <c r="Q1455">
        <v>1</v>
      </c>
      <c r="R1455">
        <v>0</v>
      </c>
      <c r="S1455">
        <v>0</v>
      </c>
      <c r="T1455">
        <v>1</v>
      </c>
      <c r="U1455">
        <v>5</v>
      </c>
      <c r="V1455">
        <v>16</v>
      </c>
      <c r="W1455">
        <v>14</v>
      </c>
      <c r="X1455">
        <v>12</v>
      </c>
      <c r="Y1455">
        <v>14</v>
      </c>
      <c r="Z1455">
        <v>1</v>
      </c>
      <c r="AA1455">
        <v>2</v>
      </c>
      <c r="AB1455">
        <v>3</v>
      </c>
      <c r="AC1455">
        <v>3</v>
      </c>
      <c r="AD1455">
        <v>7</v>
      </c>
      <c r="AE1455">
        <v>8</v>
      </c>
      <c r="AF1455">
        <v>2</v>
      </c>
      <c r="AG1455">
        <v>5</v>
      </c>
      <c r="AH1455">
        <v>0</v>
      </c>
      <c r="AI1455">
        <v>0</v>
      </c>
    </row>
    <row r="1456" spans="1:35" hidden="1" x14ac:dyDescent="0.25">
      <c r="A1456">
        <v>2020</v>
      </c>
      <c r="B1456" s="1">
        <v>44238</v>
      </c>
      <c r="C1456">
        <v>35</v>
      </c>
      <c r="D1456">
        <v>0</v>
      </c>
      <c r="E1456">
        <v>67428</v>
      </c>
      <c r="F1456" t="s">
        <v>62</v>
      </c>
      <c r="G1456" t="s">
        <v>361</v>
      </c>
      <c r="H1456" t="s">
        <v>418</v>
      </c>
      <c r="I1456" t="s">
        <v>340</v>
      </c>
      <c r="J1456">
        <v>4</v>
      </c>
      <c r="K1456">
        <v>12</v>
      </c>
      <c r="L1456">
        <v>35300000</v>
      </c>
      <c r="M1456">
        <v>7100000</v>
      </c>
      <c r="N1456" t="s">
        <v>174</v>
      </c>
      <c r="O1456">
        <v>28</v>
      </c>
      <c r="P1456">
        <v>1</v>
      </c>
      <c r="Q1456">
        <v>1</v>
      </c>
      <c r="R1456">
        <v>0</v>
      </c>
      <c r="S1456">
        <v>0</v>
      </c>
      <c r="T1456">
        <v>6</v>
      </c>
      <c r="U1456">
        <v>4</v>
      </c>
      <c r="V1456">
        <v>10</v>
      </c>
      <c r="W1456">
        <v>17</v>
      </c>
      <c r="X1456">
        <v>16</v>
      </c>
      <c r="Y1456">
        <v>10</v>
      </c>
      <c r="Z1456">
        <v>1</v>
      </c>
      <c r="AA1456">
        <v>8</v>
      </c>
      <c r="AB1456">
        <v>2</v>
      </c>
      <c r="AC1456">
        <v>2</v>
      </c>
      <c r="AD1456">
        <v>16</v>
      </c>
      <c r="AE1456">
        <v>8</v>
      </c>
      <c r="AF1456">
        <v>5</v>
      </c>
      <c r="AG1456">
        <v>4</v>
      </c>
      <c r="AH1456">
        <v>0</v>
      </c>
      <c r="AI1456">
        <v>0</v>
      </c>
    </row>
    <row r="1457" spans="1:35" hidden="1" x14ac:dyDescent="0.25">
      <c r="A1457">
        <v>2020</v>
      </c>
      <c r="B1457" s="1">
        <v>44252</v>
      </c>
      <c r="C1457">
        <v>38</v>
      </c>
      <c r="D1457">
        <v>0</v>
      </c>
      <c r="E1457">
        <v>67428</v>
      </c>
      <c r="F1457" t="s">
        <v>62</v>
      </c>
      <c r="G1457" t="s">
        <v>77</v>
      </c>
      <c r="H1457" t="s">
        <v>418</v>
      </c>
      <c r="I1457" t="s">
        <v>40</v>
      </c>
      <c r="J1457">
        <v>4</v>
      </c>
      <c r="K1457">
        <v>1</v>
      </c>
      <c r="L1457">
        <v>28300000</v>
      </c>
      <c r="M1457">
        <v>79050000</v>
      </c>
      <c r="N1457" t="s">
        <v>168</v>
      </c>
      <c r="O1457">
        <v>29</v>
      </c>
      <c r="P1457">
        <v>2</v>
      </c>
      <c r="Q1457">
        <v>1</v>
      </c>
      <c r="R1457">
        <v>1</v>
      </c>
      <c r="S1457">
        <v>0</v>
      </c>
      <c r="T1457">
        <v>1</v>
      </c>
      <c r="U1457">
        <v>7</v>
      </c>
      <c r="V1457">
        <v>27</v>
      </c>
      <c r="W1457">
        <v>24</v>
      </c>
      <c r="X1457">
        <v>23</v>
      </c>
      <c r="Y1457">
        <v>27</v>
      </c>
      <c r="Z1457">
        <v>0</v>
      </c>
      <c r="AA1457">
        <v>0</v>
      </c>
      <c r="AB1457">
        <v>0</v>
      </c>
      <c r="AC1457">
        <v>2</v>
      </c>
      <c r="AD1457">
        <v>4</v>
      </c>
      <c r="AE1457">
        <v>19</v>
      </c>
      <c r="AF1457">
        <v>1</v>
      </c>
      <c r="AG1457">
        <v>13</v>
      </c>
      <c r="AH1457">
        <v>1</v>
      </c>
      <c r="AI1457">
        <v>1</v>
      </c>
    </row>
    <row r="1458" spans="1:35" hidden="1" x14ac:dyDescent="0.25">
      <c r="A1458">
        <v>2020</v>
      </c>
      <c r="B1458" s="1">
        <v>44105</v>
      </c>
      <c r="C1458">
        <v>1</v>
      </c>
      <c r="D1458">
        <v>0</v>
      </c>
      <c r="E1458">
        <v>49205</v>
      </c>
      <c r="F1458" t="s">
        <v>88</v>
      </c>
      <c r="G1458" t="s">
        <v>76</v>
      </c>
      <c r="H1458" t="s">
        <v>436</v>
      </c>
      <c r="I1458" t="s">
        <v>429</v>
      </c>
      <c r="J1458">
        <v>12</v>
      </c>
      <c r="K1458">
        <v>13</v>
      </c>
      <c r="L1458">
        <v>27850000</v>
      </c>
      <c r="M1458">
        <v>7100000</v>
      </c>
      <c r="N1458" t="s">
        <v>107</v>
      </c>
      <c r="O1458" t="s">
        <v>151</v>
      </c>
      <c r="P1458">
        <v>0</v>
      </c>
      <c r="Q1458">
        <v>0</v>
      </c>
      <c r="R1458">
        <v>0</v>
      </c>
      <c r="S1458">
        <v>0</v>
      </c>
      <c r="T1458">
        <v>4</v>
      </c>
      <c r="U1458">
        <v>7</v>
      </c>
      <c r="V1458">
        <v>18</v>
      </c>
      <c r="W1458">
        <v>12</v>
      </c>
      <c r="X1458">
        <v>10</v>
      </c>
      <c r="Y1458">
        <v>18</v>
      </c>
      <c r="Z1458">
        <v>5</v>
      </c>
      <c r="AA1458">
        <v>4</v>
      </c>
      <c r="AB1458">
        <v>4</v>
      </c>
      <c r="AC1458">
        <v>2</v>
      </c>
      <c r="AD1458">
        <v>12</v>
      </c>
      <c r="AE1458">
        <v>17</v>
      </c>
      <c r="AF1458">
        <v>8</v>
      </c>
      <c r="AG1458">
        <v>7</v>
      </c>
      <c r="AH1458">
        <v>0</v>
      </c>
      <c r="AI1458">
        <v>0</v>
      </c>
    </row>
    <row r="1459" spans="1:35" hidden="1" x14ac:dyDescent="0.25">
      <c r="A1459">
        <v>2020</v>
      </c>
      <c r="B1459" s="1">
        <v>44070</v>
      </c>
      <c r="C1459">
        <v>5</v>
      </c>
      <c r="D1459">
        <v>0</v>
      </c>
      <c r="E1459">
        <v>49205</v>
      </c>
      <c r="F1459" t="s">
        <v>88</v>
      </c>
      <c r="G1459" t="s">
        <v>63</v>
      </c>
      <c r="H1459" t="s">
        <v>333</v>
      </c>
      <c r="I1459" t="s">
        <v>40</v>
      </c>
      <c r="J1459">
        <v>10</v>
      </c>
      <c r="K1459">
        <v>15</v>
      </c>
      <c r="L1459">
        <v>26250000</v>
      </c>
      <c r="M1459">
        <v>7330000</v>
      </c>
      <c r="N1459" t="s">
        <v>98</v>
      </c>
      <c r="O1459" t="s">
        <v>208</v>
      </c>
      <c r="P1459">
        <v>1</v>
      </c>
      <c r="Q1459">
        <v>1</v>
      </c>
      <c r="R1459">
        <v>0</v>
      </c>
      <c r="S1459">
        <v>0</v>
      </c>
      <c r="T1459">
        <v>5</v>
      </c>
      <c r="U1459">
        <v>1</v>
      </c>
      <c r="V1459">
        <v>14</v>
      </c>
      <c r="W1459">
        <v>12</v>
      </c>
      <c r="X1459">
        <v>11</v>
      </c>
      <c r="Y1459">
        <v>13</v>
      </c>
      <c r="Z1459">
        <v>2</v>
      </c>
      <c r="AA1459">
        <v>6</v>
      </c>
      <c r="AB1459">
        <v>0</v>
      </c>
      <c r="AC1459">
        <v>5</v>
      </c>
      <c r="AD1459">
        <v>21</v>
      </c>
      <c r="AE1459">
        <v>10</v>
      </c>
      <c r="AF1459">
        <v>10</v>
      </c>
      <c r="AG1459">
        <v>7</v>
      </c>
      <c r="AH1459">
        <v>0</v>
      </c>
      <c r="AI1459">
        <v>0</v>
      </c>
    </row>
    <row r="1460" spans="1:35" hidden="1" x14ac:dyDescent="0.25">
      <c r="A1460">
        <v>2020</v>
      </c>
      <c r="B1460" s="1">
        <v>44135</v>
      </c>
      <c r="C1460">
        <v>19</v>
      </c>
      <c r="D1460">
        <v>0</v>
      </c>
      <c r="E1460">
        <v>49205</v>
      </c>
      <c r="F1460" t="s">
        <v>88</v>
      </c>
      <c r="G1460" t="s">
        <v>37</v>
      </c>
      <c r="H1460" t="s">
        <v>429</v>
      </c>
      <c r="I1460" t="s">
        <v>39</v>
      </c>
      <c r="J1460">
        <v>14</v>
      </c>
      <c r="K1460">
        <v>1</v>
      </c>
      <c r="L1460">
        <v>27400000</v>
      </c>
      <c r="M1460">
        <v>27700000</v>
      </c>
      <c r="N1460" t="s">
        <v>128</v>
      </c>
      <c r="O1460" t="s">
        <v>123</v>
      </c>
      <c r="P1460">
        <v>1</v>
      </c>
      <c r="Q1460">
        <v>0</v>
      </c>
      <c r="R1460">
        <v>1</v>
      </c>
      <c r="S1460">
        <v>0</v>
      </c>
      <c r="T1460">
        <v>2</v>
      </c>
      <c r="U1460">
        <v>4</v>
      </c>
      <c r="V1460">
        <v>17</v>
      </c>
      <c r="W1460">
        <v>12</v>
      </c>
      <c r="X1460">
        <v>11</v>
      </c>
      <c r="Y1460">
        <v>15</v>
      </c>
      <c r="Z1460">
        <v>0</v>
      </c>
      <c r="AA1460">
        <v>2</v>
      </c>
      <c r="AB1460">
        <v>2</v>
      </c>
      <c r="AC1460">
        <v>2</v>
      </c>
      <c r="AD1460">
        <v>8</v>
      </c>
      <c r="AE1460">
        <v>7</v>
      </c>
      <c r="AF1460">
        <v>4</v>
      </c>
      <c r="AG1460">
        <v>4</v>
      </c>
      <c r="AH1460">
        <v>1</v>
      </c>
      <c r="AI1460">
        <v>1</v>
      </c>
    </row>
    <row r="1461" spans="1:35" hidden="1" x14ac:dyDescent="0.25">
      <c r="A1461">
        <v>2020</v>
      </c>
      <c r="B1461" s="1">
        <v>44149</v>
      </c>
      <c r="C1461">
        <v>21</v>
      </c>
      <c r="D1461">
        <v>0</v>
      </c>
      <c r="E1461">
        <v>49205</v>
      </c>
      <c r="F1461" t="s">
        <v>88</v>
      </c>
      <c r="G1461" t="s">
        <v>89</v>
      </c>
      <c r="H1461" t="s">
        <v>429</v>
      </c>
      <c r="I1461" t="s">
        <v>329</v>
      </c>
      <c r="J1461">
        <v>13</v>
      </c>
      <c r="K1461">
        <v>3</v>
      </c>
      <c r="L1461">
        <v>31100000</v>
      </c>
      <c r="M1461">
        <v>45600000</v>
      </c>
      <c r="N1461" t="s">
        <v>209</v>
      </c>
      <c r="O1461" t="s">
        <v>114</v>
      </c>
      <c r="P1461">
        <v>1</v>
      </c>
      <c r="Q1461">
        <v>2</v>
      </c>
      <c r="R1461">
        <v>1</v>
      </c>
      <c r="S1461">
        <v>0</v>
      </c>
      <c r="T1461">
        <v>6</v>
      </c>
      <c r="U1461">
        <v>6</v>
      </c>
      <c r="V1461">
        <v>29</v>
      </c>
      <c r="W1461">
        <v>11</v>
      </c>
      <c r="X1461">
        <v>10</v>
      </c>
      <c r="Y1461">
        <v>29</v>
      </c>
      <c r="Z1461">
        <v>1</v>
      </c>
      <c r="AA1461">
        <v>0</v>
      </c>
      <c r="AB1461">
        <v>1</v>
      </c>
      <c r="AC1461">
        <v>1</v>
      </c>
      <c r="AD1461">
        <v>8</v>
      </c>
      <c r="AE1461">
        <v>13</v>
      </c>
      <c r="AF1461">
        <v>3</v>
      </c>
      <c r="AG1461">
        <v>7</v>
      </c>
      <c r="AH1461">
        <v>-1</v>
      </c>
      <c r="AI1461">
        <v>0</v>
      </c>
    </row>
    <row r="1462" spans="1:35" hidden="1" x14ac:dyDescent="0.25">
      <c r="A1462">
        <v>2020</v>
      </c>
      <c r="B1462" s="1">
        <v>44157</v>
      </c>
      <c r="C1462">
        <v>22</v>
      </c>
      <c r="D1462">
        <v>0</v>
      </c>
      <c r="E1462">
        <v>49205</v>
      </c>
      <c r="F1462" t="s">
        <v>88</v>
      </c>
      <c r="G1462" t="s">
        <v>83</v>
      </c>
      <c r="H1462" t="s">
        <v>429</v>
      </c>
      <c r="I1462" t="s">
        <v>85</v>
      </c>
      <c r="J1462">
        <v>14</v>
      </c>
      <c r="K1462">
        <v>5</v>
      </c>
      <c r="L1462">
        <v>29000000</v>
      </c>
      <c r="M1462">
        <v>50500000</v>
      </c>
      <c r="N1462" t="s">
        <v>111</v>
      </c>
      <c r="O1462" t="s">
        <v>98</v>
      </c>
      <c r="P1462">
        <v>0</v>
      </c>
      <c r="Q1462">
        <v>0</v>
      </c>
      <c r="R1462">
        <v>0</v>
      </c>
      <c r="S1462">
        <v>0</v>
      </c>
      <c r="T1462">
        <v>4</v>
      </c>
      <c r="U1462">
        <v>12</v>
      </c>
      <c r="V1462">
        <v>12</v>
      </c>
      <c r="W1462">
        <v>14</v>
      </c>
      <c r="X1462">
        <v>12</v>
      </c>
      <c r="Y1462">
        <v>10</v>
      </c>
      <c r="Z1462">
        <v>3</v>
      </c>
      <c r="AA1462">
        <v>2</v>
      </c>
      <c r="AB1462">
        <v>3</v>
      </c>
      <c r="AC1462">
        <v>1</v>
      </c>
      <c r="AD1462">
        <v>7</v>
      </c>
      <c r="AE1462">
        <v>15</v>
      </c>
      <c r="AF1462">
        <v>3</v>
      </c>
      <c r="AG1462">
        <v>7</v>
      </c>
      <c r="AH1462">
        <v>0</v>
      </c>
      <c r="AI1462">
        <v>0</v>
      </c>
    </row>
    <row r="1463" spans="1:35" hidden="1" x14ac:dyDescent="0.25">
      <c r="A1463">
        <v>2020</v>
      </c>
      <c r="B1463" s="1">
        <v>44178</v>
      </c>
      <c r="C1463">
        <v>25</v>
      </c>
      <c r="D1463">
        <v>0</v>
      </c>
      <c r="E1463">
        <v>49205</v>
      </c>
      <c r="F1463" t="s">
        <v>88</v>
      </c>
      <c r="G1463" t="s">
        <v>62</v>
      </c>
      <c r="H1463" t="s">
        <v>429</v>
      </c>
      <c r="I1463" t="s">
        <v>57</v>
      </c>
      <c r="J1463">
        <v>11</v>
      </c>
      <c r="K1463">
        <v>1</v>
      </c>
      <c r="L1463">
        <v>29500000</v>
      </c>
      <c r="M1463">
        <v>28100000</v>
      </c>
      <c r="N1463">
        <v>29</v>
      </c>
      <c r="O1463" t="s">
        <v>135</v>
      </c>
      <c r="P1463">
        <v>1</v>
      </c>
      <c r="Q1463">
        <v>0</v>
      </c>
      <c r="R1463">
        <v>1</v>
      </c>
      <c r="S1463">
        <v>0</v>
      </c>
      <c r="T1463">
        <v>4</v>
      </c>
      <c r="U1463">
        <v>5</v>
      </c>
      <c r="V1463">
        <v>12</v>
      </c>
      <c r="W1463">
        <v>8</v>
      </c>
      <c r="X1463">
        <v>8</v>
      </c>
      <c r="Y1463">
        <v>10</v>
      </c>
      <c r="Z1463">
        <v>6</v>
      </c>
      <c r="AA1463">
        <v>4</v>
      </c>
      <c r="AB1463">
        <v>0</v>
      </c>
      <c r="AC1463">
        <v>1</v>
      </c>
      <c r="AD1463">
        <v>14</v>
      </c>
      <c r="AE1463">
        <v>17</v>
      </c>
      <c r="AF1463">
        <v>7</v>
      </c>
      <c r="AG1463">
        <v>4</v>
      </c>
      <c r="AH1463">
        <v>1</v>
      </c>
      <c r="AI1463">
        <v>1</v>
      </c>
    </row>
    <row r="1464" spans="1:35" hidden="1" x14ac:dyDescent="0.25">
      <c r="A1464">
        <v>2020</v>
      </c>
      <c r="B1464" s="1">
        <v>44210</v>
      </c>
      <c r="C1464">
        <v>29</v>
      </c>
      <c r="D1464">
        <v>0</v>
      </c>
      <c r="E1464">
        <v>49205</v>
      </c>
      <c r="F1464" t="s">
        <v>88</v>
      </c>
      <c r="G1464" t="s">
        <v>55</v>
      </c>
      <c r="H1464" t="s">
        <v>429</v>
      </c>
      <c r="I1464" t="s">
        <v>223</v>
      </c>
      <c r="J1464">
        <v>9</v>
      </c>
      <c r="K1464">
        <v>7</v>
      </c>
      <c r="L1464">
        <v>32200000</v>
      </c>
      <c r="M1464">
        <v>10050000</v>
      </c>
      <c r="N1464" t="s">
        <v>166</v>
      </c>
      <c r="O1464" t="s">
        <v>129</v>
      </c>
      <c r="P1464">
        <v>5</v>
      </c>
      <c r="Q1464">
        <v>0</v>
      </c>
      <c r="R1464">
        <v>1</v>
      </c>
      <c r="S1464">
        <v>0</v>
      </c>
      <c r="T1464">
        <v>3</v>
      </c>
      <c r="U1464">
        <v>3</v>
      </c>
      <c r="V1464">
        <v>17</v>
      </c>
      <c r="W1464">
        <v>15</v>
      </c>
      <c r="X1464">
        <v>13</v>
      </c>
      <c r="Y1464">
        <v>16</v>
      </c>
      <c r="Z1464">
        <v>2</v>
      </c>
      <c r="AA1464">
        <v>3</v>
      </c>
      <c r="AB1464">
        <v>1</v>
      </c>
      <c r="AC1464">
        <v>3</v>
      </c>
      <c r="AD1464">
        <v>19</v>
      </c>
      <c r="AE1464">
        <v>13</v>
      </c>
      <c r="AF1464">
        <v>4</v>
      </c>
      <c r="AG1464">
        <v>5</v>
      </c>
      <c r="AH1464">
        <v>5</v>
      </c>
      <c r="AI1464">
        <v>1</v>
      </c>
    </row>
    <row r="1465" spans="1:35" hidden="1" x14ac:dyDescent="0.25">
      <c r="A1465">
        <v>2020</v>
      </c>
      <c r="B1465" s="1">
        <v>44218</v>
      </c>
      <c r="C1465">
        <v>31</v>
      </c>
      <c r="D1465">
        <v>0</v>
      </c>
      <c r="E1465">
        <v>49205</v>
      </c>
      <c r="F1465" t="s">
        <v>88</v>
      </c>
      <c r="G1465" t="s">
        <v>391</v>
      </c>
      <c r="H1465" t="s">
        <v>429</v>
      </c>
      <c r="I1465" t="s">
        <v>78</v>
      </c>
      <c r="J1465">
        <v>9</v>
      </c>
      <c r="K1465">
        <v>15</v>
      </c>
      <c r="L1465">
        <v>27400000</v>
      </c>
      <c r="M1465">
        <v>7650000</v>
      </c>
      <c r="N1465" t="s">
        <v>86</v>
      </c>
      <c r="O1465">
        <v>29</v>
      </c>
      <c r="P1465">
        <v>3</v>
      </c>
      <c r="Q1465">
        <v>0</v>
      </c>
      <c r="R1465">
        <v>1</v>
      </c>
      <c r="S1465">
        <v>0</v>
      </c>
      <c r="T1465">
        <v>6</v>
      </c>
      <c r="U1465">
        <v>5</v>
      </c>
      <c r="V1465">
        <v>9</v>
      </c>
      <c r="W1465">
        <v>7</v>
      </c>
      <c r="X1465">
        <v>5</v>
      </c>
      <c r="Y1465">
        <v>9</v>
      </c>
      <c r="Z1465">
        <v>4</v>
      </c>
      <c r="AA1465">
        <v>9</v>
      </c>
      <c r="AB1465">
        <v>2</v>
      </c>
      <c r="AC1465">
        <v>3</v>
      </c>
      <c r="AD1465">
        <v>20</v>
      </c>
      <c r="AE1465">
        <v>10</v>
      </c>
      <c r="AF1465">
        <v>6</v>
      </c>
      <c r="AG1465">
        <v>4</v>
      </c>
      <c r="AH1465">
        <v>3</v>
      </c>
      <c r="AI1465">
        <v>1</v>
      </c>
    </row>
    <row r="1466" spans="1:35" hidden="1" x14ac:dyDescent="0.25">
      <c r="A1466">
        <v>2020</v>
      </c>
      <c r="B1466" s="1">
        <v>44248</v>
      </c>
      <c r="C1466">
        <v>37</v>
      </c>
      <c r="D1466">
        <v>0</v>
      </c>
      <c r="E1466">
        <v>49205</v>
      </c>
      <c r="F1466" t="s">
        <v>88</v>
      </c>
      <c r="G1466" t="s">
        <v>82</v>
      </c>
      <c r="H1466" t="s">
        <v>429</v>
      </c>
      <c r="I1466" t="s">
        <v>317</v>
      </c>
      <c r="J1466">
        <v>10</v>
      </c>
      <c r="K1466">
        <v>17</v>
      </c>
      <c r="L1466">
        <v>25400000</v>
      </c>
      <c r="M1466">
        <v>23150000</v>
      </c>
      <c r="N1466" t="s">
        <v>134</v>
      </c>
      <c r="O1466" t="s">
        <v>135</v>
      </c>
      <c r="P1466">
        <v>0</v>
      </c>
      <c r="Q1466">
        <v>0</v>
      </c>
      <c r="R1466">
        <v>0</v>
      </c>
      <c r="S1466">
        <v>0</v>
      </c>
      <c r="T1466">
        <v>7</v>
      </c>
      <c r="U1466">
        <v>4</v>
      </c>
      <c r="V1466">
        <v>23</v>
      </c>
      <c r="W1466">
        <v>18</v>
      </c>
      <c r="X1466">
        <v>14</v>
      </c>
      <c r="Y1466">
        <v>22</v>
      </c>
      <c r="Z1466">
        <v>0</v>
      </c>
      <c r="AA1466">
        <v>4</v>
      </c>
      <c r="AB1466">
        <v>1</v>
      </c>
      <c r="AC1466">
        <v>6</v>
      </c>
      <c r="AD1466">
        <v>14</v>
      </c>
      <c r="AE1466">
        <v>8</v>
      </c>
      <c r="AF1466">
        <v>3</v>
      </c>
      <c r="AG1466">
        <v>6</v>
      </c>
      <c r="AH1466">
        <v>0</v>
      </c>
      <c r="AI1466">
        <v>0</v>
      </c>
    </row>
    <row r="1467" spans="1:35" hidden="1" x14ac:dyDescent="0.25">
      <c r="A1467">
        <v>2020</v>
      </c>
      <c r="B1467" s="1">
        <v>44052</v>
      </c>
      <c r="C1467">
        <v>1</v>
      </c>
      <c r="D1467">
        <v>0</v>
      </c>
      <c r="E1467">
        <v>37182</v>
      </c>
      <c r="F1467" t="s">
        <v>321</v>
      </c>
      <c r="G1467" t="s">
        <v>37</v>
      </c>
      <c r="H1467" t="s">
        <v>367</v>
      </c>
      <c r="I1467" t="s">
        <v>39</v>
      </c>
      <c r="J1467">
        <v>18</v>
      </c>
      <c r="K1467">
        <v>6</v>
      </c>
      <c r="L1467">
        <v>6430000</v>
      </c>
      <c r="M1467">
        <v>21250000</v>
      </c>
      <c r="N1467" t="s">
        <v>128</v>
      </c>
      <c r="O1467" t="s">
        <v>98</v>
      </c>
      <c r="P1467">
        <v>0</v>
      </c>
      <c r="Q1467">
        <v>1</v>
      </c>
      <c r="R1467">
        <v>0</v>
      </c>
      <c r="S1467">
        <v>0</v>
      </c>
      <c r="T1467">
        <v>2</v>
      </c>
      <c r="U1467">
        <v>6</v>
      </c>
      <c r="V1467">
        <v>5</v>
      </c>
      <c r="W1467">
        <v>13</v>
      </c>
      <c r="X1467">
        <v>11</v>
      </c>
      <c r="Y1467">
        <v>5</v>
      </c>
      <c r="Z1467">
        <v>3</v>
      </c>
      <c r="AA1467">
        <v>0</v>
      </c>
      <c r="AB1467">
        <v>3</v>
      </c>
      <c r="AC1467">
        <v>2</v>
      </c>
      <c r="AD1467">
        <v>1</v>
      </c>
      <c r="AE1467">
        <v>8</v>
      </c>
      <c r="AF1467">
        <v>1</v>
      </c>
      <c r="AG1467">
        <v>3</v>
      </c>
      <c r="AH1467">
        <v>-1</v>
      </c>
      <c r="AI1467">
        <v>0</v>
      </c>
    </row>
    <row r="1468" spans="1:35" hidden="1" x14ac:dyDescent="0.25">
      <c r="A1468">
        <v>2020</v>
      </c>
      <c r="B1468" s="1">
        <v>44073</v>
      </c>
      <c r="C1468">
        <v>6</v>
      </c>
      <c r="D1468">
        <v>0</v>
      </c>
      <c r="E1468">
        <v>37182</v>
      </c>
      <c r="F1468" t="s">
        <v>321</v>
      </c>
      <c r="G1468" t="s">
        <v>391</v>
      </c>
      <c r="J1468">
        <v>20</v>
      </c>
      <c r="K1468">
        <v>17</v>
      </c>
      <c r="P1468">
        <v>1</v>
      </c>
      <c r="Q1468">
        <v>0</v>
      </c>
      <c r="R1468">
        <v>0</v>
      </c>
      <c r="S1468">
        <v>0</v>
      </c>
      <c r="T1468">
        <v>5</v>
      </c>
      <c r="U1468">
        <v>2</v>
      </c>
      <c r="V1468">
        <v>14</v>
      </c>
      <c r="W1468">
        <v>19</v>
      </c>
      <c r="X1468">
        <v>17</v>
      </c>
      <c r="Y1468">
        <v>14</v>
      </c>
      <c r="Z1468">
        <v>1</v>
      </c>
      <c r="AA1468">
        <v>2</v>
      </c>
      <c r="AB1468">
        <v>0</v>
      </c>
      <c r="AC1468">
        <v>1</v>
      </c>
      <c r="AD1468">
        <v>13</v>
      </c>
      <c r="AE1468">
        <v>7</v>
      </c>
      <c r="AF1468">
        <v>6</v>
      </c>
      <c r="AG1468">
        <v>4</v>
      </c>
      <c r="AH1468">
        <v>1</v>
      </c>
      <c r="AI1468">
        <v>1</v>
      </c>
    </row>
    <row r="1469" spans="1:35" hidden="1" x14ac:dyDescent="0.25">
      <c r="A1469">
        <v>2020</v>
      </c>
      <c r="B1469" s="1">
        <v>44094</v>
      </c>
      <c r="C1469">
        <v>11</v>
      </c>
      <c r="D1469">
        <v>0</v>
      </c>
      <c r="E1469">
        <v>37182</v>
      </c>
      <c r="F1469" t="s">
        <v>321</v>
      </c>
      <c r="G1469" t="s">
        <v>82</v>
      </c>
      <c r="J1469">
        <v>18</v>
      </c>
      <c r="K1469">
        <v>3</v>
      </c>
      <c r="P1469">
        <v>1</v>
      </c>
      <c r="Q1469">
        <v>0</v>
      </c>
      <c r="R1469">
        <v>0</v>
      </c>
      <c r="S1469">
        <v>0</v>
      </c>
      <c r="T1469">
        <v>6</v>
      </c>
      <c r="U1469">
        <v>6</v>
      </c>
      <c r="V1469">
        <v>14</v>
      </c>
      <c r="W1469">
        <v>15</v>
      </c>
      <c r="X1469">
        <v>15</v>
      </c>
      <c r="Y1469">
        <v>14</v>
      </c>
      <c r="Z1469">
        <v>3</v>
      </c>
      <c r="AA1469">
        <v>1</v>
      </c>
      <c r="AB1469">
        <v>3</v>
      </c>
      <c r="AC1469">
        <v>0</v>
      </c>
      <c r="AD1469">
        <v>11</v>
      </c>
      <c r="AE1469">
        <v>11</v>
      </c>
      <c r="AF1469">
        <v>5</v>
      </c>
      <c r="AG1469">
        <v>5</v>
      </c>
      <c r="AH1469">
        <v>1</v>
      </c>
      <c r="AI1469">
        <v>1</v>
      </c>
    </row>
    <row r="1470" spans="1:35" hidden="1" x14ac:dyDescent="0.25">
      <c r="A1470">
        <v>2020</v>
      </c>
      <c r="B1470" s="1">
        <v>44108</v>
      </c>
      <c r="C1470">
        <v>13</v>
      </c>
      <c r="D1470">
        <v>0</v>
      </c>
      <c r="E1470">
        <v>37182</v>
      </c>
      <c r="F1470" t="s">
        <v>321</v>
      </c>
      <c r="G1470" t="s">
        <v>62</v>
      </c>
      <c r="J1470">
        <v>17</v>
      </c>
      <c r="K1470">
        <v>2</v>
      </c>
      <c r="P1470">
        <v>1</v>
      </c>
      <c r="Q1470">
        <v>1</v>
      </c>
      <c r="R1470">
        <v>1</v>
      </c>
      <c r="S1470">
        <v>0</v>
      </c>
      <c r="T1470">
        <v>2</v>
      </c>
      <c r="U1470">
        <v>11</v>
      </c>
      <c r="V1470">
        <v>13</v>
      </c>
      <c r="W1470">
        <v>12</v>
      </c>
      <c r="X1470">
        <v>12</v>
      </c>
      <c r="Y1470">
        <v>11</v>
      </c>
      <c r="Z1470">
        <v>4</v>
      </c>
      <c r="AA1470">
        <v>0</v>
      </c>
      <c r="AB1470">
        <v>0</v>
      </c>
      <c r="AC1470">
        <v>2</v>
      </c>
      <c r="AD1470">
        <v>3</v>
      </c>
      <c r="AE1470">
        <v>19</v>
      </c>
      <c r="AF1470">
        <v>2</v>
      </c>
      <c r="AG1470">
        <v>9</v>
      </c>
      <c r="AH1470">
        <v>0</v>
      </c>
      <c r="AI1470">
        <v>0</v>
      </c>
    </row>
    <row r="1471" spans="1:35" hidden="1" x14ac:dyDescent="0.25">
      <c r="A1471">
        <v>2020</v>
      </c>
      <c r="B1471" s="1">
        <v>44115</v>
      </c>
      <c r="C1471">
        <v>15</v>
      </c>
      <c r="D1471">
        <v>0</v>
      </c>
      <c r="E1471">
        <v>37182</v>
      </c>
      <c r="F1471" t="s">
        <v>321</v>
      </c>
      <c r="G1471" t="s">
        <v>63</v>
      </c>
      <c r="J1471">
        <v>18</v>
      </c>
      <c r="K1471">
        <v>9</v>
      </c>
      <c r="P1471">
        <v>0</v>
      </c>
      <c r="Q1471">
        <v>0</v>
      </c>
      <c r="R1471">
        <v>0</v>
      </c>
      <c r="S1471">
        <v>0</v>
      </c>
      <c r="T1471">
        <v>2</v>
      </c>
      <c r="U1471">
        <v>4</v>
      </c>
      <c r="V1471">
        <v>19</v>
      </c>
      <c r="W1471">
        <v>12</v>
      </c>
      <c r="X1471">
        <v>12</v>
      </c>
      <c r="Y1471">
        <v>18</v>
      </c>
      <c r="Z1471">
        <v>2</v>
      </c>
      <c r="AA1471">
        <v>2</v>
      </c>
      <c r="AB1471">
        <v>1</v>
      </c>
      <c r="AC1471">
        <v>0</v>
      </c>
      <c r="AD1471">
        <v>10</v>
      </c>
      <c r="AE1471">
        <v>12</v>
      </c>
      <c r="AF1471">
        <v>7</v>
      </c>
      <c r="AG1471">
        <v>6</v>
      </c>
      <c r="AH1471">
        <v>0</v>
      </c>
      <c r="AI1471">
        <v>0</v>
      </c>
    </row>
    <row r="1472" spans="1:35" hidden="1" x14ac:dyDescent="0.25">
      <c r="A1472">
        <v>2020</v>
      </c>
      <c r="B1472" s="1">
        <v>44135</v>
      </c>
      <c r="C1472">
        <v>19</v>
      </c>
      <c r="D1472">
        <v>0</v>
      </c>
      <c r="E1472">
        <v>37182</v>
      </c>
      <c r="F1472" t="s">
        <v>321</v>
      </c>
      <c r="G1472" t="s">
        <v>76</v>
      </c>
      <c r="H1472" t="s">
        <v>437</v>
      </c>
      <c r="I1472" t="s">
        <v>375</v>
      </c>
      <c r="J1472">
        <v>19</v>
      </c>
      <c r="K1472">
        <v>12</v>
      </c>
      <c r="L1472">
        <v>8450000</v>
      </c>
      <c r="M1472">
        <v>7950000</v>
      </c>
      <c r="N1472">
        <v>29</v>
      </c>
      <c r="O1472" t="s">
        <v>221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12</v>
      </c>
      <c r="V1472">
        <v>22</v>
      </c>
      <c r="W1472">
        <v>18</v>
      </c>
      <c r="X1472">
        <v>17</v>
      </c>
      <c r="Y1472">
        <v>21</v>
      </c>
      <c r="Z1472">
        <v>5</v>
      </c>
      <c r="AA1472">
        <v>0</v>
      </c>
      <c r="AB1472">
        <v>0</v>
      </c>
      <c r="AC1472">
        <v>0</v>
      </c>
      <c r="AD1472">
        <v>5</v>
      </c>
      <c r="AE1472">
        <v>14</v>
      </c>
      <c r="AF1472">
        <v>3</v>
      </c>
      <c r="AG1472">
        <v>4</v>
      </c>
      <c r="AH1472">
        <v>1</v>
      </c>
      <c r="AI1472">
        <v>1</v>
      </c>
    </row>
    <row r="1473" spans="1:35" hidden="1" x14ac:dyDescent="0.25">
      <c r="A1473">
        <v>2020</v>
      </c>
      <c r="B1473" s="1">
        <v>44171</v>
      </c>
      <c r="C1473">
        <v>24</v>
      </c>
      <c r="D1473">
        <v>0</v>
      </c>
      <c r="E1473">
        <v>37182</v>
      </c>
      <c r="F1473" t="s">
        <v>321</v>
      </c>
      <c r="G1473" t="s">
        <v>56</v>
      </c>
      <c r="H1473" t="s">
        <v>431</v>
      </c>
      <c r="I1473" t="s">
        <v>341</v>
      </c>
      <c r="J1473">
        <v>18</v>
      </c>
      <c r="K1473">
        <v>15</v>
      </c>
      <c r="L1473">
        <v>8650000</v>
      </c>
      <c r="M1473">
        <v>16800000</v>
      </c>
      <c r="N1473" t="s">
        <v>109</v>
      </c>
      <c r="O1473" t="s">
        <v>122</v>
      </c>
      <c r="P1473">
        <v>0</v>
      </c>
      <c r="Q1473">
        <v>0</v>
      </c>
      <c r="R1473">
        <v>0</v>
      </c>
      <c r="S1473">
        <v>0</v>
      </c>
      <c r="T1473">
        <v>3</v>
      </c>
      <c r="U1473">
        <v>12</v>
      </c>
      <c r="V1473">
        <v>17</v>
      </c>
      <c r="W1473">
        <v>26</v>
      </c>
      <c r="X1473">
        <v>26</v>
      </c>
      <c r="Y1473">
        <v>14</v>
      </c>
      <c r="Z1473">
        <v>5</v>
      </c>
      <c r="AA1473">
        <v>3</v>
      </c>
      <c r="AB1473">
        <v>2</v>
      </c>
      <c r="AC1473">
        <v>0</v>
      </c>
      <c r="AD1473">
        <v>9</v>
      </c>
      <c r="AE1473">
        <v>23</v>
      </c>
      <c r="AF1473">
        <v>3</v>
      </c>
      <c r="AG1473">
        <v>13</v>
      </c>
      <c r="AH1473">
        <v>0</v>
      </c>
      <c r="AI1473">
        <v>0</v>
      </c>
    </row>
    <row r="1474" spans="1:35" hidden="1" x14ac:dyDescent="0.25">
      <c r="A1474">
        <v>2020</v>
      </c>
      <c r="B1474" s="1">
        <v>44185</v>
      </c>
      <c r="C1474">
        <v>26</v>
      </c>
      <c r="D1474">
        <v>0</v>
      </c>
      <c r="E1474">
        <v>37182</v>
      </c>
      <c r="F1474" t="s">
        <v>321</v>
      </c>
      <c r="G1474" t="s">
        <v>51</v>
      </c>
      <c r="H1474" t="s">
        <v>437</v>
      </c>
      <c r="I1474" t="s">
        <v>367</v>
      </c>
      <c r="J1474">
        <v>18</v>
      </c>
      <c r="K1474">
        <v>20</v>
      </c>
      <c r="L1474">
        <v>7500000</v>
      </c>
      <c r="M1474">
        <v>8630000</v>
      </c>
      <c r="N1474" t="s">
        <v>296</v>
      </c>
      <c r="O1474" t="s">
        <v>41</v>
      </c>
      <c r="P1474">
        <v>1</v>
      </c>
      <c r="Q1474">
        <v>2</v>
      </c>
      <c r="R1474">
        <v>1</v>
      </c>
      <c r="S1474">
        <v>0</v>
      </c>
      <c r="T1474">
        <v>4</v>
      </c>
      <c r="U1474">
        <v>11</v>
      </c>
      <c r="V1474">
        <v>14</v>
      </c>
      <c r="W1474">
        <v>18</v>
      </c>
      <c r="X1474">
        <v>17</v>
      </c>
      <c r="Y1474">
        <v>13</v>
      </c>
      <c r="Z1474">
        <v>2</v>
      </c>
      <c r="AA1474">
        <v>3</v>
      </c>
      <c r="AB1474">
        <v>2</v>
      </c>
      <c r="AC1474">
        <v>2</v>
      </c>
      <c r="AD1474">
        <v>10</v>
      </c>
      <c r="AE1474">
        <v>18</v>
      </c>
      <c r="AF1474">
        <v>6</v>
      </c>
      <c r="AG1474">
        <v>5</v>
      </c>
      <c r="AH1474">
        <v>-1</v>
      </c>
      <c r="AI1474">
        <v>0</v>
      </c>
    </row>
    <row r="1475" spans="1:35" hidden="1" x14ac:dyDescent="0.25">
      <c r="A1475">
        <v>2020</v>
      </c>
      <c r="B1475" s="1">
        <v>44205</v>
      </c>
      <c r="C1475">
        <v>29</v>
      </c>
      <c r="D1475">
        <v>0</v>
      </c>
      <c r="E1475">
        <v>37182</v>
      </c>
      <c r="F1475" t="s">
        <v>321</v>
      </c>
      <c r="G1475" t="s">
        <v>69</v>
      </c>
      <c r="H1475" t="s">
        <v>437</v>
      </c>
      <c r="I1475" t="s">
        <v>334</v>
      </c>
      <c r="J1475">
        <v>20</v>
      </c>
      <c r="K1475">
        <v>10</v>
      </c>
      <c r="L1475">
        <v>7800000</v>
      </c>
      <c r="M1475">
        <v>23300000</v>
      </c>
      <c r="N1475">
        <v>28</v>
      </c>
      <c r="O1475" t="s">
        <v>168</v>
      </c>
      <c r="P1475">
        <v>0</v>
      </c>
      <c r="Q1475">
        <v>0</v>
      </c>
      <c r="R1475">
        <v>0</v>
      </c>
      <c r="S1475">
        <v>0</v>
      </c>
      <c r="T1475">
        <v>3</v>
      </c>
      <c r="U1475">
        <v>2</v>
      </c>
      <c r="V1475">
        <v>11</v>
      </c>
      <c r="W1475">
        <v>10</v>
      </c>
      <c r="X1475">
        <v>9</v>
      </c>
      <c r="Y1475">
        <v>10</v>
      </c>
      <c r="Z1475">
        <v>1</v>
      </c>
      <c r="AA1475">
        <v>2</v>
      </c>
      <c r="AB1475">
        <v>0</v>
      </c>
      <c r="AC1475">
        <v>0</v>
      </c>
      <c r="AD1475">
        <v>13</v>
      </c>
      <c r="AE1475">
        <v>3</v>
      </c>
      <c r="AF1475">
        <v>8</v>
      </c>
      <c r="AG1475">
        <v>1</v>
      </c>
      <c r="AH1475">
        <v>0</v>
      </c>
      <c r="AI1475">
        <v>0</v>
      </c>
    </row>
    <row r="1476" spans="1:35" hidden="1" x14ac:dyDescent="0.25">
      <c r="A1476">
        <v>2020</v>
      </c>
      <c r="B1476" s="1">
        <v>44217</v>
      </c>
      <c r="C1476">
        <v>31</v>
      </c>
      <c r="D1476">
        <v>0</v>
      </c>
      <c r="E1476">
        <v>37182</v>
      </c>
      <c r="F1476" t="s">
        <v>321</v>
      </c>
      <c r="G1476" t="s">
        <v>55</v>
      </c>
      <c r="H1476" t="s">
        <v>358</v>
      </c>
      <c r="I1476" t="s">
        <v>223</v>
      </c>
      <c r="J1476">
        <v>19</v>
      </c>
      <c r="K1476">
        <v>7</v>
      </c>
      <c r="L1476">
        <v>5850000</v>
      </c>
      <c r="M1476">
        <v>10800000</v>
      </c>
      <c r="N1476" t="s">
        <v>270</v>
      </c>
      <c r="O1476" t="s">
        <v>114</v>
      </c>
      <c r="P1476">
        <v>3</v>
      </c>
      <c r="Q1476">
        <v>3</v>
      </c>
      <c r="R1476">
        <v>2</v>
      </c>
      <c r="S1476">
        <v>0</v>
      </c>
      <c r="T1476">
        <v>2</v>
      </c>
      <c r="U1476">
        <v>12</v>
      </c>
      <c r="V1476">
        <v>20</v>
      </c>
      <c r="W1476">
        <v>9</v>
      </c>
      <c r="X1476">
        <v>10</v>
      </c>
      <c r="Y1476">
        <v>21</v>
      </c>
      <c r="Z1476">
        <v>3</v>
      </c>
      <c r="AA1476">
        <v>1</v>
      </c>
      <c r="AB1476">
        <v>1</v>
      </c>
      <c r="AC1476">
        <v>1</v>
      </c>
      <c r="AD1476">
        <v>8</v>
      </c>
      <c r="AE1476">
        <v>21</v>
      </c>
      <c r="AF1476">
        <v>4</v>
      </c>
      <c r="AG1476">
        <v>10</v>
      </c>
      <c r="AH1476">
        <v>0</v>
      </c>
      <c r="AI1476">
        <v>0</v>
      </c>
    </row>
    <row r="1477" spans="1:35" hidden="1" x14ac:dyDescent="0.25">
      <c r="A1477">
        <v>2020</v>
      </c>
      <c r="B1477" s="1">
        <v>44244</v>
      </c>
      <c r="C1477">
        <v>35</v>
      </c>
      <c r="D1477">
        <v>0</v>
      </c>
      <c r="E1477">
        <v>37182</v>
      </c>
      <c r="F1477" t="s">
        <v>321</v>
      </c>
      <c r="G1477" t="s">
        <v>95</v>
      </c>
      <c r="H1477" t="s">
        <v>358</v>
      </c>
      <c r="I1477" t="s">
        <v>97</v>
      </c>
      <c r="J1477">
        <v>19</v>
      </c>
      <c r="K1477">
        <v>6</v>
      </c>
      <c r="L1477">
        <v>6450000</v>
      </c>
      <c r="M1477">
        <v>36230000</v>
      </c>
      <c r="N1477" t="s">
        <v>120</v>
      </c>
      <c r="O1477" t="s">
        <v>221</v>
      </c>
      <c r="P1477">
        <v>1</v>
      </c>
      <c r="Q1477">
        <v>0</v>
      </c>
      <c r="R1477">
        <v>0</v>
      </c>
      <c r="S1477">
        <v>0</v>
      </c>
      <c r="T1477">
        <v>5</v>
      </c>
      <c r="U1477">
        <v>4</v>
      </c>
      <c r="V1477">
        <v>16</v>
      </c>
      <c r="W1477">
        <v>20</v>
      </c>
      <c r="X1477">
        <v>19</v>
      </c>
      <c r="Y1477">
        <v>16</v>
      </c>
      <c r="Z1477">
        <v>4</v>
      </c>
      <c r="AA1477">
        <v>3</v>
      </c>
      <c r="AB1477">
        <v>1</v>
      </c>
      <c r="AC1477">
        <v>3</v>
      </c>
      <c r="AD1477">
        <v>13</v>
      </c>
      <c r="AE1477">
        <v>15</v>
      </c>
      <c r="AF1477">
        <v>6</v>
      </c>
      <c r="AG1477">
        <v>8</v>
      </c>
      <c r="AH1477">
        <v>1</v>
      </c>
      <c r="AI1477">
        <v>1</v>
      </c>
    </row>
    <row r="1478" spans="1:35" hidden="1" x14ac:dyDescent="0.25">
      <c r="A1478">
        <v>2020</v>
      </c>
      <c r="B1478" s="1">
        <v>44247</v>
      </c>
      <c r="C1478">
        <v>37</v>
      </c>
      <c r="D1478">
        <v>0</v>
      </c>
      <c r="E1478">
        <v>37182</v>
      </c>
      <c r="F1478" t="s">
        <v>321</v>
      </c>
      <c r="G1478" t="s">
        <v>361</v>
      </c>
      <c r="H1478" t="s">
        <v>358</v>
      </c>
      <c r="I1478" t="s">
        <v>340</v>
      </c>
      <c r="J1478">
        <v>19</v>
      </c>
      <c r="K1478">
        <v>12</v>
      </c>
      <c r="L1478">
        <v>6080000</v>
      </c>
      <c r="M1478">
        <v>7250000</v>
      </c>
      <c r="N1478" t="s">
        <v>149</v>
      </c>
      <c r="O1478" t="s">
        <v>163</v>
      </c>
      <c r="P1478">
        <v>0</v>
      </c>
      <c r="Q1478">
        <v>2</v>
      </c>
      <c r="R1478">
        <v>0</v>
      </c>
      <c r="S1478">
        <v>0</v>
      </c>
      <c r="T1478">
        <v>7</v>
      </c>
      <c r="U1478">
        <v>5</v>
      </c>
      <c r="V1478">
        <v>14</v>
      </c>
      <c r="W1478">
        <v>9</v>
      </c>
      <c r="X1478">
        <v>9</v>
      </c>
      <c r="Y1478">
        <v>12</v>
      </c>
      <c r="Z1478">
        <v>2</v>
      </c>
      <c r="AA1478">
        <v>5</v>
      </c>
      <c r="AB1478">
        <v>2</v>
      </c>
      <c r="AC1478">
        <v>1</v>
      </c>
      <c r="AD1478">
        <v>16</v>
      </c>
      <c r="AE1478">
        <v>11</v>
      </c>
      <c r="AF1478">
        <v>8</v>
      </c>
      <c r="AG1478">
        <v>5</v>
      </c>
      <c r="AH1478">
        <v>-2</v>
      </c>
      <c r="AI1478">
        <v>0</v>
      </c>
    </row>
    <row r="1479" spans="1:35" hidden="1" x14ac:dyDescent="0.25">
      <c r="A1479">
        <v>2020</v>
      </c>
      <c r="B1479" s="1">
        <v>44063</v>
      </c>
      <c r="C1479">
        <v>4</v>
      </c>
      <c r="D1479">
        <v>0</v>
      </c>
      <c r="E1479">
        <v>42372</v>
      </c>
      <c r="F1479" t="s">
        <v>69</v>
      </c>
      <c r="G1479" t="s">
        <v>95</v>
      </c>
      <c r="H1479" t="s">
        <v>315</v>
      </c>
      <c r="I1479" t="s">
        <v>317</v>
      </c>
      <c r="J1479">
        <v>6</v>
      </c>
      <c r="K1479">
        <v>13</v>
      </c>
      <c r="L1479">
        <v>19450000</v>
      </c>
      <c r="M1479">
        <v>33450000</v>
      </c>
      <c r="N1479" t="s">
        <v>228</v>
      </c>
      <c r="O1479">
        <v>28</v>
      </c>
      <c r="P1479">
        <v>0</v>
      </c>
      <c r="Q1479">
        <v>1</v>
      </c>
      <c r="R1479">
        <v>0</v>
      </c>
      <c r="S1479">
        <v>0</v>
      </c>
      <c r="T1479">
        <v>5</v>
      </c>
      <c r="U1479">
        <v>7</v>
      </c>
      <c r="V1479">
        <v>20</v>
      </c>
      <c r="W1479">
        <v>19</v>
      </c>
      <c r="X1479">
        <v>18</v>
      </c>
      <c r="Y1479">
        <v>19</v>
      </c>
      <c r="Z1479">
        <v>2</v>
      </c>
      <c r="AA1479">
        <v>0</v>
      </c>
      <c r="AB1479">
        <v>0</v>
      </c>
      <c r="AC1479">
        <v>2</v>
      </c>
      <c r="AD1479">
        <v>6</v>
      </c>
      <c r="AE1479">
        <v>10</v>
      </c>
      <c r="AF1479">
        <v>5</v>
      </c>
      <c r="AG1479">
        <v>6</v>
      </c>
      <c r="AH1479">
        <v>-1</v>
      </c>
      <c r="AI1479">
        <v>0</v>
      </c>
    </row>
    <row r="1480" spans="1:35" hidden="1" x14ac:dyDescent="0.25">
      <c r="A1480">
        <v>2020</v>
      </c>
      <c r="B1480" s="1">
        <v>44083</v>
      </c>
      <c r="C1480">
        <v>9</v>
      </c>
      <c r="D1480">
        <v>0</v>
      </c>
      <c r="E1480">
        <v>42372</v>
      </c>
      <c r="F1480" t="s">
        <v>69</v>
      </c>
      <c r="G1480" t="s">
        <v>51</v>
      </c>
      <c r="H1480" t="s">
        <v>286</v>
      </c>
      <c r="I1480" t="s">
        <v>334</v>
      </c>
      <c r="J1480">
        <v>11</v>
      </c>
      <c r="K1480">
        <v>16</v>
      </c>
      <c r="L1480">
        <v>13250000</v>
      </c>
      <c r="M1480">
        <v>9400000</v>
      </c>
      <c r="N1480" t="s">
        <v>105</v>
      </c>
      <c r="O1480" t="s">
        <v>116</v>
      </c>
      <c r="P1480">
        <v>1</v>
      </c>
      <c r="Q1480">
        <v>1</v>
      </c>
      <c r="R1480">
        <v>0</v>
      </c>
      <c r="S1480">
        <v>0</v>
      </c>
      <c r="T1480">
        <v>7</v>
      </c>
      <c r="U1480">
        <v>3</v>
      </c>
      <c r="V1480">
        <v>19</v>
      </c>
      <c r="W1480">
        <v>10</v>
      </c>
      <c r="X1480">
        <v>8</v>
      </c>
      <c r="Y1480">
        <v>17</v>
      </c>
      <c r="Z1480">
        <v>4</v>
      </c>
      <c r="AA1480">
        <v>2</v>
      </c>
      <c r="AB1480">
        <v>3</v>
      </c>
      <c r="AC1480">
        <v>2</v>
      </c>
      <c r="AD1480">
        <v>17</v>
      </c>
      <c r="AE1480">
        <v>12</v>
      </c>
      <c r="AF1480">
        <v>9</v>
      </c>
      <c r="AG1480">
        <v>5</v>
      </c>
      <c r="AH1480">
        <v>0</v>
      </c>
      <c r="AI1480">
        <v>0</v>
      </c>
    </row>
    <row r="1481" spans="1:35" hidden="1" x14ac:dyDescent="0.25">
      <c r="A1481">
        <v>2020</v>
      </c>
      <c r="B1481" s="1">
        <v>44086</v>
      </c>
      <c r="C1481">
        <v>10</v>
      </c>
      <c r="D1481">
        <v>0</v>
      </c>
      <c r="E1481">
        <v>42372</v>
      </c>
      <c r="F1481" t="s">
        <v>69</v>
      </c>
      <c r="G1481" t="s">
        <v>321</v>
      </c>
      <c r="J1481">
        <v>11</v>
      </c>
      <c r="K1481">
        <v>18</v>
      </c>
      <c r="P1481">
        <v>1</v>
      </c>
      <c r="Q1481">
        <v>0</v>
      </c>
      <c r="R1481">
        <v>1</v>
      </c>
      <c r="S1481">
        <v>0</v>
      </c>
      <c r="T1481">
        <v>9</v>
      </c>
      <c r="U1481">
        <v>6</v>
      </c>
      <c r="V1481">
        <v>21</v>
      </c>
      <c r="W1481">
        <v>12</v>
      </c>
      <c r="X1481">
        <v>12</v>
      </c>
      <c r="Y1481">
        <v>21</v>
      </c>
      <c r="Z1481">
        <v>1</v>
      </c>
      <c r="AA1481">
        <v>1</v>
      </c>
      <c r="AB1481">
        <v>3</v>
      </c>
      <c r="AC1481">
        <v>3</v>
      </c>
      <c r="AD1481">
        <v>10</v>
      </c>
      <c r="AE1481">
        <v>5</v>
      </c>
      <c r="AF1481">
        <v>6</v>
      </c>
      <c r="AG1481">
        <v>2</v>
      </c>
      <c r="AH1481">
        <v>1</v>
      </c>
      <c r="AI1481">
        <v>1</v>
      </c>
    </row>
    <row r="1482" spans="1:35" hidden="1" x14ac:dyDescent="0.25">
      <c r="A1482">
        <v>2020</v>
      </c>
      <c r="B1482" s="1">
        <v>44101</v>
      </c>
      <c r="C1482">
        <v>12</v>
      </c>
      <c r="D1482">
        <v>0</v>
      </c>
      <c r="E1482">
        <v>42372</v>
      </c>
      <c r="F1482" t="s">
        <v>69</v>
      </c>
      <c r="G1482" t="s">
        <v>38</v>
      </c>
      <c r="H1482" t="s">
        <v>286</v>
      </c>
      <c r="I1482" t="s">
        <v>240</v>
      </c>
      <c r="J1482">
        <v>10</v>
      </c>
      <c r="K1482">
        <v>16</v>
      </c>
      <c r="L1482">
        <v>17800000</v>
      </c>
      <c r="M1482">
        <v>14150000</v>
      </c>
      <c r="N1482" t="s">
        <v>252</v>
      </c>
      <c r="O1482" t="s">
        <v>163</v>
      </c>
      <c r="P1482">
        <v>1</v>
      </c>
      <c r="Q1482">
        <v>0</v>
      </c>
      <c r="R1482">
        <v>0</v>
      </c>
      <c r="S1482">
        <v>0</v>
      </c>
      <c r="T1482">
        <v>1</v>
      </c>
      <c r="U1482">
        <v>6</v>
      </c>
      <c r="V1482">
        <v>20</v>
      </c>
      <c r="W1482">
        <v>11</v>
      </c>
      <c r="X1482">
        <v>10</v>
      </c>
      <c r="Y1482">
        <v>19</v>
      </c>
      <c r="Z1482">
        <v>4</v>
      </c>
      <c r="AA1482">
        <v>3</v>
      </c>
      <c r="AB1482">
        <v>2</v>
      </c>
      <c r="AC1482">
        <v>4</v>
      </c>
      <c r="AD1482">
        <v>13</v>
      </c>
      <c r="AE1482">
        <v>14</v>
      </c>
      <c r="AF1482">
        <v>8</v>
      </c>
      <c r="AG1482">
        <v>6</v>
      </c>
      <c r="AH1482">
        <v>1</v>
      </c>
      <c r="AI1482">
        <v>1</v>
      </c>
    </row>
    <row r="1483" spans="1:35" hidden="1" x14ac:dyDescent="0.25">
      <c r="A1483">
        <v>2020</v>
      </c>
      <c r="B1483" s="1">
        <v>44113</v>
      </c>
      <c r="C1483">
        <v>14</v>
      </c>
      <c r="D1483">
        <v>0</v>
      </c>
      <c r="E1483">
        <v>42372</v>
      </c>
      <c r="F1483" t="s">
        <v>69</v>
      </c>
      <c r="G1483" t="s">
        <v>361</v>
      </c>
      <c r="H1483" t="s">
        <v>286</v>
      </c>
      <c r="I1483" t="s">
        <v>340</v>
      </c>
      <c r="J1483">
        <v>10</v>
      </c>
      <c r="K1483">
        <v>14</v>
      </c>
      <c r="L1483">
        <v>18200000</v>
      </c>
      <c r="M1483">
        <v>7000000</v>
      </c>
      <c r="N1483" t="s">
        <v>117</v>
      </c>
      <c r="O1483" t="s">
        <v>381</v>
      </c>
      <c r="P1483">
        <v>0</v>
      </c>
      <c r="Q1483">
        <v>0</v>
      </c>
      <c r="R1483">
        <v>0</v>
      </c>
      <c r="S1483">
        <v>0</v>
      </c>
      <c r="T1483">
        <v>3</v>
      </c>
      <c r="U1483">
        <v>3</v>
      </c>
      <c r="V1483">
        <v>11</v>
      </c>
      <c r="W1483">
        <v>12</v>
      </c>
      <c r="X1483">
        <v>12</v>
      </c>
      <c r="Y1483">
        <v>10</v>
      </c>
      <c r="Z1483">
        <v>4</v>
      </c>
      <c r="AA1483">
        <v>1</v>
      </c>
      <c r="AB1483">
        <v>2</v>
      </c>
      <c r="AC1483">
        <v>2</v>
      </c>
      <c r="AD1483">
        <v>13</v>
      </c>
      <c r="AE1483">
        <v>13</v>
      </c>
      <c r="AF1483">
        <v>7</v>
      </c>
      <c r="AG1483">
        <v>6</v>
      </c>
      <c r="AH1483">
        <v>0</v>
      </c>
      <c r="AI1483">
        <v>0</v>
      </c>
    </row>
    <row r="1484" spans="1:35" hidden="1" x14ac:dyDescent="0.25">
      <c r="A1484">
        <v>2020</v>
      </c>
      <c r="B1484" s="1">
        <v>44119</v>
      </c>
      <c r="C1484">
        <v>16</v>
      </c>
      <c r="D1484">
        <v>0</v>
      </c>
      <c r="E1484">
        <v>42372</v>
      </c>
      <c r="F1484" t="s">
        <v>69</v>
      </c>
      <c r="G1484" t="s">
        <v>88</v>
      </c>
      <c r="H1484" t="s">
        <v>286</v>
      </c>
      <c r="I1484" t="s">
        <v>429</v>
      </c>
      <c r="J1484">
        <v>12</v>
      </c>
      <c r="K1484">
        <v>17</v>
      </c>
      <c r="L1484">
        <v>20500000</v>
      </c>
      <c r="M1484">
        <v>33000000</v>
      </c>
      <c r="N1484" t="s">
        <v>228</v>
      </c>
      <c r="O1484" t="s">
        <v>80</v>
      </c>
      <c r="P1484">
        <v>0</v>
      </c>
      <c r="Q1484">
        <v>1</v>
      </c>
      <c r="R1484">
        <v>0</v>
      </c>
      <c r="S1484">
        <v>0</v>
      </c>
      <c r="T1484">
        <v>8</v>
      </c>
      <c r="U1484">
        <v>2</v>
      </c>
      <c r="V1484">
        <v>18</v>
      </c>
      <c r="W1484">
        <v>14</v>
      </c>
      <c r="X1484">
        <v>13</v>
      </c>
      <c r="Y1484">
        <v>18</v>
      </c>
      <c r="Z1484">
        <v>5</v>
      </c>
      <c r="AA1484">
        <v>9</v>
      </c>
      <c r="AB1484">
        <v>2</v>
      </c>
      <c r="AC1484">
        <v>1</v>
      </c>
      <c r="AD1484">
        <v>15</v>
      </c>
      <c r="AE1484">
        <v>13</v>
      </c>
      <c r="AF1484">
        <v>4</v>
      </c>
      <c r="AG1484">
        <v>5</v>
      </c>
      <c r="AH1484">
        <v>-1</v>
      </c>
      <c r="AI1484">
        <v>0</v>
      </c>
    </row>
    <row r="1485" spans="1:35" hidden="1" x14ac:dyDescent="0.25">
      <c r="A1485">
        <v>2020</v>
      </c>
      <c r="B1485" s="1">
        <v>44129</v>
      </c>
      <c r="C1485">
        <v>18</v>
      </c>
      <c r="D1485">
        <v>0</v>
      </c>
      <c r="E1485">
        <v>42372</v>
      </c>
      <c r="F1485" t="s">
        <v>69</v>
      </c>
      <c r="G1485" t="s">
        <v>83</v>
      </c>
      <c r="H1485" t="s">
        <v>334</v>
      </c>
      <c r="I1485" t="s">
        <v>85</v>
      </c>
      <c r="J1485">
        <v>15</v>
      </c>
      <c r="K1485">
        <v>8</v>
      </c>
      <c r="L1485">
        <v>20800000</v>
      </c>
      <c r="M1485">
        <v>16350000</v>
      </c>
      <c r="N1485" t="s">
        <v>163</v>
      </c>
      <c r="O1485" t="s">
        <v>73</v>
      </c>
      <c r="P1485">
        <v>1</v>
      </c>
      <c r="Q1485">
        <v>2</v>
      </c>
      <c r="R1485">
        <v>1</v>
      </c>
      <c r="S1485">
        <v>0</v>
      </c>
      <c r="T1485">
        <v>4</v>
      </c>
      <c r="U1485">
        <v>2</v>
      </c>
      <c r="V1485">
        <v>15</v>
      </c>
      <c r="W1485">
        <v>11</v>
      </c>
      <c r="X1485">
        <v>10</v>
      </c>
      <c r="Y1485">
        <v>15</v>
      </c>
      <c r="Z1485">
        <v>1</v>
      </c>
      <c r="AA1485">
        <v>0</v>
      </c>
      <c r="AB1485">
        <v>1</v>
      </c>
      <c r="AC1485">
        <v>1</v>
      </c>
      <c r="AD1485">
        <v>5</v>
      </c>
      <c r="AE1485">
        <v>8</v>
      </c>
      <c r="AF1485">
        <v>4</v>
      </c>
      <c r="AG1485">
        <v>6</v>
      </c>
      <c r="AH1485">
        <v>-1</v>
      </c>
      <c r="AI1485">
        <v>0</v>
      </c>
    </row>
    <row r="1486" spans="1:35" hidden="1" x14ac:dyDescent="0.25">
      <c r="A1486">
        <v>2020</v>
      </c>
      <c r="B1486" s="1">
        <v>44156</v>
      </c>
      <c r="C1486">
        <v>22</v>
      </c>
      <c r="D1486">
        <v>0</v>
      </c>
      <c r="E1486">
        <v>42372</v>
      </c>
      <c r="F1486" t="s">
        <v>69</v>
      </c>
      <c r="G1486" t="s">
        <v>419</v>
      </c>
      <c r="H1486" t="s">
        <v>334</v>
      </c>
      <c r="I1486" t="s">
        <v>71</v>
      </c>
      <c r="J1486">
        <v>10</v>
      </c>
      <c r="K1486">
        <v>7</v>
      </c>
      <c r="L1486">
        <v>19500000</v>
      </c>
      <c r="M1486">
        <v>7000000</v>
      </c>
      <c r="N1486" t="s">
        <v>189</v>
      </c>
      <c r="O1486" t="s">
        <v>113</v>
      </c>
      <c r="P1486">
        <v>1</v>
      </c>
      <c r="Q1486">
        <v>0</v>
      </c>
      <c r="R1486">
        <v>0</v>
      </c>
      <c r="S1486">
        <v>0</v>
      </c>
      <c r="T1486">
        <v>9</v>
      </c>
      <c r="U1486">
        <v>2</v>
      </c>
      <c r="V1486">
        <v>22</v>
      </c>
      <c r="W1486">
        <v>13</v>
      </c>
      <c r="X1486">
        <v>13</v>
      </c>
      <c r="Y1486">
        <v>22</v>
      </c>
      <c r="Z1486">
        <v>4</v>
      </c>
      <c r="AA1486">
        <v>3</v>
      </c>
      <c r="AB1486">
        <v>2</v>
      </c>
      <c r="AC1486">
        <v>1</v>
      </c>
      <c r="AD1486">
        <v>13</v>
      </c>
      <c r="AE1486">
        <v>6</v>
      </c>
      <c r="AF1486">
        <v>5</v>
      </c>
      <c r="AG1486">
        <v>2</v>
      </c>
      <c r="AH1486">
        <v>1</v>
      </c>
      <c r="AI1486">
        <v>1</v>
      </c>
    </row>
    <row r="1487" spans="1:35" hidden="1" x14ac:dyDescent="0.25">
      <c r="A1487">
        <v>2020</v>
      </c>
      <c r="B1487" s="1">
        <v>44192</v>
      </c>
      <c r="C1487">
        <v>27</v>
      </c>
      <c r="D1487">
        <v>0</v>
      </c>
      <c r="E1487">
        <v>42372</v>
      </c>
      <c r="F1487" t="s">
        <v>69</v>
      </c>
      <c r="G1487" t="s">
        <v>82</v>
      </c>
      <c r="H1487" t="s">
        <v>334</v>
      </c>
      <c r="I1487" t="s">
        <v>417</v>
      </c>
      <c r="J1487">
        <v>12</v>
      </c>
      <c r="K1487">
        <v>16</v>
      </c>
      <c r="L1487">
        <v>21500000</v>
      </c>
      <c r="M1487">
        <v>11350000</v>
      </c>
      <c r="N1487" t="s">
        <v>117</v>
      </c>
      <c r="O1487" t="s">
        <v>128</v>
      </c>
      <c r="P1487">
        <v>3</v>
      </c>
      <c r="Q1487">
        <v>0</v>
      </c>
      <c r="R1487">
        <v>2</v>
      </c>
      <c r="S1487">
        <v>0</v>
      </c>
      <c r="T1487">
        <v>6</v>
      </c>
      <c r="U1487">
        <v>5</v>
      </c>
      <c r="V1487">
        <v>14</v>
      </c>
      <c r="W1487">
        <v>11</v>
      </c>
      <c r="X1487">
        <v>10</v>
      </c>
      <c r="Y1487">
        <v>14</v>
      </c>
      <c r="Z1487">
        <v>4</v>
      </c>
      <c r="AA1487">
        <v>5</v>
      </c>
      <c r="AB1487">
        <v>1</v>
      </c>
      <c r="AC1487">
        <v>3</v>
      </c>
      <c r="AD1487">
        <v>16</v>
      </c>
      <c r="AE1487">
        <v>11</v>
      </c>
      <c r="AF1487">
        <v>6</v>
      </c>
      <c r="AG1487">
        <v>5</v>
      </c>
      <c r="AH1487">
        <v>3</v>
      </c>
      <c r="AI1487">
        <v>1</v>
      </c>
    </row>
    <row r="1488" spans="1:35" hidden="1" x14ac:dyDescent="0.25">
      <c r="A1488">
        <v>2020</v>
      </c>
      <c r="B1488" s="1">
        <v>44213</v>
      </c>
      <c r="C1488">
        <v>30</v>
      </c>
      <c r="D1488">
        <v>0</v>
      </c>
      <c r="E1488">
        <v>42372</v>
      </c>
      <c r="F1488" t="s">
        <v>69</v>
      </c>
      <c r="G1488" t="s">
        <v>62</v>
      </c>
      <c r="H1488" t="s">
        <v>334</v>
      </c>
      <c r="I1488" t="s">
        <v>57</v>
      </c>
      <c r="J1488">
        <v>11</v>
      </c>
      <c r="K1488">
        <v>1</v>
      </c>
      <c r="L1488">
        <v>20600000</v>
      </c>
      <c r="M1488">
        <v>29800000</v>
      </c>
      <c r="N1488" t="s">
        <v>163</v>
      </c>
      <c r="O1488" t="s">
        <v>128</v>
      </c>
      <c r="P1488">
        <v>1</v>
      </c>
      <c r="Q1488">
        <v>1</v>
      </c>
      <c r="R1488">
        <v>1</v>
      </c>
      <c r="S1488">
        <v>0</v>
      </c>
      <c r="T1488">
        <v>1</v>
      </c>
      <c r="U1488">
        <v>3</v>
      </c>
      <c r="V1488">
        <v>10</v>
      </c>
      <c r="W1488">
        <v>14</v>
      </c>
      <c r="X1488">
        <v>14</v>
      </c>
      <c r="Y1488">
        <v>10</v>
      </c>
      <c r="Z1488">
        <v>1</v>
      </c>
      <c r="AA1488">
        <v>2</v>
      </c>
      <c r="AB1488">
        <v>0</v>
      </c>
      <c r="AC1488">
        <v>8</v>
      </c>
      <c r="AD1488">
        <v>8</v>
      </c>
      <c r="AE1488">
        <v>9</v>
      </c>
      <c r="AF1488">
        <v>2</v>
      </c>
      <c r="AG1488">
        <v>4</v>
      </c>
      <c r="AH1488">
        <v>0</v>
      </c>
      <c r="AI1488">
        <v>0</v>
      </c>
    </row>
    <row r="1489" spans="1:35" hidden="1" x14ac:dyDescent="0.25">
      <c r="A1489">
        <v>2020</v>
      </c>
      <c r="B1489" s="1">
        <v>44232</v>
      </c>
      <c r="C1489">
        <v>34</v>
      </c>
      <c r="D1489">
        <v>0</v>
      </c>
      <c r="E1489">
        <v>42372</v>
      </c>
      <c r="F1489" t="s">
        <v>69</v>
      </c>
      <c r="G1489" t="s">
        <v>37</v>
      </c>
      <c r="H1489" t="s">
        <v>334</v>
      </c>
      <c r="I1489" t="s">
        <v>376</v>
      </c>
      <c r="J1489">
        <v>9</v>
      </c>
      <c r="K1489">
        <v>1</v>
      </c>
      <c r="L1489">
        <v>20300000</v>
      </c>
      <c r="M1489">
        <v>24200000</v>
      </c>
      <c r="N1489" t="s">
        <v>86</v>
      </c>
      <c r="O1489" t="s">
        <v>168</v>
      </c>
      <c r="P1489">
        <v>0</v>
      </c>
      <c r="Q1489">
        <v>0</v>
      </c>
      <c r="R1489">
        <v>0</v>
      </c>
      <c r="S1489">
        <v>0</v>
      </c>
      <c r="T1489">
        <v>3</v>
      </c>
      <c r="U1489">
        <v>2</v>
      </c>
      <c r="V1489">
        <v>15</v>
      </c>
      <c r="W1489">
        <v>20</v>
      </c>
      <c r="X1489">
        <v>20</v>
      </c>
      <c r="Y1489">
        <v>13</v>
      </c>
      <c r="Z1489">
        <v>1</v>
      </c>
      <c r="AA1489">
        <v>4</v>
      </c>
      <c r="AB1489">
        <v>2</v>
      </c>
      <c r="AC1489">
        <v>1</v>
      </c>
      <c r="AD1489">
        <v>12</v>
      </c>
      <c r="AE1489">
        <v>5</v>
      </c>
      <c r="AF1489">
        <v>8</v>
      </c>
      <c r="AG1489">
        <v>3</v>
      </c>
      <c r="AH1489">
        <v>0</v>
      </c>
      <c r="AI1489">
        <v>0</v>
      </c>
    </row>
    <row r="1490" spans="1:35" hidden="1" x14ac:dyDescent="0.25">
      <c r="A1490">
        <v>2020</v>
      </c>
      <c r="B1490" s="1">
        <v>44241</v>
      </c>
      <c r="C1490">
        <v>36</v>
      </c>
      <c r="D1490">
        <v>0</v>
      </c>
      <c r="E1490">
        <v>42372</v>
      </c>
      <c r="F1490" t="s">
        <v>69</v>
      </c>
      <c r="G1490" t="s">
        <v>76</v>
      </c>
      <c r="H1490" t="s">
        <v>334</v>
      </c>
      <c r="I1490" t="s">
        <v>408</v>
      </c>
      <c r="J1490">
        <v>11</v>
      </c>
      <c r="K1490">
        <v>13</v>
      </c>
      <c r="L1490">
        <v>25400000</v>
      </c>
      <c r="M1490">
        <v>9750000</v>
      </c>
      <c r="N1490" t="s">
        <v>163</v>
      </c>
      <c r="O1490" t="s">
        <v>239</v>
      </c>
      <c r="P1490">
        <v>2</v>
      </c>
      <c r="Q1490">
        <v>1</v>
      </c>
      <c r="R1490">
        <v>0</v>
      </c>
      <c r="S1490">
        <v>0</v>
      </c>
      <c r="T1490">
        <v>7</v>
      </c>
      <c r="U1490">
        <v>4</v>
      </c>
      <c r="V1490">
        <v>14</v>
      </c>
      <c r="W1490">
        <v>9</v>
      </c>
      <c r="X1490">
        <v>9</v>
      </c>
      <c r="Y1490">
        <v>14</v>
      </c>
      <c r="Z1490">
        <v>3</v>
      </c>
      <c r="AA1490">
        <v>1</v>
      </c>
      <c r="AB1490">
        <v>4</v>
      </c>
      <c r="AC1490">
        <v>3</v>
      </c>
      <c r="AD1490">
        <v>8</v>
      </c>
      <c r="AE1490">
        <v>11</v>
      </c>
      <c r="AF1490">
        <v>5</v>
      </c>
      <c r="AG1490">
        <v>6</v>
      </c>
      <c r="AH1490">
        <v>1</v>
      </c>
      <c r="AI1490">
        <v>1</v>
      </c>
    </row>
    <row r="1491" spans="1:35" hidden="1" x14ac:dyDescent="0.25">
      <c r="A1491">
        <v>2020</v>
      </c>
      <c r="B1491" s="1">
        <v>44253</v>
      </c>
      <c r="C1491">
        <v>38</v>
      </c>
      <c r="D1491">
        <v>0</v>
      </c>
      <c r="E1491">
        <v>42372</v>
      </c>
      <c r="F1491" t="s">
        <v>69</v>
      </c>
      <c r="G1491" t="s">
        <v>391</v>
      </c>
      <c r="H1491" t="s">
        <v>334</v>
      </c>
      <c r="I1491" t="s">
        <v>78</v>
      </c>
      <c r="J1491">
        <v>9</v>
      </c>
      <c r="K1491">
        <v>14</v>
      </c>
      <c r="L1491">
        <v>26050000</v>
      </c>
      <c r="M1491">
        <v>7850000</v>
      </c>
      <c r="N1491" t="s">
        <v>168</v>
      </c>
      <c r="O1491" t="s">
        <v>98</v>
      </c>
      <c r="P1491">
        <v>2</v>
      </c>
      <c r="Q1491">
        <v>0</v>
      </c>
      <c r="R1491">
        <v>1</v>
      </c>
      <c r="S1491">
        <v>0</v>
      </c>
      <c r="T1491">
        <v>8</v>
      </c>
      <c r="U1491">
        <v>5</v>
      </c>
      <c r="V1491">
        <v>15</v>
      </c>
      <c r="W1491">
        <v>10</v>
      </c>
      <c r="X1491">
        <v>9</v>
      </c>
      <c r="Y1491">
        <v>15</v>
      </c>
      <c r="Z1491">
        <v>4</v>
      </c>
      <c r="AA1491">
        <v>6</v>
      </c>
      <c r="AB1491">
        <v>2</v>
      </c>
      <c r="AC1491">
        <v>2</v>
      </c>
      <c r="AD1491">
        <v>18</v>
      </c>
      <c r="AE1491">
        <v>15</v>
      </c>
      <c r="AF1491">
        <v>8</v>
      </c>
      <c r="AG1491">
        <v>6</v>
      </c>
      <c r="AH1491">
        <v>2</v>
      </c>
      <c r="AI1491">
        <v>1</v>
      </c>
    </row>
    <row r="1492" spans="1:35" hidden="1" x14ac:dyDescent="0.25">
      <c r="A1492">
        <v>2020</v>
      </c>
      <c r="B1492" s="1">
        <v>44055</v>
      </c>
      <c r="C1492">
        <v>2</v>
      </c>
      <c r="D1492">
        <v>0</v>
      </c>
      <c r="E1492">
        <v>13000</v>
      </c>
      <c r="F1492" t="s">
        <v>76</v>
      </c>
      <c r="G1492" t="s">
        <v>77</v>
      </c>
      <c r="H1492" t="s">
        <v>429</v>
      </c>
      <c r="I1492" t="s">
        <v>430</v>
      </c>
      <c r="J1492">
        <v>13</v>
      </c>
      <c r="K1492">
        <v>16</v>
      </c>
      <c r="L1492">
        <v>6230000</v>
      </c>
      <c r="M1492">
        <v>66000000</v>
      </c>
      <c r="N1492" t="s">
        <v>80</v>
      </c>
      <c r="O1492" t="s">
        <v>137</v>
      </c>
      <c r="P1492">
        <v>3</v>
      </c>
      <c r="Q1492">
        <v>0</v>
      </c>
      <c r="R1492">
        <v>2</v>
      </c>
      <c r="S1492">
        <v>0</v>
      </c>
      <c r="T1492">
        <v>11</v>
      </c>
      <c r="U1492">
        <v>5</v>
      </c>
      <c r="V1492">
        <v>15</v>
      </c>
      <c r="W1492">
        <v>19</v>
      </c>
      <c r="X1492">
        <v>19</v>
      </c>
      <c r="Y1492">
        <v>15</v>
      </c>
      <c r="Z1492">
        <v>3</v>
      </c>
      <c r="AA1492">
        <v>4</v>
      </c>
      <c r="AB1492">
        <v>2</v>
      </c>
      <c r="AC1492">
        <v>1</v>
      </c>
      <c r="AD1492">
        <v>13</v>
      </c>
      <c r="AE1492">
        <v>8</v>
      </c>
      <c r="AF1492">
        <v>5</v>
      </c>
      <c r="AG1492">
        <v>3</v>
      </c>
      <c r="AH1492">
        <v>3</v>
      </c>
      <c r="AI1492">
        <v>1</v>
      </c>
    </row>
    <row r="1493" spans="1:35" hidden="1" x14ac:dyDescent="0.25">
      <c r="A1493">
        <v>2020</v>
      </c>
      <c r="B1493" s="1">
        <v>44060</v>
      </c>
      <c r="C1493">
        <v>3</v>
      </c>
      <c r="D1493">
        <v>0</v>
      </c>
      <c r="E1493">
        <v>13500</v>
      </c>
      <c r="F1493" t="s">
        <v>76</v>
      </c>
      <c r="G1493" t="s">
        <v>391</v>
      </c>
      <c r="H1493" t="s">
        <v>429</v>
      </c>
      <c r="I1493" t="s">
        <v>438</v>
      </c>
      <c r="J1493">
        <v>6</v>
      </c>
      <c r="K1493">
        <v>9</v>
      </c>
      <c r="L1493">
        <v>6230000</v>
      </c>
      <c r="M1493">
        <v>7480000</v>
      </c>
      <c r="N1493" t="s">
        <v>80</v>
      </c>
      <c r="O1493" t="s">
        <v>135</v>
      </c>
      <c r="P1493">
        <v>1</v>
      </c>
      <c r="Q1493">
        <v>1</v>
      </c>
      <c r="R1493">
        <v>1</v>
      </c>
      <c r="S1493">
        <v>0</v>
      </c>
      <c r="T1493">
        <v>4</v>
      </c>
      <c r="U1493">
        <v>9</v>
      </c>
      <c r="V1493">
        <v>13</v>
      </c>
      <c r="W1493">
        <v>15</v>
      </c>
      <c r="X1493">
        <v>15</v>
      </c>
      <c r="Y1493">
        <v>12</v>
      </c>
      <c r="Z1493">
        <v>3</v>
      </c>
      <c r="AA1493">
        <v>3</v>
      </c>
      <c r="AB1493">
        <v>0</v>
      </c>
      <c r="AC1493">
        <v>2</v>
      </c>
      <c r="AD1493">
        <v>10</v>
      </c>
      <c r="AE1493">
        <v>15</v>
      </c>
      <c r="AF1493">
        <v>5</v>
      </c>
      <c r="AG1493">
        <v>8</v>
      </c>
      <c r="AH1493">
        <v>0</v>
      </c>
      <c r="AI1493">
        <v>0</v>
      </c>
    </row>
    <row r="1494" spans="1:35" hidden="1" x14ac:dyDescent="0.25">
      <c r="A1494">
        <v>2020</v>
      </c>
      <c r="B1494" s="1">
        <v>44073</v>
      </c>
      <c r="C1494">
        <v>6</v>
      </c>
      <c r="D1494">
        <v>0</v>
      </c>
      <c r="E1494">
        <v>13000</v>
      </c>
      <c r="F1494" t="s">
        <v>76</v>
      </c>
      <c r="G1494" t="s">
        <v>361</v>
      </c>
      <c r="H1494" t="s">
        <v>429</v>
      </c>
      <c r="I1494" t="s">
        <v>340</v>
      </c>
      <c r="J1494">
        <v>15</v>
      </c>
      <c r="K1494">
        <v>19</v>
      </c>
      <c r="L1494">
        <v>6230000</v>
      </c>
      <c r="M1494">
        <v>5600000</v>
      </c>
      <c r="N1494" t="s">
        <v>239</v>
      </c>
      <c r="O1494" t="s">
        <v>134</v>
      </c>
      <c r="P1494">
        <v>0</v>
      </c>
      <c r="Q1494">
        <v>2</v>
      </c>
      <c r="R1494">
        <v>0</v>
      </c>
      <c r="S1494">
        <v>0</v>
      </c>
      <c r="T1494">
        <v>4</v>
      </c>
      <c r="U1494">
        <v>4</v>
      </c>
      <c r="V1494">
        <v>16</v>
      </c>
      <c r="W1494">
        <v>11</v>
      </c>
      <c r="X1494">
        <v>10</v>
      </c>
      <c r="Y1494">
        <v>16</v>
      </c>
      <c r="Z1494">
        <v>3</v>
      </c>
      <c r="AA1494">
        <v>4</v>
      </c>
      <c r="AB1494">
        <v>1</v>
      </c>
      <c r="AC1494">
        <v>2</v>
      </c>
      <c r="AD1494">
        <v>14</v>
      </c>
      <c r="AE1494">
        <v>13</v>
      </c>
      <c r="AF1494">
        <v>8</v>
      </c>
      <c r="AG1494">
        <v>2</v>
      </c>
      <c r="AH1494">
        <v>-2</v>
      </c>
      <c r="AI1494">
        <v>0</v>
      </c>
    </row>
    <row r="1495" spans="1:35" hidden="1" x14ac:dyDescent="0.25">
      <c r="A1495">
        <v>2020</v>
      </c>
      <c r="B1495" s="1">
        <v>44094</v>
      </c>
      <c r="C1495">
        <v>11</v>
      </c>
      <c r="D1495">
        <v>0</v>
      </c>
      <c r="E1495">
        <v>13000</v>
      </c>
      <c r="F1495" t="s">
        <v>76</v>
      </c>
      <c r="G1495" t="s">
        <v>89</v>
      </c>
      <c r="H1495" t="s">
        <v>429</v>
      </c>
      <c r="I1495" t="s">
        <v>329</v>
      </c>
      <c r="J1495">
        <v>12</v>
      </c>
      <c r="K1495">
        <v>2</v>
      </c>
      <c r="L1495">
        <v>8250000</v>
      </c>
      <c r="M1495">
        <v>31900000</v>
      </c>
      <c r="N1495" t="s">
        <v>145</v>
      </c>
      <c r="O1495" t="s">
        <v>117</v>
      </c>
      <c r="P1495">
        <v>3</v>
      </c>
      <c r="Q1495">
        <v>4</v>
      </c>
      <c r="R1495">
        <v>1</v>
      </c>
      <c r="S1495">
        <v>0</v>
      </c>
      <c r="T1495">
        <v>6</v>
      </c>
      <c r="U1495">
        <v>4</v>
      </c>
      <c r="V1495">
        <v>16</v>
      </c>
      <c r="W1495">
        <v>14</v>
      </c>
      <c r="X1495">
        <v>14</v>
      </c>
      <c r="Y1495">
        <v>16</v>
      </c>
      <c r="Z1495">
        <v>4</v>
      </c>
      <c r="AA1495">
        <v>6</v>
      </c>
      <c r="AB1495">
        <v>1</v>
      </c>
      <c r="AC1495">
        <v>4</v>
      </c>
      <c r="AD1495">
        <v>15</v>
      </c>
      <c r="AE1495">
        <v>14</v>
      </c>
      <c r="AF1495">
        <v>3</v>
      </c>
      <c r="AG1495">
        <v>4</v>
      </c>
      <c r="AH1495">
        <v>-1</v>
      </c>
      <c r="AI1495">
        <v>0</v>
      </c>
    </row>
    <row r="1496" spans="1:35" hidden="1" x14ac:dyDescent="0.25">
      <c r="A1496">
        <v>2020</v>
      </c>
      <c r="B1496" s="1">
        <v>44122</v>
      </c>
      <c r="C1496">
        <v>17</v>
      </c>
      <c r="D1496">
        <v>0</v>
      </c>
      <c r="E1496">
        <v>13000</v>
      </c>
      <c r="F1496" t="s">
        <v>76</v>
      </c>
      <c r="G1496" t="s">
        <v>69</v>
      </c>
      <c r="H1496" t="s">
        <v>375</v>
      </c>
      <c r="I1496" t="s">
        <v>286</v>
      </c>
      <c r="J1496">
        <v>10</v>
      </c>
      <c r="K1496">
        <v>14</v>
      </c>
      <c r="L1496">
        <v>9600000</v>
      </c>
      <c r="M1496">
        <v>21250000</v>
      </c>
      <c r="N1496" t="s">
        <v>332</v>
      </c>
      <c r="O1496" t="s">
        <v>332</v>
      </c>
      <c r="P1496">
        <v>1</v>
      </c>
      <c r="Q1496">
        <v>1</v>
      </c>
      <c r="R1496">
        <v>1</v>
      </c>
      <c r="S1496">
        <v>0</v>
      </c>
      <c r="T1496">
        <v>2</v>
      </c>
      <c r="U1496">
        <v>11</v>
      </c>
      <c r="V1496">
        <v>10</v>
      </c>
      <c r="W1496">
        <v>20</v>
      </c>
      <c r="X1496">
        <v>20</v>
      </c>
      <c r="Y1496">
        <v>8</v>
      </c>
      <c r="Z1496">
        <v>5</v>
      </c>
      <c r="AA1496">
        <v>0</v>
      </c>
      <c r="AB1496">
        <v>1</v>
      </c>
      <c r="AC1496">
        <v>2</v>
      </c>
      <c r="AD1496">
        <v>11</v>
      </c>
      <c r="AE1496">
        <v>18</v>
      </c>
      <c r="AF1496">
        <v>8</v>
      </c>
      <c r="AG1496">
        <v>8</v>
      </c>
      <c r="AH1496">
        <v>0</v>
      </c>
      <c r="AI1496">
        <v>0</v>
      </c>
    </row>
    <row r="1497" spans="1:35" hidden="1" x14ac:dyDescent="0.25">
      <c r="A1497">
        <v>2020</v>
      </c>
      <c r="B1497" s="1">
        <v>44143</v>
      </c>
      <c r="C1497">
        <v>20</v>
      </c>
      <c r="D1497">
        <v>0</v>
      </c>
      <c r="E1497">
        <v>13000</v>
      </c>
      <c r="F1497" t="s">
        <v>76</v>
      </c>
      <c r="G1497" t="s">
        <v>88</v>
      </c>
      <c r="H1497" t="s">
        <v>375</v>
      </c>
      <c r="I1497" t="s">
        <v>429</v>
      </c>
      <c r="J1497">
        <v>14</v>
      </c>
      <c r="K1497">
        <v>12</v>
      </c>
      <c r="L1497">
        <v>5700000</v>
      </c>
      <c r="M1497">
        <v>27600000</v>
      </c>
      <c r="N1497" t="s">
        <v>233</v>
      </c>
      <c r="O1497" t="s">
        <v>100</v>
      </c>
      <c r="P1497">
        <v>1</v>
      </c>
      <c r="Q1497">
        <v>1</v>
      </c>
      <c r="R1497">
        <v>1</v>
      </c>
      <c r="S1497">
        <v>0</v>
      </c>
      <c r="T1497">
        <v>7</v>
      </c>
      <c r="U1497">
        <v>3</v>
      </c>
      <c r="V1497">
        <v>22</v>
      </c>
      <c r="W1497">
        <v>25</v>
      </c>
      <c r="X1497">
        <v>25</v>
      </c>
      <c r="Y1497">
        <v>17</v>
      </c>
      <c r="Z1497">
        <v>1</v>
      </c>
      <c r="AA1497">
        <v>4</v>
      </c>
      <c r="AB1497">
        <v>2</v>
      </c>
      <c r="AC1497">
        <v>2</v>
      </c>
      <c r="AD1497">
        <v>15</v>
      </c>
      <c r="AE1497">
        <v>6</v>
      </c>
      <c r="AF1497">
        <v>6</v>
      </c>
      <c r="AG1497">
        <v>3</v>
      </c>
      <c r="AH1497">
        <v>0</v>
      </c>
      <c r="AI1497">
        <v>0</v>
      </c>
    </row>
    <row r="1498" spans="1:35" hidden="1" x14ac:dyDescent="0.25">
      <c r="A1498">
        <v>2020</v>
      </c>
      <c r="B1498" s="1">
        <v>44164</v>
      </c>
      <c r="C1498">
        <v>23</v>
      </c>
      <c r="D1498">
        <v>0</v>
      </c>
      <c r="E1498">
        <v>13000</v>
      </c>
      <c r="F1498" t="s">
        <v>76</v>
      </c>
      <c r="G1498" t="s">
        <v>37</v>
      </c>
      <c r="H1498" t="s">
        <v>408</v>
      </c>
      <c r="I1498" t="s">
        <v>376</v>
      </c>
      <c r="J1498">
        <v>12</v>
      </c>
      <c r="K1498">
        <v>5</v>
      </c>
      <c r="L1498">
        <v>7850000</v>
      </c>
      <c r="M1498">
        <v>24250000</v>
      </c>
      <c r="N1498">
        <v>26</v>
      </c>
      <c r="O1498" t="s">
        <v>74</v>
      </c>
      <c r="P1498">
        <v>0</v>
      </c>
      <c r="Q1498">
        <v>0</v>
      </c>
      <c r="R1498">
        <v>0</v>
      </c>
      <c r="S1498">
        <v>0</v>
      </c>
      <c r="T1498">
        <v>8</v>
      </c>
      <c r="U1498">
        <v>9</v>
      </c>
      <c r="V1498">
        <v>20</v>
      </c>
      <c r="W1498">
        <v>18</v>
      </c>
      <c r="X1498">
        <v>17</v>
      </c>
      <c r="Y1498">
        <v>19</v>
      </c>
      <c r="Z1498">
        <v>6</v>
      </c>
      <c r="AA1498">
        <v>0</v>
      </c>
      <c r="AB1498">
        <v>5</v>
      </c>
      <c r="AC1498">
        <v>4</v>
      </c>
      <c r="AD1498">
        <v>9</v>
      </c>
      <c r="AE1498">
        <v>17</v>
      </c>
      <c r="AF1498">
        <v>3</v>
      </c>
      <c r="AG1498">
        <v>8</v>
      </c>
      <c r="AH1498">
        <v>0</v>
      </c>
      <c r="AI1498">
        <v>0</v>
      </c>
    </row>
    <row r="1499" spans="1:35" hidden="1" x14ac:dyDescent="0.25">
      <c r="A1499">
        <v>2020</v>
      </c>
      <c r="B1499" s="1">
        <v>44182</v>
      </c>
      <c r="C1499">
        <v>26</v>
      </c>
      <c r="D1499">
        <v>0</v>
      </c>
      <c r="E1499">
        <v>13000</v>
      </c>
      <c r="F1499" t="s">
        <v>76</v>
      </c>
      <c r="G1499" t="s">
        <v>55</v>
      </c>
      <c r="H1499" t="s">
        <v>408</v>
      </c>
      <c r="I1499" t="s">
        <v>223</v>
      </c>
      <c r="J1499">
        <v>12</v>
      </c>
      <c r="K1499">
        <v>7</v>
      </c>
      <c r="L1499">
        <v>7350000</v>
      </c>
      <c r="M1499">
        <v>19200000</v>
      </c>
      <c r="N1499" t="s">
        <v>99</v>
      </c>
      <c r="O1499" t="s">
        <v>129</v>
      </c>
      <c r="P1499">
        <v>2</v>
      </c>
      <c r="Q1499">
        <v>1</v>
      </c>
      <c r="R1499">
        <v>1</v>
      </c>
      <c r="S1499">
        <v>0</v>
      </c>
      <c r="T1499">
        <v>11</v>
      </c>
      <c r="U1499">
        <v>6</v>
      </c>
      <c r="V1499">
        <v>18</v>
      </c>
      <c r="W1499">
        <v>18</v>
      </c>
      <c r="X1499">
        <v>17</v>
      </c>
      <c r="Y1499">
        <v>16</v>
      </c>
      <c r="Z1499">
        <v>1</v>
      </c>
      <c r="AA1499">
        <v>3</v>
      </c>
      <c r="AB1499">
        <v>0</v>
      </c>
      <c r="AC1499">
        <v>0</v>
      </c>
      <c r="AD1499">
        <v>11</v>
      </c>
      <c r="AE1499">
        <v>5</v>
      </c>
      <c r="AF1499">
        <v>3</v>
      </c>
      <c r="AG1499">
        <v>1</v>
      </c>
      <c r="AH1499">
        <v>1</v>
      </c>
      <c r="AI1499">
        <v>1</v>
      </c>
    </row>
    <row r="1500" spans="1:35" hidden="1" x14ac:dyDescent="0.25">
      <c r="A1500">
        <v>2020</v>
      </c>
      <c r="B1500" s="1">
        <v>44204</v>
      </c>
      <c r="C1500">
        <v>28</v>
      </c>
      <c r="D1500">
        <v>0</v>
      </c>
      <c r="E1500">
        <v>13000</v>
      </c>
      <c r="F1500" t="s">
        <v>76</v>
      </c>
      <c r="G1500" t="s">
        <v>82</v>
      </c>
      <c r="H1500" t="s">
        <v>408</v>
      </c>
      <c r="I1500" t="s">
        <v>317</v>
      </c>
      <c r="J1500">
        <v>12</v>
      </c>
      <c r="K1500">
        <v>16</v>
      </c>
      <c r="L1500">
        <v>7100000</v>
      </c>
      <c r="M1500">
        <v>22000000</v>
      </c>
      <c r="N1500" t="s">
        <v>117</v>
      </c>
      <c r="O1500" t="s">
        <v>129</v>
      </c>
      <c r="P1500">
        <v>0</v>
      </c>
      <c r="Q1500">
        <v>0</v>
      </c>
      <c r="R1500">
        <v>0</v>
      </c>
      <c r="S1500">
        <v>0</v>
      </c>
      <c r="T1500">
        <v>3</v>
      </c>
      <c r="U1500">
        <v>4</v>
      </c>
      <c r="V1500">
        <v>19</v>
      </c>
      <c r="W1500">
        <v>17</v>
      </c>
      <c r="X1500">
        <v>16</v>
      </c>
      <c r="Y1500">
        <v>19</v>
      </c>
      <c r="Z1500">
        <v>6</v>
      </c>
      <c r="AA1500">
        <v>2</v>
      </c>
      <c r="AB1500">
        <v>2</v>
      </c>
      <c r="AC1500">
        <v>2</v>
      </c>
      <c r="AD1500">
        <v>8</v>
      </c>
      <c r="AE1500">
        <v>15</v>
      </c>
      <c r="AF1500">
        <v>4</v>
      </c>
      <c r="AG1500">
        <v>6</v>
      </c>
      <c r="AH1500">
        <v>0</v>
      </c>
      <c r="AI1500">
        <v>0</v>
      </c>
    </row>
    <row r="1501" spans="1:35" hidden="1" x14ac:dyDescent="0.25">
      <c r="A1501">
        <v>2020</v>
      </c>
      <c r="B1501" s="1">
        <v>44206</v>
      </c>
      <c r="C1501">
        <v>29</v>
      </c>
      <c r="D1501">
        <v>0</v>
      </c>
      <c r="E1501">
        <v>13000</v>
      </c>
      <c r="F1501" t="s">
        <v>76</v>
      </c>
      <c r="G1501" t="s">
        <v>38</v>
      </c>
      <c r="H1501" t="s">
        <v>408</v>
      </c>
      <c r="I1501" t="s">
        <v>398</v>
      </c>
      <c r="J1501">
        <v>12</v>
      </c>
      <c r="K1501">
        <v>17</v>
      </c>
      <c r="L1501">
        <v>6400000</v>
      </c>
      <c r="M1501">
        <v>6730000</v>
      </c>
      <c r="N1501" t="s">
        <v>239</v>
      </c>
      <c r="O1501">
        <v>26</v>
      </c>
      <c r="P1501">
        <v>1</v>
      </c>
      <c r="Q1501">
        <v>1</v>
      </c>
      <c r="R1501">
        <v>1</v>
      </c>
      <c r="S1501">
        <v>0</v>
      </c>
      <c r="T1501">
        <v>6</v>
      </c>
      <c r="U1501">
        <v>6</v>
      </c>
      <c r="V1501">
        <v>20</v>
      </c>
      <c r="W1501">
        <v>18</v>
      </c>
      <c r="X1501">
        <v>15</v>
      </c>
      <c r="Y1501">
        <v>20</v>
      </c>
      <c r="Z1501">
        <v>3</v>
      </c>
      <c r="AA1501">
        <v>4</v>
      </c>
      <c r="AB1501">
        <v>3</v>
      </c>
      <c r="AC1501">
        <v>1</v>
      </c>
      <c r="AD1501">
        <v>13</v>
      </c>
      <c r="AE1501">
        <v>16</v>
      </c>
      <c r="AF1501">
        <v>5</v>
      </c>
      <c r="AG1501">
        <v>4</v>
      </c>
      <c r="AH1501">
        <v>0</v>
      </c>
      <c r="AI1501">
        <v>0</v>
      </c>
    </row>
    <row r="1502" spans="1:35" hidden="1" x14ac:dyDescent="0.25">
      <c r="A1502">
        <v>2020</v>
      </c>
      <c r="B1502" s="1">
        <v>44220</v>
      </c>
      <c r="C1502">
        <v>32</v>
      </c>
      <c r="D1502">
        <v>0</v>
      </c>
      <c r="E1502">
        <v>13000</v>
      </c>
      <c r="F1502" t="s">
        <v>76</v>
      </c>
      <c r="G1502" t="s">
        <v>63</v>
      </c>
      <c r="H1502" t="s">
        <v>408</v>
      </c>
      <c r="I1502" t="s">
        <v>420</v>
      </c>
      <c r="J1502">
        <v>13</v>
      </c>
      <c r="K1502">
        <v>15</v>
      </c>
      <c r="L1502">
        <v>9050000</v>
      </c>
      <c r="M1502">
        <v>7200000</v>
      </c>
      <c r="N1502" t="s">
        <v>228</v>
      </c>
      <c r="O1502">
        <v>29</v>
      </c>
      <c r="P1502">
        <v>2</v>
      </c>
      <c r="Q1502">
        <v>0</v>
      </c>
      <c r="R1502">
        <v>1</v>
      </c>
      <c r="S1502">
        <v>0</v>
      </c>
      <c r="T1502">
        <v>5</v>
      </c>
      <c r="U1502">
        <v>5</v>
      </c>
      <c r="V1502">
        <v>12</v>
      </c>
      <c r="W1502">
        <v>13</v>
      </c>
      <c r="X1502">
        <v>13</v>
      </c>
      <c r="Y1502">
        <v>10</v>
      </c>
      <c r="Z1502">
        <v>3</v>
      </c>
      <c r="AA1502">
        <v>1</v>
      </c>
      <c r="AB1502">
        <v>0</v>
      </c>
      <c r="AC1502">
        <v>2</v>
      </c>
      <c r="AD1502">
        <v>7</v>
      </c>
      <c r="AE1502">
        <v>11</v>
      </c>
      <c r="AF1502">
        <v>2</v>
      </c>
      <c r="AG1502">
        <v>4</v>
      </c>
      <c r="AH1502">
        <v>2</v>
      </c>
      <c r="AI1502">
        <v>1</v>
      </c>
    </row>
    <row r="1503" spans="1:35" hidden="1" x14ac:dyDescent="0.25">
      <c r="A1503">
        <v>2020</v>
      </c>
      <c r="B1503" s="1">
        <v>44234</v>
      </c>
      <c r="C1503">
        <v>35</v>
      </c>
      <c r="D1503">
        <v>0</v>
      </c>
      <c r="E1503">
        <v>13000</v>
      </c>
      <c r="F1503" t="s">
        <v>76</v>
      </c>
      <c r="G1503" t="s">
        <v>419</v>
      </c>
      <c r="H1503" t="s">
        <v>408</v>
      </c>
      <c r="I1503" t="s">
        <v>71</v>
      </c>
      <c r="J1503">
        <v>13</v>
      </c>
      <c r="K1503">
        <v>8</v>
      </c>
      <c r="L1503">
        <v>7500000</v>
      </c>
      <c r="M1503">
        <v>30200000</v>
      </c>
      <c r="N1503">
        <v>25</v>
      </c>
      <c r="O1503" t="s">
        <v>270</v>
      </c>
      <c r="P1503">
        <v>1</v>
      </c>
      <c r="Q1503">
        <v>1</v>
      </c>
      <c r="R1503">
        <v>1</v>
      </c>
      <c r="S1503">
        <v>0</v>
      </c>
      <c r="T1503">
        <v>0</v>
      </c>
      <c r="U1503">
        <v>10</v>
      </c>
      <c r="V1503">
        <v>18</v>
      </c>
      <c r="W1503">
        <v>13</v>
      </c>
      <c r="X1503">
        <v>13</v>
      </c>
      <c r="Y1503">
        <v>16</v>
      </c>
      <c r="Z1503">
        <v>2</v>
      </c>
      <c r="AA1503">
        <v>2</v>
      </c>
      <c r="AB1503">
        <v>1</v>
      </c>
      <c r="AC1503">
        <v>4</v>
      </c>
      <c r="AD1503">
        <v>8</v>
      </c>
      <c r="AE1503">
        <v>18</v>
      </c>
      <c r="AF1503">
        <v>5</v>
      </c>
      <c r="AG1503">
        <v>11</v>
      </c>
      <c r="AH1503">
        <v>0</v>
      </c>
      <c r="AI1503">
        <v>0</v>
      </c>
    </row>
    <row r="1504" spans="1:35" hidden="1" x14ac:dyDescent="0.25">
      <c r="A1504">
        <v>2020</v>
      </c>
      <c r="B1504" s="1">
        <v>44253</v>
      </c>
      <c r="C1504">
        <v>38</v>
      </c>
      <c r="D1504">
        <v>0</v>
      </c>
      <c r="E1504">
        <v>13000</v>
      </c>
      <c r="F1504" t="s">
        <v>76</v>
      </c>
      <c r="G1504" t="s">
        <v>321</v>
      </c>
      <c r="H1504" t="s">
        <v>408</v>
      </c>
      <c r="I1504" t="s">
        <v>358</v>
      </c>
      <c r="J1504">
        <v>13</v>
      </c>
      <c r="K1504">
        <v>19</v>
      </c>
      <c r="L1504">
        <v>5730000</v>
      </c>
      <c r="M1504">
        <v>2930000</v>
      </c>
      <c r="N1504" t="s">
        <v>104</v>
      </c>
      <c r="O1504" t="s">
        <v>60</v>
      </c>
      <c r="P1504">
        <v>3</v>
      </c>
      <c r="Q1504">
        <v>1</v>
      </c>
      <c r="R1504">
        <v>3</v>
      </c>
      <c r="S1504">
        <v>0</v>
      </c>
      <c r="T1504">
        <v>7</v>
      </c>
      <c r="U1504">
        <v>4</v>
      </c>
      <c r="V1504">
        <v>8</v>
      </c>
      <c r="W1504">
        <v>9</v>
      </c>
      <c r="X1504">
        <v>9</v>
      </c>
      <c r="Y1504">
        <v>8</v>
      </c>
      <c r="Z1504">
        <v>0</v>
      </c>
      <c r="AA1504">
        <v>4</v>
      </c>
      <c r="AB1504">
        <v>1</v>
      </c>
      <c r="AC1504">
        <v>1</v>
      </c>
      <c r="AD1504">
        <v>18</v>
      </c>
      <c r="AE1504">
        <v>9</v>
      </c>
      <c r="AF1504">
        <v>8</v>
      </c>
      <c r="AG1504">
        <v>8</v>
      </c>
      <c r="AH1504">
        <v>2</v>
      </c>
      <c r="AI1504">
        <v>1</v>
      </c>
    </row>
    <row r="1505" spans="1:35" hidden="1" x14ac:dyDescent="0.25">
      <c r="A1505">
        <v>2020</v>
      </c>
      <c r="B1505" s="1">
        <v>44059</v>
      </c>
      <c r="C1505">
        <v>3</v>
      </c>
      <c r="D1505">
        <v>0</v>
      </c>
      <c r="E1505">
        <v>57000</v>
      </c>
      <c r="F1505" t="s">
        <v>89</v>
      </c>
      <c r="G1505" t="s">
        <v>361</v>
      </c>
      <c r="H1505" t="s">
        <v>329</v>
      </c>
      <c r="I1505" t="s">
        <v>340</v>
      </c>
      <c r="J1505">
        <v>4</v>
      </c>
      <c r="K1505">
        <v>12</v>
      </c>
      <c r="L1505">
        <v>18600000</v>
      </c>
      <c r="M1505">
        <v>5930000</v>
      </c>
      <c r="N1505" t="s">
        <v>122</v>
      </c>
      <c r="O1505" t="s">
        <v>92</v>
      </c>
      <c r="P1505">
        <v>2</v>
      </c>
      <c r="Q1505">
        <v>0</v>
      </c>
      <c r="R1505">
        <v>0</v>
      </c>
      <c r="S1505">
        <v>0</v>
      </c>
      <c r="T1505">
        <v>4</v>
      </c>
      <c r="U1505">
        <v>0</v>
      </c>
      <c r="V1505">
        <v>14</v>
      </c>
      <c r="W1505">
        <v>15</v>
      </c>
      <c r="X1505">
        <v>12</v>
      </c>
      <c r="Y1505">
        <v>12</v>
      </c>
      <c r="Z1505">
        <v>1</v>
      </c>
      <c r="AA1505">
        <v>3</v>
      </c>
      <c r="AB1505">
        <v>2</v>
      </c>
      <c r="AC1505">
        <v>1</v>
      </c>
      <c r="AD1505">
        <v>11</v>
      </c>
      <c r="AE1505">
        <v>13</v>
      </c>
      <c r="AF1505">
        <v>3</v>
      </c>
      <c r="AG1505">
        <v>7</v>
      </c>
      <c r="AH1505">
        <v>2</v>
      </c>
      <c r="AI1505">
        <v>1</v>
      </c>
    </row>
    <row r="1506" spans="1:35" hidden="1" x14ac:dyDescent="0.25">
      <c r="A1506">
        <v>2020</v>
      </c>
      <c r="B1506" s="1">
        <v>44078</v>
      </c>
      <c r="C1506">
        <v>7</v>
      </c>
      <c r="D1506">
        <v>0</v>
      </c>
      <c r="E1506">
        <v>23018</v>
      </c>
      <c r="F1506" t="s">
        <v>89</v>
      </c>
      <c r="G1506" t="s">
        <v>62</v>
      </c>
      <c r="H1506" t="s">
        <v>329</v>
      </c>
      <c r="I1506" t="s">
        <v>57</v>
      </c>
      <c r="J1506">
        <v>9</v>
      </c>
      <c r="K1506">
        <v>2</v>
      </c>
      <c r="L1506">
        <v>20900000</v>
      </c>
      <c r="M1506">
        <v>17400000</v>
      </c>
      <c r="N1506" t="s">
        <v>209</v>
      </c>
      <c r="O1506" t="s">
        <v>252</v>
      </c>
      <c r="P1506">
        <v>3</v>
      </c>
      <c r="Q1506">
        <v>0</v>
      </c>
      <c r="R1506">
        <v>2</v>
      </c>
      <c r="S1506">
        <v>0</v>
      </c>
      <c r="T1506">
        <v>5</v>
      </c>
      <c r="U1506">
        <v>3</v>
      </c>
      <c r="V1506">
        <v>18</v>
      </c>
      <c r="W1506">
        <v>11</v>
      </c>
      <c r="X1506">
        <v>10</v>
      </c>
      <c r="Y1506">
        <v>16</v>
      </c>
      <c r="Z1506">
        <v>4</v>
      </c>
      <c r="AA1506">
        <v>5</v>
      </c>
      <c r="AB1506">
        <v>3</v>
      </c>
      <c r="AC1506">
        <v>1</v>
      </c>
      <c r="AD1506">
        <v>14</v>
      </c>
      <c r="AE1506">
        <v>13</v>
      </c>
      <c r="AF1506">
        <v>3</v>
      </c>
      <c r="AG1506">
        <v>7</v>
      </c>
      <c r="AH1506">
        <v>3</v>
      </c>
      <c r="AI1506">
        <v>1</v>
      </c>
    </row>
    <row r="1507" spans="1:35" hidden="1" x14ac:dyDescent="0.25">
      <c r="A1507">
        <v>2020</v>
      </c>
      <c r="B1507" s="1">
        <v>44087</v>
      </c>
      <c r="C1507">
        <v>10</v>
      </c>
      <c r="D1507">
        <v>0</v>
      </c>
      <c r="E1507">
        <v>23018</v>
      </c>
      <c r="F1507" t="s">
        <v>89</v>
      </c>
      <c r="G1507" t="s">
        <v>56</v>
      </c>
      <c r="H1507" t="s">
        <v>329</v>
      </c>
      <c r="I1507" t="s">
        <v>341</v>
      </c>
      <c r="J1507">
        <v>5</v>
      </c>
      <c r="K1507">
        <v>19</v>
      </c>
      <c r="L1507">
        <v>30500000</v>
      </c>
      <c r="M1507">
        <v>17580000</v>
      </c>
      <c r="N1507" t="s">
        <v>233</v>
      </c>
      <c r="O1507" t="s">
        <v>80</v>
      </c>
      <c r="P1507">
        <v>2</v>
      </c>
      <c r="Q1507">
        <v>1</v>
      </c>
      <c r="R1507">
        <v>1</v>
      </c>
      <c r="S1507">
        <v>0</v>
      </c>
      <c r="T1507">
        <v>8</v>
      </c>
      <c r="U1507">
        <v>3</v>
      </c>
      <c r="V1507">
        <v>13</v>
      </c>
      <c r="W1507">
        <v>18</v>
      </c>
      <c r="X1507">
        <v>18</v>
      </c>
      <c r="Y1507">
        <v>12</v>
      </c>
      <c r="Z1507">
        <v>3</v>
      </c>
      <c r="AA1507">
        <v>5</v>
      </c>
      <c r="AB1507">
        <v>5</v>
      </c>
      <c r="AC1507">
        <v>0</v>
      </c>
      <c r="AD1507">
        <v>14</v>
      </c>
      <c r="AE1507">
        <v>12</v>
      </c>
      <c r="AF1507">
        <v>5</v>
      </c>
      <c r="AG1507">
        <v>6</v>
      </c>
      <c r="AH1507">
        <v>1</v>
      </c>
      <c r="AI1507">
        <v>1</v>
      </c>
    </row>
    <row r="1508" spans="1:35" hidden="1" x14ac:dyDescent="0.25">
      <c r="A1508">
        <v>2020</v>
      </c>
      <c r="B1508" s="1">
        <v>44101</v>
      </c>
      <c r="C1508">
        <v>12</v>
      </c>
      <c r="D1508">
        <v>0</v>
      </c>
      <c r="E1508">
        <v>23018</v>
      </c>
      <c r="F1508" t="s">
        <v>89</v>
      </c>
      <c r="G1508" t="s">
        <v>83</v>
      </c>
      <c r="H1508" t="s">
        <v>329</v>
      </c>
      <c r="I1508" t="s">
        <v>85</v>
      </c>
      <c r="J1508">
        <v>1</v>
      </c>
      <c r="K1508">
        <v>8</v>
      </c>
      <c r="L1508">
        <v>32600000</v>
      </c>
      <c r="M1508">
        <v>42600000</v>
      </c>
      <c r="N1508" t="s">
        <v>233</v>
      </c>
      <c r="O1508" t="s">
        <v>137</v>
      </c>
      <c r="P1508">
        <v>3</v>
      </c>
      <c r="Q1508">
        <v>1</v>
      </c>
      <c r="R1508">
        <v>1</v>
      </c>
      <c r="S1508">
        <v>0</v>
      </c>
      <c r="T1508">
        <v>9</v>
      </c>
      <c r="U1508">
        <v>4</v>
      </c>
      <c r="V1508">
        <v>20</v>
      </c>
      <c r="W1508">
        <v>11</v>
      </c>
      <c r="X1508">
        <v>10</v>
      </c>
      <c r="Y1508">
        <v>20</v>
      </c>
      <c r="Z1508">
        <v>3</v>
      </c>
      <c r="AA1508">
        <v>3</v>
      </c>
      <c r="AB1508">
        <v>0</v>
      </c>
      <c r="AC1508">
        <v>0</v>
      </c>
      <c r="AD1508">
        <v>20</v>
      </c>
      <c r="AE1508">
        <v>9</v>
      </c>
      <c r="AF1508">
        <v>7</v>
      </c>
      <c r="AG1508">
        <v>5</v>
      </c>
      <c r="AH1508">
        <v>2</v>
      </c>
      <c r="AI1508">
        <v>1</v>
      </c>
    </row>
    <row r="1509" spans="1:35" hidden="1" x14ac:dyDescent="0.25">
      <c r="A1509">
        <v>2020</v>
      </c>
      <c r="B1509" s="1">
        <v>44115</v>
      </c>
      <c r="C1509">
        <v>15</v>
      </c>
      <c r="D1509">
        <v>0</v>
      </c>
      <c r="E1509">
        <v>57018</v>
      </c>
      <c r="F1509" t="s">
        <v>89</v>
      </c>
      <c r="G1509" t="s">
        <v>416</v>
      </c>
      <c r="H1509" t="s">
        <v>329</v>
      </c>
      <c r="I1509" t="s">
        <v>420</v>
      </c>
      <c r="J1509">
        <v>1</v>
      </c>
      <c r="K1509">
        <v>20</v>
      </c>
      <c r="L1509">
        <v>27800000</v>
      </c>
      <c r="M1509">
        <v>9200000</v>
      </c>
      <c r="N1509" t="s">
        <v>122</v>
      </c>
      <c r="O1509" t="s">
        <v>151</v>
      </c>
      <c r="P1509">
        <v>3</v>
      </c>
      <c r="Q1509">
        <v>0</v>
      </c>
      <c r="R1509">
        <v>2</v>
      </c>
      <c r="S1509">
        <v>0</v>
      </c>
      <c r="T1509">
        <v>8</v>
      </c>
      <c r="U1509">
        <v>1</v>
      </c>
      <c r="V1509">
        <v>14</v>
      </c>
      <c r="W1509">
        <v>11</v>
      </c>
      <c r="X1509">
        <v>11</v>
      </c>
      <c r="Y1509">
        <v>13</v>
      </c>
      <c r="Z1509">
        <v>3</v>
      </c>
      <c r="AA1509">
        <v>8</v>
      </c>
      <c r="AB1509">
        <v>4</v>
      </c>
      <c r="AC1509">
        <v>1</v>
      </c>
      <c r="AD1509">
        <v>23</v>
      </c>
      <c r="AE1509">
        <v>4</v>
      </c>
      <c r="AF1509">
        <v>8</v>
      </c>
      <c r="AG1509">
        <v>0</v>
      </c>
      <c r="AH1509">
        <v>3</v>
      </c>
      <c r="AI1509">
        <v>1</v>
      </c>
    </row>
    <row r="1510" spans="1:35" hidden="1" x14ac:dyDescent="0.25">
      <c r="A1510">
        <v>2020</v>
      </c>
      <c r="B1510" s="1">
        <v>44129</v>
      </c>
      <c r="C1510">
        <v>18</v>
      </c>
      <c r="D1510">
        <v>0</v>
      </c>
      <c r="E1510">
        <v>57000</v>
      </c>
      <c r="F1510" t="s">
        <v>89</v>
      </c>
      <c r="G1510" t="s">
        <v>391</v>
      </c>
      <c r="H1510" t="s">
        <v>329</v>
      </c>
      <c r="I1510" t="s">
        <v>78</v>
      </c>
      <c r="J1510">
        <v>3</v>
      </c>
      <c r="K1510">
        <v>11</v>
      </c>
      <c r="L1510">
        <v>31100000</v>
      </c>
      <c r="M1510">
        <v>7350000</v>
      </c>
      <c r="N1510" t="s">
        <v>116</v>
      </c>
      <c r="O1510" t="s">
        <v>296</v>
      </c>
      <c r="P1510">
        <v>0</v>
      </c>
      <c r="Q1510">
        <v>0</v>
      </c>
      <c r="R1510">
        <v>0</v>
      </c>
      <c r="S1510">
        <v>0</v>
      </c>
      <c r="T1510">
        <v>13</v>
      </c>
      <c r="U1510">
        <v>4</v>
      </c>
      <c r="V1510">
        <v>10</v>
      </c>
      <c r="W1510">
        <v>11</v>
      </c>
      <c r="X1510">
        <v>11</v>
      </c>
      <c r="Y1510">
        <v>7</v>
      </c>
      <c r="Z1510">
        <v>0</v>
      </c>
      <c r="AA1510">
        <v>9</v>
      </c>
      <c r="AB1510">
        <v>2</v>
      </c>
      <c r="AC1510">
        <v>1</v>
      </c>
      <c r="AD1510">
        <v>26</v>
      </c>
      <c r="AE1510">
        <v>3</v>
      </c>
      <c r="AF1510">
        <v>11</v>
      </c>
      <c r="AG1510">
        <v>3</v>
      </c>
      <c r="AH1510">
        <v>0</v>
      </c>
      <c r="AI1510">
        <v>0</v>
      </c>
    </row>
    <row r="1511" spans="1:35" hidden="1" x14ac:dyDescent="0.25">
      <c r="A1511">
        <v>2020</v>
      </c>
      <c r="B1511" s="1">
        <v>44143</v>
      </c>
      <c r="C1511">
        <v>20</v>
      </c>
      <c r="D1511">
        <v>0</v>
      </c>
      <c r="E1511">
        <v>57000</v>
      </c>
      <c r="F1511" t="s">
        <v>89</v>
      </c>
      <c r="G1511" t="s">
        <v>77</v>
      </c>
      <c r="H1511" t="s">
        <v>329</v>
      </c>
      <c r="I1511" t="s">
        <v>430</v>
      </c>
      <c r="J1511">
        <v>4</v>
      </c>
      <c r="K1511">
        <v>3</v>
      </c>
      <c r="L1511">
        <v>32400000</v>
      </c>
      <c r="M1511">
        <v>51750000</v>
      </c>
      <c r="N1511" t="s">
        <v>117</v>
      </c>
      <c r="O1511">
        <v>27</v>
      </c>
      <c r="P1511">
        <v>4</v>
      </c>
      <c r="Q1511">
        <v>0</v>
      </c>
      <c r="R1511">
        <v>2</v>
      </c>
      <c r="S1511">
        <v>0</v>
      </c>
      <c r="T1511">
        <v>2</v>
      </c>
      <c r="U1511">
        <v>7</v>
      </c>
      <c r="V1511">
        <v>21</v>
      </c>
      <c r="W1511">
        <v>13</v>
      </c>
      <c r="X1511">
        <v>12</v>
      </c>
      <c r="Y1511">
        <v>19</v>
      </c>
      <c r="Z1511">
        <v>5</v>
      </c>
      <c r="AA1511">
        <v>1</v>
      </c>
      <c r="AB1511">
        <v>1</v>
      </c>
      <c r="AC1511">
        <v>1</v>
      </c>
      <c r="AD1511">
        <v>9</v>
      </c>
      <c r="AE1511">
        <v>13</v>
      </c>
      <c r="AF1511">
        <v>4</v>
      </c>
      <c r="AG1511">
        <v>5</v>
      </c>
      <c r="AH1511">
        <v>4</v>
      </c>
      <c r="AI1511">
        <v>1</v>
      </c>
    </row>
    <row r="1512" spans="1:35" hidden="1" x14ac:dyDescent="0.25">
      <c r="A1512">
        <v>2020</v>
      </c>
      <c r="B1512" s="1">
        <v>44161</v>
      </c>
      <c r="C1512">
        <v>23</v>
      </c>
      <c r="D1512">
        <v>0</v>
      </c>
      <c r="E1512">
        <v>57000</v>
      </c>
      <c r="F1512" t="s">
        <v>89</v>
      </c>
      <c r="G1512" t="s">
        <v>51</v>
      </c>
      <c r="H1512" t="s">
        <v>329</v>
      </c>
      <c r="I1512" t="s">
        <v>421</v>
      </c>
      <c r="J1512">
        <v>2</v>
      </c>
      <c r="K1512">
        <v>19</v>
      </c>
      <c r="L1512">
        <v>35500000</v>
      </c>
      <c r="M1512">
        <v>10330000</v>
      </c>
      <c r="N1512" t="s">
        <v>239</v>
      </c>
      <c r="O1512" t="s">
        <v>233</v>
      </c>
      <c r="P1512">
        <v>2</v>
      </c>
      <c r="Q1512">
        <v>1</v>
      </c>
      <c r="R1512">
        <v>1</v>
      </c>
      <c r="S1512">
        <v>0</v>
      </c>
      <c r="T1512">
        <v>10</v>
      </c>
      <c r="U1512">
        <v>2</v>
      </c>
      <c r="V1512">
        <v>25</v>
      </c>
      <c r="W1512">
        <v>19</v>
      </c>
      <c r="X1512">
        <v>19</v>
      </c>
      <c r="Y1512">
        <v>23</v>
      </c>
      <c r="Z1512">
        <v>2</v>
      </c>
      <c r="AA1512">
        <v>4</v>
      </c>
      <c r="AB1512">
        <v>2</v>
      </c>
      <c r="AC1512">
        <v>4</v>
      </c>
      <c r="AD1512">
        <v>11</v>
      </c>
      <c r="AE1512">
        <v>4</v>
      </c>
      <c r="AF1512">
        <v>5</v>
      </c>
      <c r="AG1512">
        <v>1</v>
      </c>
      <c r="AH1512">
        <v>1</v>
      </c>
      <c r="AI1512">
        <v>1</v>
      </c>
    </row>
    <row r="1513" spans="1:35" hidden="1" x14ac:dyDescent="0.25">
      <c r="A1513">
        <v>2020</v>
      </c>
      <c r="B1513" s="1">
        <v>44191</v>
      </c>
      <c r="C1513">
        <v>27</v>
      </c>
      <c r="D1513">
        <v>0</v>
      </c>
      <c r="E1513">
        <v>57000</v>
      </c>
      <c r="F1513" t="s">
        <v>89</v>
      </c>
      <c r="G1513" t="s">
        <v>321</v>
      </c>
      <c r="H1513" t="s">
        <v>329</v>
      </c>
      <c r="I1513" t="s">
        <v>437</v>
      </c>
      <c r="J1513">
        <v>3</v>
      </c>
      <c r="K1513">
        <v>19</v>
      </c>
      <c r="L1513">
        <v>42500000</v>
      </c>
      <c r="M1513">
        <v>8200000</v>
      </c>
      <c r="N1513" t="s">
        <v>120</v>
      </c>
      <c r="O1513" t="s">
        <v>100</v>
      </c>
      <c r="P1513">
        <v>2</v>
      </c>
      <c r="Q1513">
        <v>0</v>
      </c>
      <c r="R1513">
        <v>0</v>
      </c>
      <c r="S1513">
        <v>0</v>
      </c>
      <c r="T1513">
        <v>13</v>
      </c>
      <c r="U1513">
        <v>3</v>
      </c>
      <c r="V1513">
        <v>15</v>
      </c>
      <c r="W1513">
        <v>13</v>
      </c>
      <c r="X1513">
        <v>12</v>
      </c>
      <c r="Y1513">
        <v>15</v>
      </c>
      <c r="Z1513">
        <v>3</v>
      </c>
      <c r="AA1513">
        <v>7</v>
      </c>
      <c r="AB1513">
        <v>0</v>
      </c>
      <c r="AC1513">
        <v>2</v>
      </c>
      <c r="AD1513">
        <v>25</v>
      </c>
      <c r="AE1513">
        <v>7</v>
      </c>
      <c r="AF1513">
        <v>7</v>
      </c>
      <c r="AG1513">
        <v>4</v>
      </c>
      <c r="AH1513">
        <v>2</v>
      </c>
      <c r="AI1513">
        <v>1</v>
      </c>
    </row>
    <row r="1514" spans="1:35" hidden="1" x14ac:dyDescent="0.25">
      <c r="A1514">
        <v>2020</v>
      </c>
      <c r="B1514" s="1">
        <v>44223</v>
      </c>
      <c r="C1514">
        <v>28</v>
      </c>
      <c r="D1514">
        <v>0</v>
      </c>
      <c r="E1514">
        <v>57000</v>
      </c>
      <c r="F1514" t="s">
        <v>89</v>
      </c>
      <c r="G1514" t="s">
        <v>419</v>
      </c>
      <c r="H1514" t="s">
        <v>329</v>
      </c>
      <c r="I1514" t="s">
        <v>71</v>
      </c>
      <c r="J1514">
        <v>3</v>
      </c>
      <c r="K1514">
        <v>8</v>
      </c>
      <c r="L1514">
        <v>30300000</v>
      </c>
      <c r="M1514">
        <v>7300000</v>
      </c>
      <c r="N1514" t="s">
        <v>73</v>
      </c>
      <c r="O1514" t="s">
        <v>113</v>
      </c>
      <c r="P1514">
        <v>2</v>
      </c>
      <c r="Q1514">
        <v>0</v>
      </c>
      <c r="R1514">
        <v>2</v>
      </c>
      <c r="S1514">
        <v>0</v>
      </c>
      <c r="T1514">
        <v>4</v>
      </c>
      <c r="U1514">
        <v>2</v>
      </c>
      <c r="V1514">
        <v>10</v>
      </c>
      <c r="W1514">
        <v>14</v>
      </c>
      <c r="X1514">
        <v>13</v>
      </c>
      <c r="Y1514">
        <v>10</v>
      </c>
      <c r="Z1514">
        <v>3</v>
      </c>
      <c r="AA1514">
        <v>3</v>
      </c>
      <c r="AB1514">
        <v>1</v>
      </c>
      <c r="AC1514">
        <v>0</v>
      </c>
      <c r="AD1514">
        <v>10</v>
      </c>
      <c r="AE1514">
        <v>5</v>
      </c>
      <c r="AF1514">
        <v>1</v>
      </c>
      <c r="AG1514">
        <v>2</v>
      </c>
      <c r="AH1514">
        <v>2</v>
      </c>
      <c r="AI1514">
        <v>1</v>
      </c>
    </row>
    <row r="1515" spans="1:35" hidden="1" x14ac:dyDescent="0.25">
      <c r="A1515">
        <v>2020</v>
      </c>
      <c r="B1515" s="1">
        <v>44213</v>
      </c>
      <c r="C1515">
        <v>30</v>
      </c>
      <c r="D1515">
        <v>0</v>
      </c>
      <c r="E1515">
        <v>57000</v>
      </c>
      <c r="F1515" t="s">
        <v>89</v>
      </c>
      <c r="G1515" t="s">
        <v>76</v>
      </c>
      <c r="H1515" t="s">
        <v>329</v>
      </c>
      <c r="I1515" t="s">
        <v>408</v>
      </c>
      <c r="J1515">
        <v>2</v>
      </c>
      <c r="K1515">
        <v>12</v>
      </c>
      <c r="L1515">
        <v>29800000</v>
      </c>
      <c r="M1515">
        <v>6850000</v>
      </c>
      <c r="N1515" t="s">
        <v>98</v>
      </c>
      <c r="O1515" t="s">
        <v>99</v>
      </c>
      <c r="P1515">
        <v>3</v>
      </c>
      <c r="Q1515">
        <v>1</v>
      </c>
      <c r="R1515">
        <v>2</v>
      </c>
      <c r="S1515">
        <v>0</v>
      </c>
      <c r="T1515">
        <v>10</v>
      </c>
      <c r="U1515">
        <v>9</v>
      </c>
      <c r="V1515">
        <v>13</v>
      </c>
      <c r="W1515">
        <v>14</v>
      </c>
      <c r="X1515">
        <v>13</v>
      </c>
      <c r="Y1515">
        <v>13</v>
      </c>
      <c r="Z1515">
        <v>2</v>
      </c>
      <c r="AA1515">
        <v>3</v>
      </c>
      <c r="AB1515">
        <v>0</v>
      </c>
      <c r="AC1515">
        <v>2</v>
      </c>
      <c r="AD1515">
        <v>22</v>
      </c>
      <c r="AE1515">
        <v>13</v>
      </c>
      <c r="AF1515">
        <v>10</v>
      </c>
      <c r="AG1515">
        <v>5</v>
      </c>
      <c r="AH1515">
        <v>2</v>
      </c>
      <c r="AI1515">
        <v>1</v>
      </c>
    </row>
    <row r="1516" spans="1:35" hidden="1" x14ac:dyDescent="0.25">
      <c r="A1516">
        <v>2020</v>
      </c>
      <c r="B1516" s="1">
        <v>44227</v>
      </c>
      <c r="C1516">
        <v>33</v>
      </c>
      <c r="D1516">
        <v>0</v>
      </c>
      <c r="E1516">
        <v>57000</v>
      </c>
      <c r="F1516" t="s">
        <v>89</v>
      </c>
      <c r="G1516" t="s">
        <v>63</v>
      </c>
      <c r="H1516" t="s">
        <v>329</v>
      </c>
      <c r="I1516" t="s">
        <v>420</v>
      </c>
      <c r="J1516">
        <v>4</v>
      </c>
      <c r="K1516">
        <v>17</v>
      </c>
      <c r="L1516">
        <v>31100000</v>
      </c>
      <c r="M1516">
        <v>6730000</v>
      </c>
      <c r="N1516" t="s">
        <v>41</v>
      </c>
      <c r="O1516" t="s">
        <v>123</v>
      </c>
      <c r="P1516">
        <v>2</v>
      </c>
      <c r="Q1516">
        <v>0</v>
      </c>
      <c r="R1516">
        <v>0</v>
      </c>
      <c r="S1516">
        <v>0</v>
      </c>
      <c r="T1516">
        <v>5</v>
      </c>
      <c r="U1516">
        <v>1</v>
      </c>
      <c r="V1516">
        <v>16</v>
      </c>
      <c r="W1516">
        <v>15</v>
      </c>
      <c r="X1516">
        <v>13</v>
      </c>
      <c r="Y1516">
        <v>15</v>
      </c>
      <c r="Z1516">
        <v>1</v>
      </c>
      <c r="AA1516">
        <v>3</v>
      </c>
      <c r="AB1516">
        <v>3</v>
      </c>
      <c r="AC1516">
        <v>2</v>
      </c>
      <c r="AD1516">
        <v>12</v>
      </c>
      <c r="AE1516">
        <v>4</v>
      </c>
      <c r="AF1516">
        <v>5</v>
      </c>
      <c r="AG1516">
        <v>2</v>
      </c>
      <c r="AH1516">
        <v>2</v>
      </c>
      <c r="AI1516">
        <v>1</v>
      </c>
    </row>
    <row r="1517" spans="1:35" hidden="1" x14ac:dyDescent="0.25">
      <c r="A1517">
        <v>2020</v>
      </c>
      <c r="B1517" s="1">
        <v>44240</v>
      </c>
      <c r="C1517">
        <v>36</v>
      </c>
      <c r="D1517">
        <v>0</v>
      </c>
      <c r="E1517">
        <v>57000</v>
      </c>
      <c r="F1517" t="s">
        <v>89</v>
      </c>
      <c r="G1517" t="s">
        <v>38</v>
      </c>
      <c r="H1517" t="s">
        <v>329</v>
      </c>
      <c r="I1517" t="s">
        <v>398</v>
      </c>
      <c r="J1517">
        <v>3</v>
      </c>
      <c r="K1517">
        <v>16</v>
      </c>
      <c r="L1517">
        <v>34200000</v>
      </c>
      <c r="M1517">
        <v>6750000</v>
      </c>
      <c r="N1517" t="s">
        <v>116</v>
      </c>
      <c r="O1517" t="s">
        <v>135</v>
      </c>
      <c r="P1517">
        <v>1</v>
      </c>
      <c r="Q1517">
        <v>1</v>
      </c>
      <c r="R1517">
        <v>1</v>
      </c>
      <c r="S1517">
        <v>0</v>
      </c>
      <c r="T1517">
        <v>6</v>
      </c>
      <c r="U1517">
        <v>2</v>
      </c>
      <c r="V1517">
        <v>10</v>
      </c>
      <c r="W1517">
        <v>9</v>
      </c>
      <c r="X1517">
        <v>9</v>
      </c>
      <c r="Y1517">
        <v>10</v>
      </c>
      <c r="Z1517">
        <v>4</v>
      </c>
      <c r="AA1517">
        <v>3</v>
      </c>
      <c r="AB1517">
        <v>1</v>
      </c>
      <c r="AC1517">
        <v>1</v>
      </c>
      <c r="AD1517">
        <v>21</v>
      </c>
      <c r="AE1517">
        <v>13</v>
      </c>
      <c r="AF1517">
        <v>6</v>
      </c>
      <c r="AG1517">
        <v>4</v>
      </c>
      <c r="AH1517">
        <v>0</v>
      </c>
      <c r="AI1517">
        <v>0</v>
      </c>
    </row>
    <row r="1518" spans="1:35" hidden="1" x14ac:dyDescent="0.25">
      <c r="A1518">
        <v>2020</v>
      </c>
      <c r="B1518" s="1">
        <v>44253</v>
      </c>
      <c r="C1518">
        <v>38</v>
      </c>
      <c r="D1518">
        <v>0</v>
      </c>
      <c r="E1518">
        <v>57000</v>
      </c>
      <c r="F1518" t="s">
        <v>89</v>
      </c>
      <c r="G1518" t="s">
        <v>95</v>
      </c>
      <c r="H1518" t="s">
        <v>329</v>
      </c>
      <c r="I1518" t="s">
        <v>97</v>
      </c>
      <c r="J1518">
        <v>3</v>
      </c>
      <c r="K1518">
        <v>7</v>
      </c>
      <c r="L1518">
        <v>43000000</v>
      </c>
      <c r="M1518">
        <v>18330000</v>
      </c>
      <c r="N1518" t="s">
        <v>99</v>
      </c>
      <c r="O1518" t="s">
        <v>318</v>
      </c>
      <c r="P1518">
        <v>2</v>
      </c>
      <c r="Q1518">
        <v>0</v>
      </c>
      <c r="R1518">
        <v>0</v>
      </c>
      <c r="S1518">
        <v>0</v>
      </c>
      <c r="T1518">
        <v>5</v>
      </c>
      <c r="U1518">
        <v>4</v>
      </c>
      <c r="V1518">
        <v>22</v>
      </c>
      <c r="W1518">
        <v>17</v>
      </c>
      <c r="X1518">
        <v>17</v>
      </c>
      <c r="Y1518">
        <v>21</v>
      </c>
      <c r="Z1518">
        <v>4</v>
      </c>
      <c r="AA1518">
        <v>6</v>
      </c>
      <c r="AB1518">
        <v>5</v>
      </c>
      <c r="AC1518">
        <v>1</v>
      </c>
      <c r="AD1518">
        <v>19</v>
      </c>
      <c r="AE1518">
        <v>9</v>
      </c>
      <c r="AF1518">
        <v>7</v>
      </c>
      <c r="AG1518">
        <v>4</v>
      </c>
      <c r="AH1518">
        <v>2</v>
      </c>
      <c r="AI1518">
        <v>1</v>
      </c>
    </row>
    <row r="1519" spans="1:35" hidden="1" x14ac:dyDescent="0.25">
      <c r="A1519">
        <v>2020</v>
      </c>
      <c r="B1519" s="1">
        <v>44064</v>
      </c>
      <c r="C1519">
        <v>4</v>
      </c>
      <c r="D1519">
        <v>0</v>
      </c>
      <c r="E1519">
        <v>35000</v>
      </c>
      <c r="F1519" t="s">
        <v>391</v>
      </c>
      <c r="G1519" t="s">
        <v>419</v>
      </c>
      <c r="H1519" t="s">
        <v>438</v>
      </c>
      <c r="I1519" t="s">
        <v>71</v>
      </c>
      <c r="J1519">
        <v>11</v>
      </c>
      <c r="K1519">
        <v>9</v>
      </c>
      <c r="L1519">
        <v>6930000</v>
      </c>
      <c r="M1519">
        <v>24750000</v>
      </c>
      <c r="N1519" t="s">
        <v>116</v>
      </c>
      <c r="O1519">
        <v>27</v>
      </c>
      <c r="P1519">
        <v>0</v>
      </c>
      <c r="Q1519">
        <v>1</v>
      </c>
      <c r="R1519">
        <v>0</v>
      </c>
      <c r="S1519">
        <v>0</v>
      </c>
      <c r="T1519">
        <v>4</v>
      </c>
      <c r="U1519">
        <v>5</v>
      </c>
      <c r="V1519">
        <v>23</v>
      </c>
      <c r="W1519">
        <v>17</v>
      </c>
      <c r="X1519">
        <v>17</v>
      </c>
      <c r="Y1519">
        <v>22</v>
      </c>
      <c r="Z1519">
        <v>4</v>
      </c>
      <c r="AA1519">
        <v>5</v>
      </c>
      <c r="AB1519">
        <v>1</v>
      </c>
      <c r="AC1519">
        <v>1</v>
      </c>
      <c r="AD1519">
        <v>11</v>
      </c>
      <c r="AE1519">
        <v>16</v>
      </c>
      <c r="AF1519">
        <v>3</v>
      </c>
      <c r="AG1519">
        <v>10</v>
      </c>
      <c r="AH1519">
        <v>-1</v>
      </c>
      <c r="AI1519">
        <v>0</v>
      </c>
    </row>
    <row r="1520" spans="1:35" hidden="1" x14ac:dyDescent="0.25">
      <c r="A1520">
        <v>2020</v>
      </c>
      <c r="B1520" s="1">
        <v>44081</v>
      </c>
      <c r="C1520">
        <v>8</v>
      </c>
      <c r="D1520">
        <v>0</v>
      </c>
      <c r="E1520">
        <v>35000</v>
      </c>
      <c r="F1520" t="s">
        <v>391</v>
      </c>
      <c r="G1520" t="s">
        <v>416</v>
      </c>
      <c r="H1520" t="s">
        <v>78</v>
      </c>
      <c r="I1520" t="s">
        <v>433</v>
      </c>
      <c r="J1520">
        <v>15</v>
      </c>
      <c r="K1520">
        <v>20</v>
      </c>
      <c r="L1520">
        <v>6130000</v>
      </c>
      <c r="M1520">
        <v>8130000</v>
      </c>
      <c r="N1520" t="s">
        <v>120</v>
      </c>
      <c r="O1520" t="s">
        <v>122</v>
      </c>
      <c r="P1520">
        <v>2</v>
      </c>
      <c r="Q1520">
        <v>1</v>
      </c>
      <c r="R1520">
        <v>0</v>
      </c>
      <c r="S1520">
        <v>0</v>
      </c>
      <c r="T1520">
        <v>9</v>
      </c>
      <c r="U1520">
        <v>4</v>
      </c>
      <c r="V1520">
        <v>18</v>
      </c>
      <c r="W1520">
        <v>17</v>
      </c>
      <c r="X1520">
        <v>15</v>
      </c>
      <c r="Y1520">
        <v>16</v>
      </c>
      <c r="Z1520">
        <v>4</v>
      </c>
      <c r="AA1520">
        <v>4</v>
      </c>
      <c r="AB1520">
        <v>1</v>
      </c>
      <c r="AC1520">
        <v>0</v>
      </c>
      <c r="AD1520">
        <v>17</v>
      </c>
      <c r="AE1520">
        <v>10</v>
      </c>
      <c r="AF1520">
        <v>6</v>
      </c>
      <c r="AG1520">
        <v>5</v>
      </c>
      <c r="AH1520">
        <v>1</v>
      </c>
      <c r="AI1520">
        <v>1</v>
      </c>
    </row>
    <row r="1521" spans="1:35" hidden="1" x14ac:dyDescent="0.25">
      <c r="A1521">
        <v>2020</v>
      </c>
      <c r="B1521" s="1">
        <v>44095</v>
      </c>
      <c r="C1521">
        <v>11</v>
      </c>
      <c r="D1521">
        <v>0</v>
      </c>
      <c r="E1521">
        <v>35000</v>
      </c>
      <c r="F1521" t="s">
        <v>391</v>
      </c>
      <c r="G1521" t="s">
        <v>55</v>
      </c>
      <c r="H1521" t="s">
        <v>78</v>
      </c>
      <c r="I1521" t="s">
        <v>328</v>
      </c>
      <c r="J1521">
        <v>15</v>
      </c>
      <c r="K1521">
        <v>10</v>
      </c>
      <c r="L1521">
        <v>6850000</v>
      </c>
      <c r="M1521">
        <v>11600000</v>
      </c>
      <c r="N1521">
        <v>28</v>
      </c>
      <c r="O1521" t="s">
        <v>117</v>
      </c>
      <c r="P1521">
        <v>1</v>
      </c>
      <c r="Q1521">
        <v>0</v>
      </c>
      <c r="R1521">
        <v>1</v>
      </c>
      <c r="S1521">
        <v>0</v>
      </c>
      <c r="T1521">
        <v>5</v>
      </c>
      <c r="U1521">
        <v>8</v>
      </c>
      <c r="V1521">
        <v>10</v>
      </c>
      <c r="W1521">
        <v>9</v>
      </c>
      <c r="X1521">
        <v>9</v>
      </c>
      <c r="Y1521">
        <v>8</v>
      </c>
      <c r="Z1521">
        <v>4</v>
      </c>
      <c r="AA1521">
        <v>2</v>
      </c>
      <c r="AB1521">
        <v>3</v>
      </c>
      <c r="AC1521">
        <v>3</v>
      </c>
      <c r="AD1521">
        <v>8</v>
      </c>
      <c r="AE1521">
        <v>18</v>
      </c>
      <c r="AF1521">
        <v>2</v>
      </c>
      <c r="AG1521">
        <v>9</v>
      </c>
      <c r="AH1521">
        <v>1</v>
      </c>
      <c r="AI1521">
        <v>1</v>
      </c>
    </row>
    <row r="1522" spans="1:35" hidden="1" x14ac:dyDescent="0.25">
      <c r="A1522">
        <v>2020</v>
      </c>
      <c r="B1522" s="1">
        <v>44098</v>
      </c>
      <c r="C1522">
        <v>12</v>
      </c>
      <c r="D1522">
        <v>0</v>
      </c>
      <c r="E1522">
        <v>35000</v>
      </c>
      <c r="F1522" t="s">
        <v>391</v>
      </c>
      <c r="G1522" t="s">
        <v>88</v>
      </c>
      <c r="H1522" t="s">
        <v>78</v>
      </c>
      <c r="I1522" t="s">
        <v>436</v>
      </c>
      <c r="J1522">
        <v>12</v>
      </c>
      <c r="K1522">
        <v>14</v>
      </c>
      <c r="L1522">
        <v>8500000</v>
      </c>
      <c r="M1522">
        <v>23500000</v>
      </c>
      <c r="N1522" t="s">
        <v>92</v>
      </c>
      <c r="O1522" t="s">
        <v>114</v>
      </c>
      <c r="P1522">
        <v>1</v>
      </c>
      <c r="Q1522">
        <v>0</v>
      </c>
      <c r="R1522">
        <v>1</v>
      </c>
      <c r="S1522">
        <v>0</v>
      </c>
      <c r="T1522">
        <v>3</v>
      </c>
      <c r="U1522">
        <v>8</v>
      </c>
      <c r="V1522">
        <v>11</v>
      </c>
      <c r="W1522">
        <v>15</v>
      </c>
      <c r="X1522">
        <v>14</v>
      </c>
      <c r="Y1522">
        <v>11</v>
      </c>
      <c r="Z1522">
        <v>2</v>
      </c>
      <c r="AA1522">
        <v>1</v>
      </c>
      <c r="AB1522">
        <v>1</v>
      </c>
      <c r="AC1522">
        <v>2</v>
      </c>
      <c r="AD1522">
        <v>9</v>
      </c>
      <c r="AE1522">
        <v>16</v>
      </c>
      <c r="AF1522">
        <v>3</v>
      </c>
      <c r="AG1522">
        <v>8</v>
      </c>
      <c r="AH1522">
        <v>1</v>
      </c>
      <c r="AI1522">
        <v>1</v>
      </c>
    </row>
    <row r="1523" spans="1:35" hidden="1" x14ac:dyDescent="0.25">
      <c r="A1523">
        <v>2020</v>
      </c>
      <c r="B1523" s="1">
        <v>44136</v>
      </c>
      <c r="C1523">
        <v>19</v>
      </c>
      <c r="D1523">
        <v>0</v>
      </c>
      <c r="E1523">
        <v>35000</v>
      </c>
      <c r="F1523" t="s">
        <v>391</v>
      </c>
      <c r="G1523" t="s">
        <v>69</v>
      </c>
      <c r="H1523" t="s">
        <v>78</v>
      </c>
      <c r="I1523" t="s">
        <v>334</v>
      </c>
      <c r="J1523">
        <v>13</v>
      </c>
      <c r="K1523">
        <v>16</v>
      </c>
      <c r="L1523">
        <v>8300000</v>
      </c>
      <c r="M1523">
        <v>15400000</v>
      </c>
      <c r="N1523" t="s">
        <v>86</v>
      </c>
      <c r="O1523">
        <v>26</v>
      </c>
      <c r="P1523">
        <v>1</v>
      </c>
      <c r="Q1523">
        <v>0</v>
      </c>
      <c r="R1523">
        <v>0</v>
      </c>
      <c r="S1523">
        <v>0</v>
      </c>
      <c r="T1523">
        <v>2</v>
      </c>
      <c r="U1523">
        <v>5</v>
      </c>
      <c r="V1523">
        <v>17</v>
      </c>
      <c r="W1523">
        <v>15</v>
      </c>
      <c r="X1523">
        <v>15</v>
      </c>
      <c r="Y1523">
        <v>16</v>
      </c>
      <c r="Z1523">
        <v>2</v>
      </c>
      <c r="AA1523">
        <v>2</v>
      </c>
      <c r="AB1523">
        <v>3</v>
      </c>
      <c r="AC1523">
        <v>3</v>
      </c>
      <c r="AD1523">
        <v>11</v>
      </c>
      <c r="AE1523">
        <v>12</v>
      </c>
      <c r="AF1523">
        <v>4</v>
      </c>
      <c r="AG1523">
        <v>7</v>
      </c>
      <c r="AH1523">
        <v>1</v>
      </c>
      <c r="AI1523">
        <v>1</v>
      </c>
    </row>
    <row r="1524" spans="1:35" hidden="1" x14ac:dyDescent="0.25">
      <c r="A1524">
        <v>2020</v>
      </c>
      <c r="B1524" s="1">
        <v>44158</v>
      </c>
      <c r="C1524">
        <v>22</v>
      </c>
      <c r="D1524">
        <v>0</v>
      </c>
      <c r="E1524">
        <v>35000</v>
      </c>
      <c r="F1524" t="s">
        <v>391</v>
      </c>
      <c r="G1524" t="s">
        <v>76</v>
      </c>
      <c r="H1524" t="s">
        <v>78</v>
      </c>
      <c r="I1524" t="s">
        <v>408</v>
      </c>
      <c r="J1524">
        <v>11</v>
      </c>
      <c r="K1524">
        <v>16</v>
      </c>
      <c r="L1524">
        <v>8250000</v>
      </c>
      <c r="M1524">
        <v>7600000</v>
      </c>
      <c r="N1524">
        <v>29</v>
      </c>
      <c r="O1524" t="s">
        <v>228</v>
      </c>
      <c r="P1524">
        <v>0</v>
      </c>
      <c r="Q1524">
        <v>1</v>
      </c>
      <c r="R1524">
        <v>0</v>
      </c>
      <c r="S1524">
        <v>0</v>
      </c>
      <c r="T1524">
        <v>10</v>
      </c>
      <c r="U1524">
        <v>5</v>
      </c>
      <c r="V1524">
        <v>17</v>
      </c>
      <c r="W1524">
        <v>16</v>
      </c>
      <c r="X1524">
        <v>14</v>
      </c>
      <c r="Y1524">
        <v>16</v>
      </c>
      <c r="Z1524">
        <v>3</v>
      </c>
      <c r="AA1524">
        <v>1</v>
      </c>
      <c r="AB1524">
        <v>1</v>
      </c>
      <c r="AC1524">
        <v>2</v>
      </c>
      <c r="AD1524">
        <v>11</v>
      </c>
      <c r="AE1524">
        <v>12</v>
      </c>
      <c r="AF1524">
        <v>5</v>
      </c>
      <c r="AG1524">
        <v>6</v>
      </c>
      <c r="AH1524">
        <v>-1</v>
      </c>
      <c r="AI1524">
        <v>0</v>
      </c>
    </row>
    <row r="1525" spans="1:35" hidden="1" x14ac:dyDescent="0.25">
      <c r="A1525">
        <v>2020</v>
      </c>
      <c r="B1525" s="1">
        <v>44178</v>
      </c>
      <c r="C1525">
        <v>25</v>
      </c>
      <c r="D1525">
        <v>0</v>
      </c>
      <c r="E1525">
        <v>35000</v>
      </c>
      <c r="F1525" t="s">
        <v>391</v>
      </c>
      <c r="G1525" t="s">
        <v>321</v>
      </c>
      <c r="H1525" t="s">
        <v>78</v>
      </c>
      <c r="I1525" t="s">
        <v>431</v>
      </c>
      <c r="J1525">
        <v>16</v>
      </c>
      <c r="K1525">
        <v>18</v>
      </c>
      <c r="L1525">
        <v>7900000</v>
      </c>
      <c r="M1525">
        <v>8300000</v>
      </c>
      <c r="N1525" t="s">
        <v>120</v>
      </c>
      <c r="O1525" t="s">
        <v>200</v>
      </c>
      <c r="P1525">
        <v>1</v>
      </c>
      <c r="Q1525">
        <v>0</v>
      </c>
      <c r="R1525">
        <v>1</v>
      </c>
      <c r="S1525">
        <v>0</v>
      </c>
      <c r="T1525">
        <v>7</v>
      </c>
      <c r="U1525">
        <v>6</v>
      </c>
      <c r="V1525">
        <v>20</v>
      </c>
      <c r="W1525">
        <v>14</v>
      </c>
      <c r="X1525">
        <v>12</v>
      </c>
      <c r="Y1525">
        <v>16</v>
      </c>
      <c r="Z1525">
        <v>3</v>
      </c>
      <c r="AA1525">
        <v>5</v>
      </c>
      <c r="AB1525">
        <v>0</v>
      </c>
      <c r="AC1525">
        <v>0</v>
      </c>
      <c r="AD1525">
        <v>20</v>
      </c>
      <c r="AE1525">
        <v>14</v>
      </c>
      <c r="AF1525">
        <v>9</v>
      </c>
      <c r="AG1525">
        <v>6</v>
      </c>
      <c r="AH1525">
        <v>1</v>
      </c>
      <c r="AI1525">
        <v>1</v>
      </c>
    </row>
    <row r="1526" spans="1:35" hidden="1" x14ac:dyDescent="0.25">
      <c r="A1526">
        <v>2020</v>
      </c>
      <c r="B1526" s="1">
        <v>44184</v>
      </c>
      <c r="C1526">
        <v>26</v>
      </c>
      <c r="D1526">
        <v>0</v>
      </c>
      <c r="E1526">
        <v>35000</v>
      </c>
      <c r="F1526" t="s">
        <v>391</v>
      </c>
      <c r="G1526" t="s">
        <v>83</v>
      </c>
      <c r="H1526" t="s">
        <v>78</v>
      </c>
      <c r="I1526" t="s">
        <v>85</v>
      </c>
      <c r="J1526">
        <v>15</v>
      </c>
      <c r="K1526">
        <v>6</v>
      </c>
      <c r="L1526">
        <v>7900000</v>
      </c>
      <c r="M1526">
        <v>51050000</v>
      </c>
      <c r="N1526" t="s">
        <v>120</v>
      </c>
      <c r="O1526">
        <v>28</v>
      </c>
      <c r="P1526">
        <v>1</v>
      </c>
      <c r="Q1526">
        <v>1</v>
      </c>
      <c r="R1526">
        <v>1</v>
      </c>
      <c r="S1526">
        <v>0</v>
      </c>
      <c r="T1526">
        <v>3</v>
      </c>
      <c r="U1526">
        <v>7</v>
      </c>
      <c r="V1526">
        <v>21</v>
      </c>
      <c r="W1526">
        <v>9</v>
      </c>
      <c r="X1526">
        <v>9</v>
      </c>
      <c r="Y1526">
        <v>19</v>
      </c>
      <c r="Z1526">
        <v>0</v>
      </c>
      <c r="AA1526">
        <v>1</v>
      </c>
      <c r="AB1526">
        <v>2</v>
      </c>
      <c r="AC1526">
        <v>2</v>
      </c>
      <c r="AD1526">
        <v>9</v>
      </c>
      <c r="AE1526">
        <v>13</v>
      </c>
      <c r="AF1526">
        <v>5</v>
      </c>
      <c r="AG1526">
        <v>5</v>
      </c>
      <c r="AH1526">
        <v>0</v>
      </c>
      <c r="AI1526">
        <v>0</v>
      </c>
    </row>
    <row r="1527" spans="1:35" hidden="1" x14ac:dyDescent="0.25">
      <c r="A1527">
        <v>2020</v>
      </c>
      <c r="B1527" s="1">
        <v>44202</v>
      </c>
      <c r="C1527">
        <v>28</v>
      </c>
      <c r="D1527">
        <v>0</v>
      </c>
      <c r="E1527">
        <v>35000</v>
      </c>
      <c r="F1527" t="s">
        <v>391</v>
      </c>
      <c r="G1527" t="s">
        <v>63</v>
      </c>
      <c r="H1527" t="s">
        <v>78</v>
      </c>
      <c r="I1527" t="s">
        <v>422</v>
      </c>
      <c r="J1527">
        <v>15</v>
      </c>
      <c r="K1527">
        <v>14</v>
      </c>
      <c r="L1527">
        <v>7950000</v>
      </c>
      <c r="M1527">
        <v>7000000</v>
      </c>
      <c r="N1527">
        <v>28</v>
      </c>
      <c r="O1527" t="s">
        <v>109</v>
      </c>
      <c r="P1527">
        <v>1</v>
      </c>
      <c r="Q1527">
        <v>0</v>
      </c>
      <c r="R1527">
        <v>1</v>
      </c>
      <c r="S1527">
        <v>0</v>
      </c>
      <c r="T1527">
        <v>4</v>
      </c>
      <c r="U1527">
        <v>8</v>
      </c>
      <c r="V1527">
        <v>14</v>
      </c>
      <c r="W1527">
        <v>12</v>
      </c>
      <c r="X1527">
        <v>11</v>
      </c>
      <c r="Y1527">
        <v>13</v>
      </c>
      <c r="Z1527">
        <v>1</v>
      </c>
      <c r="AA1527">
        <v>0</v>
      </c>
      <c r="AB1527">
        <v>0</v>
      </c>
      <c r="AC1527">
        <v>1</v>
      </c>
      <c r="AD1527">
        <v>6</v>
      </c>
      <c r="AE1527">
        <v>17</v>
      </c>
      <c r="AF1527">
        <v>2</v>
      </c>
      <c r="AG1527">
        <v>9</v>
      </c>
      <c r="AH1527">
        <v>1</v>
      </c>
      <c r="AI1527">
        <v>1</v>
      </c>
    </row>
    <row r="1528" spans="1:35" hidden="1" x14ac:dyDescent="0.25">
      <c r="A1528">
        <v>2020</v>
      </c>
      <c r="B1528" s="1">
        <v>44220</v>
      </c>
      <c r="C1528">
        <v>32</v>
      </c>
      <c r="D1528">
        <v>0</v>
      </c>
      <c r="E1528">
        <v>35000</v>
      </c>
      <c r="F1528" t="s">
        <v>391</v>
      </c>
      <c r="G1528" t="s">
        <v>38</v>
      </c>
      <c r="H1528" t="s">
        <v>78</v>
      </c>
      <c r="I1528" t="s">
        <v>398</v>
      </c>
      <c r="J1528">
        <v>17</v>
      </c>
      <c r="K1528">
        <v>14</v>
      </c>
      <c r="L1528">
        <v>8200000</v>
      </c>
      <c r="M1528">
        <v>7250000</v>
      </c>
      <c r="N1528" t="s">
        <v>66</v>
      </c>
      <c r="O1528" t="s">
        <v>114</v>
      </c>
      <c r="P1528">
        <v>2</v>
      </c>
      <c r="Q1528">
        <v>0</v>
      </c>
      <c r="R1528">
        <v>0</v>
      </c>
      <c r="S1528">
        <v>0</v>
      </c>
      <c r="T1528">
        <v>10</v>
      </c>
      <c r="U1528">
        <v>3</v>
      </c>
      <c r="V1528">
        <v>16</v>
      </c>
      <c r="W1528">
        <v>8</v>
      </c>
      <c r="X1528">
        <v>8</v>
      </c>
      <c r="Y1528">
        <v>14</v>
      </c>
      <c r="Z1528">
        <v>2</v>
      </c>
      <c r="AA1528">
        <v>4</v>
      </c>
      <c r="AB1528">
        <v>5</v>
      </c>
      <c r="AC1528">
        <v>1</v>
      </c>
      <c r="AD1528">
        <v>18</v>
      </c>
      <c r="AE1528">
        <v>9</v>
      </c>
      <c r="AF1528">
        <v>4</v>
      </c>
      <c r="AG1528">
        <v>5</v>
      </c>
      <c r="AH1528">
        <v>2</v>
      </c>
      <c r="AI1528">
        <v>1</v>
      </c>
    </row>
    <row r="1529" spans="1:35" hidden="1" x14ac:dyDescent="0.25">
      <c r="A1529">
        <v>2020</v>
      </c>
      <c r="B1529" s="1">
        <v>44243</v>
      </c>
      <c r="C1529">
        <v>36</v>
      </c>
      <c r="D1529">
        <v>0</v>
      </c>
      <c r="E1529">
        <v>35000</v>
      </c>
      <c r="F1529" t="s">
        <v>391</v>
      </c>
      <c r="G1529" t="s">
        <v>56</v>
      </c>
      <c r="H1529" t="s">
        <v>78</v>
      </c>
      <c r="I1529" t="s">
        <v>341</v>
      </c>
      <c r="J1529">
        <v>14</v>
      </c>
      <c r="K1529">
        <v>10</v>
      </c>
      <c r="L1529">
        <v>6900000</v>
      </c>
      <c r="M1529">
        <v>26350000</v>
      </c>
      <c r="N1529" t="s">
        <v>73</v>
      </c>
      <c r="O1529" t="s">
        <v>217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15</v>
      </c>
      <c r="V1529">
        <v>8</v>
      </c>
      <c r="W1529">
        <v>10</v>
      </c>
      <c r="X1529">
        <v>10</v>
      </c>
      <c r="Y1529">
        <v>8</v>
      </c>
      <c r="Z1529">
        <v>6</v>
      </c>
      <c r="AA1529">
        <v>1</v>
      </c>
      <c r="AB1529">
        <v>0</v>
      </c>
      <c r="AC1529">
        <v>1</v>
      </c>
      <c r="AD1529">
        <v>4</v>
      </c>
      <c r="AE1529">
        <v>22</v>
      </c>
      <c r="AF1529">
        <v>3</v>
      </c>
      <c r="AG1529">
        <v>10</v>
      </c>
      <c r="AH1529">
        <v>0</v>
      </c>
      <c r="AI1529">
        <v>0</v>
      </c>
    </row>
    <row r="1530" spans="1:35" hidden="1" x14ac:dyDescent="0.25">
      <c r="A1530">
        <v>2020</v>
      </c>
      <c r="B1530" s="1">
        <v>44057</v>
      </c>
      <c r="C1530">
        <v>2</v>
      </c>
      <c r="D1530">
        <v>0</v>
      </c>
      <c r="E1530">
        <v>56000</v>
      </c>
      <c r="F1530" t="s">
        <v>37</v>
      </c>
      <c r="G1530" t="s">
        <v>419</v>
      </c>
      <c r="H1530" t="s">
        <v>39</v>
      </c>
      <c r="I1530" t="s">
        <v>71</v>
      </c>
      <c r="J1530">
        <v>6</v>
      </c>
      <c r="K1530">
        <v>8</v>
      </c>
      <c r="L1530">
        <v>23550000</v>
      </c>
      <c r="M1530">
        <v>21650000</v>
      </c>
      <c r="N1530" t="s">
        <v>74</v>
      </c>
      <c r="O1530" t="s">
        <v>66</v>
      </c>
      <c r="P1530">
        <v>2</v>
      </c>
      <c r="Q1530">
        <v>0</v>
      </c>
      <c r="R1530">
        <v>0</v>
      </c>
      <c r="S1530">
        <v>0</v>
      </c>
      <c r="T1530">
        <v>9</v>
      </c>
      <c r="U1530">
        <v>4</v>
      </c>
      <c r="V1530">
        <v>28</v>
      </c>
      <c r="W1530">
        <v>14</v>
      </c>
      <c r="X1530">
        <v>13</v>
      </c>
      <c r="Y1530">
        <v>26</v>
      </c>
      <c r="Z1530">
        <v>1</v>
      </c>
      <c r="AA1530">
        <v>5</v>
      </c>
      <c r="AB1530">
        <v>2</v>
      </c>
      <c r="AC1530">
        <v>2</v>
      </c>
      <c r="AD1530">
        <v>25</v>
      </c>
      <c r="AE1530">
        <v>6</v>
      </c>
      <c r="AF1530">
        <v>13</v>
      </c>
      <c r="AG1530">
        <v>3</v>
      </c>
      <c r="AH1530">
        <v>2</v>
      </c>
      <c r="AI1530">
        <v>1</v>
      </c>
    </row>
    <row r="1531" spans="1:35" hidden="1" x14ac:dyDescent="0.25">
      <c r="A1531">
        <v>2020</v>
      </c>
      <c r="B1531" s="1">
        <v>44063</v>
      </c>
      <c r="C1531">
        <v>4</v>
      </c>
      <c r="D1531">
        <v>0</v>
      </c>
      <c r="E1531">
        <v>56000</v>
      </c>
      <c r="F1531" t="s">
        <v>37</v>
      </c>
      <c r="G1531" t="s">
        <v>76</v>
      </c>
      <c r="H1531" t="s">
        <v>39</v>
      </c>
      <c r="I1531" t="s">
        <v>429</v>
      </c>
      <c r="J1531">
        <v>5</v>
      </c>
      <c r="K1531">
        <v>7</v>
      </c>
      <c r="L1531">
        <v>14700000</v>
      </c>
      <c r="M1531">
        <v>6550000</v>
      </c>
      <c r="N1531" t="s">
        <v>149</v>
      </c>
      <c r="O1531" t="s">
        <v>120</v>
      </c>
      <c r="P1531">
        <v>3</v>
      </c>
      <c r="Q1531">
        <v>0</v>
      </c>
      <c r="R1531">
        <v>0</v>
      </c>
      <c r="S1531">
        <v>0</v>
      </c>
      <c r="T1531">
        <v>4</v>
      </c>
      <c r="U1531">
        <v>3</v>
      </c>
      <c r="V1531">
        <v>19</v>
      </c>
      <c r="W1531">
        <v>17</v>
      </c>
      <c r="X1531">
        <v>16</v>
      </c>
      <c r="Y1531">
        <v>16</v>
      </c>
      <c r="Z1531">
        <v>1</v>
      </c>
      <c r="AA1531">
        <v>2</v>
      </c>
      <c r="AB1531">
        <v>1</v>
      </c>
      <c r="AC1531">
        <v>2</v>
      </c>
      <c r="AD1531">
        <v>11</v>
      </c>
      <c r="AE1531">
        <v>7</v>
      </c>
      <c r="AF1531">
        <v>3</v>
      </c>
      <c r="AG1531">
        <v>5</v>
      </c>
      <c r="AH1531">
        <v>3</v>
      </c>
      <c r="AI1531">
        <v>1</v>
      </c>
    </row>
    <row r="1532" spans="1:35" hidden="1" x14ac:dyDescent="0.25">
      <c r="A1532">
        <v>2020</v>
      </c>
      <c r="B1532" s="1">
        <v>44066</v>
      </c>
      <c r="C1532">
        <v>5</v>
      </c>
      <c r="D1532">
        <v>0</v>
      </c>
      <c r="E1532">
        <v>56000</v>
      </c>
      <c r="F1532" t="s">
        <v>37</v>
      </c>
      <c r="G1532" t="s">
        <v>89</v>
      </c>
      <c r="H1532" t="s">
        <v>39</v>
      </c>
      <c r="I1532" t="s">
        <v>329</v>
      </c>
      <c r="J1532">
        <v>3</v>
      </c>
      <c r="K1532">
        <v>4</v>
      </c>
      <c r="L1532">
        <v>22400000</v>
      </c>
      <c r="M1532">
        <v>19400000</v>
      </c>
      <c r="N1532" t="s">
        <v>107</v>
      </c>
      <c r="O1532" t="s">
        <v>135</v>
      </c>
      <c r="P1532">
        <v>1</v>
      </c>
      <c r="Q1532">
        <v>0</v>
      </c>
      <c r="R1532">
        <v>1</v>
      </c>
      <c r="S1532">
        <v>0</v>
      </c>
      <c r="T1532">
        <v>2</v>
      </c>
      <c r="U1532">
        <v>5</v>
      </c>
      <c r="V1532">
        <v>20</v>
      </c>
      <c r="W1532">
        <v>21</v>
      </c>
      <c r="X1532">
        <v>20</v>
      </c>
      <c r="Y1532">
        <v>19</v>
      </c>
      <c r="Z1532">
        <v>0</v>
      </c>
      <c r="AA1532">
        <v>2</v>
      </c>
      <c r="AB1532">
        <v>3</v>
      </c>
      <c r="AC1532">
        <v>1</v>
      </c>
      <c r="AD1532">
        <v>6</v>
      </c>
      <c r="AE1532">
        <v>11</v>
      </c>
      <c r="AF1532">
        <v>1</v>
      </c>
      <c r="AG1532">
        <v>5</v>
      </c>
      <c r="AH1532">
        <v>1</v>
      </c>
      <c r="AI1532">
        <v>1</v>
      </c>
    </row>
    <row r="1533" spans="1:35" hidden="1" x14ac:dyDescent="0.25">
      <c r="A1533">
        <v>2020</v>
      </c>
      <c r="B1533" s="1">
        <v>44085</v>
      </c>
      <c r="C1533">
        <v>9</v>
      </c>
      <c r="D1533">
        <v>0</v>
      </c>
      <c r="E1533">
        <v>56000</v>
      </c>
      <c r="F1533" t="s">
        <v>37</v>
      </c>
      <c r="G1533" t="s">
        <v>361</v>
      </c>
      <c r="H1533" t="s">
        <v>39</v>
      </c>
      <c r="I1533" t="s">
        <v>340</v>
      </c>
      <c r="J1533">
        <v>1</v>
      </c>
      <c r="K1533">
        <v>12</v>
      </c>
      <c r="L1533">
        <v>24900000</v>
      </c>
      <c r="M1533">
        <v>6700000</v>
      </c>
      <c r="N1533" t="s">
        <v>99</v>
      </c>
      <c r="O1533" t="s">
        <v>107</v>
      </c>
      <c r="P1533">
        <v>2</v>
      </c>
      <c r="Q1533">
        <v>0</v>
      </c>
      <c r="R1533">
        <v>1</v>
      </c>
      <c r="S1533">
        <v>0</v>
      </c>
      <c r="T1533">
        <v>10</v>
      </c>
      <c r="U1533">
        <v>3</v>
      </c>
      <c r="V1533">
        <v>15</v>
      </c>
      <c r="W1533">
        <v>16</v>
      </c>
      <c r="X1533">
        <v>15</v>
      </c>
      <c r="Y1533">
        <v>15</v>
      </c>
      <c r="Z1533">
        <v>0</v>
      </c>
      <c r="AA1533">
        <v>7</v>
      </c>
      <c r="AB1533">
        <v>1</v>
      </c>
      <c r="AC1533">
        <v>1</v>
      </c>
      <c r="AD1533">
        <v>17</v>
      </c>
      <c r="AE1533">
        <v>6</v>
      </c>
      <c r="AF1533">
        <v>7</v>
      </c>
      <c r="AG1533">
        <v>5</v>
      </c>
      <c r="AH1533">
        <v>2</v>
      </c>
      <c r="AI1533">
        <v>1</v>
      </c>
    </row>
    <row r="1534" spans="1:35" hidden="1" x14ac:dyDescent="0.25">
      <c r="A1534">
        <v>2020</v>
      </c>
      <c r="B1534" s="1">
        <v>44122</v>
      </c>
      <c r="C1534">
        <v>17</v>
      </c>
      <c r="D1534">
        <v>0</v>
      </c>
      <c r="E1534">
        <v>56000</v>
      </c>
      <c r="F1534" t="s">
        <v>37</v>
      </c>
      <c r="G1534" t="s">
        <v>82</v>
      </c>
      <c r="H1534" t="s">
        <v>39</v>
      </c>
      <c r="I1534" t="s">
        <v>439</v>
      </c>
      <c r="J1534">
        <v>2</v>
      </c>
      <c r="K1534">
        <v>12</v>
      </c>
      <c r="L1534">
        <v>25400000</v>
      </c>
      <c r="M1534">
        <v>23150000</v>
      </c>
      <c r="N1534" t="s">
        <v>296</v>
      </c>
      <c r="O1534">
        <v>27</v>
      </c>
      <c r="P1534">
        <v>2</v>
      </c>
      <c r="Q1534">
        <v>0</v>
      </c>
      <c r="R1534">
        <v>2</v>
      </c>
      <c r="S1534">
        <v>0</v>
      </c>
      <c r="T1534">
        <v>6</v>
      </c>
      <c r="U1534">
        <v>3</v>
      </c>
      <c r="V1534">
        <v>17</v>
      </c>
      <c r="W1534">
        <v>11</v>
      </c>
      <c r="X1534">
        <v>11</v>
      </c>
      <c r="Y1534">
        <v>16</v>
      </c>
      <c r="Z1534">
        <v>4</v>
      </c>
      <c r="AA1534">
        <v>5</v>
      </c>
      <c r="AB1534">
        <v>1</v>
      </c>
      <c r="AC1534">
        <v>0</v>
      </c>
      <c r="AD1534">
        <v>13</v>
      </c>
      <c r="AE1534">
        <v>8</v>
      </c>
      <c r="AF1534">
        <v>4</v>
      </c>
      <c r="AG1534">
        <v>4</v>
      </c>
      <c r="AH1534">
        <v>2</v>
      </c>
      <c r="AI1534">
        <v>1</v>
      </c>
    </row>
    <row r="1535" spans="1:35" hidden="1" x14ac:dyDescent="0.25">
      <c r="A1535">
        <v>2020</v>
      </c>
      <c r="B1535" s="1">
        <v>44143</v>
      </c>
      <c r="C1535">
        <v>20</v>
      </c>
      <c r="D1535">
        <v>0</v>
      </c>
      <c r="E1535">
        <v>56000</v>
      </c>
      <c r="F1535" t="s">
        <v>37</v>
      </c>
      <c r="G1535" t="s">
        <v>321</v>
      </c>
      <c r="H1535" t="s">
        <v>39</v>
      </c>
      <c r="I1535" t="s">
        <v>431</v>
      </c>
      <c r="J1535">
        <v>2</v>
      </c>
      <c r="K1535">
        <v>18</v>
      </c>
      <c r="L1535">
        <v>27000000</v>
      </c>
      <c r="M1535">
        <v>8050000</v>
      </c>
      <c r="N1535" t="s">
        <v>168</v>
      </c>
      <c r="O1535" t="s">
        <v>86</v>
      </c>
      <c r="P1535">
        <v>2</v>
      </c>
      <c r="Q1535">
        <v>2</v>
      </c>
      <c r="R1535">
        <v>1</v>
      </c>
      <c r="S1535">
        <v>0</v>
      </c>
      <c r="T1535">
        <v>9</v>
      </c>
      <c r="U1535">
        <v>3</v>
      </c>
      <c r="V1535">
        <v>9</v>
      </c>
      <c r="W1535">
        <v>13</v>
      </c>
      <c r="X1535">
        <v>13</v>
      </c>
      <c r="Y1535">
        <v>9</v>
      </c>
      <c r="Z1535">
        <v>1</v>
      </c>
      <c r="AA1535">
        <v>2</v>
      </c>
      <c r="AB1535">
        <v>0</v>
      </c>
      <c r="AC1535">
        <v>2</v>
      </c>
      <c r="AD1535">
        <v>12</v>
      </c>
      <c r="AE1535">
        <v>10</v>
      </c>
      <c r="AF1535">
        <v>3</v>
      </c>
      <c r="AG1535">
        <v>5</v>
      </c>
      <c r="AH1535">
        <v>0</v>
      </c>
      <c r="AI1535">
        <v>0</v>
      </c>
    </row>
    <row r="1536" spans="1:35" hidden="1" x14ac:dyDescent="0.25">
      <c r="A1536">
        <v>2020</v>
      </c>
      <c r="B1536" s="1">
        <v>44157</v>
      </c>
      <c r="C1536">
        <v>22</v>
      </c>
      <c r="D1536">
        <v>0</v>
      </c>
      <c r="E1536">
        <v>56000</v>
      </c>
      <c r="F1536" t="s">
        <v>37</v>
      </c>
      <c r="G1536" t="s">
        <v>55</v>
      </c>
      <c r="H1536" t="s">
        <v>376</v>
      </c>
      <c r="I1536" t="s">
        <v>328</v>
      </c>
      <c r="J1536">
        <v>3</v>
      </c>
      <c r="K1536">
        <v>8</v>
      </c>
      <c r="L1536">
        <v>20980000</v>
      </c>
      <c r="M1536">
        <v>18300000</v>
      </c>
      <c r="N1536" t="s">
        <v>209</v>
      </c>
      <c r="O1536" t="s">
        <v>129</v>
      </c>
      <c r="P1536">
        <v>1</v>
      </c>
      <c r="Q1536">
        <v>2</v>
      </c>
      <c r="R1536">
        <v>1</v>
      </c>
      <c r="S1536">
        <v>0</v>
      </c>
      <c r="T1536">
        <v>4</v>
      </c>
      <c r="U1536">
        <v>4</v>
      </c>
      <c r="V1536">
        <v>20</v>
      </c>
      <c r="W1536">
        <v>20</v>
      </c>
      <c r="X1536">
        <v>18</v>
      </c>
      <c r="Y1536">
        <v>18</v>
      </c>
      <c r="Z1536">
        <v>0</v>
      </c>
      <c r="AA1536">
        <v>3</v>
      </c>
      <c r="AB1536">
        <v>1</v>
      </c>
      <c r="AC1536">
        <v>0</v>
      </c>
      <c r="AD1536">
        <v>13</v>
      </c>
      <c r="AE1536">
        <v>7</v>
      </c>
      <c r="AF1536">
        <v>7</v>
      </c>
      <c r="AG1536">
        <v>3</v>
      </c>
      <c r="AH1536">
        <v>-1</v>
      </c>
      <c r="AI1536">
        <v>0</v>
      </c>
    </row>
    <row r="1537" spans="1:35" hidden="1" x14ac:dyDescent="0.25">
      <c r="A1537">
        <v>2020</v>
      </c>
      <c r="B1537" s="1">
        <v>44185</v>
      </c>
      <c r="C1537">
        <v>26</v>
      </c>
      <c r="D1537">
        <v>0</v>
      </c>
      <c r="E1537">
        <v>56000</v>
      </c>
      <c r="F1537" t="s">
        <v>37</v>
      </c>
      <c r="G1537" t="s">
        <v>95</v>
      </c>
      <c r="H1537" t="s">
        <v>376</v>
      </c>
      <c r="I1537" t="s">
        <v>97</v>
      </c>
      <c r="J1537">
        <v>5</v>
      </c>
      <c r="K1537">
        <v>4</v>
      </c>
      <c r="L1537">
        <v>25700000</v>
      </c>
      <c r="M1537">
        <v>40300000</v>
      </c>
      <c r="N1537" t="s">
        <v>114</v>
      </c>
      <c r="O1537" t="s">
        <v>209</v>
      </c>
      <c r="P1537">
        <v>2</v>
      </c>
      <c r="Q1537">
        <v>0</v>
      </c>
      <c r="R1537">
        <v>1</v>
      </c>
      <c r="S1537">
        <v>0</v>
      </c>
      <c r="T1537">
        <v>4</v>
      </c>
      <c r="U1537">
        <v>8</v>
      </c>
      <c r="V1537">
        <v>13</v>
      </c>
      <c r="W1537">
        <v>23</v>
      </c>
      <c r="X1537">
        <v>23</v>
      </c>
      <c r="Y1537">
        <v>13</v>
      </c>
      <c r="Z1537">
        <v>0</v>
      </c>
      <c r="AA1537">
        <v>2</v>
      </c>
      <c r="AB1537">
        <v>1</v>
      </c>
      <c r="AC1537">
        <v>1</v>
      </c>
      <c r="AD1537">
        <v>12</v>
      </c>
      <c r="AE1537">
        <v>13</v>
      </c>
      <c r="AF1537">
        <v>3</v>
      </c>
      <c r="AG1537">
        <v>10</v>
      </c>
      <c r="AH1537">
        <v>2</v>
      </c>
      <c r="AI1537">
        <v>1</v>
      </c>
    </row>
    <row r="1538" spans="1:35" hidden="1" x14ac:dyDescent="0.25">
      <c r="A1538">
        <v>2020</v>
      </c>
      <c r="B1538" s="1">
        <v>44206</v>
      </c>
      <c r="C1538">
        <v>29</v>
      </c>
      <c r="D1538">
        <v>0</v>
      </c>
      <c r="E1538">
        <v>56000</v>
      </c>
      <c r="F1538" t="s">
        <v>37</v>
      </c>
      <c r="G1538" t="s">
        <v>416</v>
      </c>
      <c r="H1538" t="s">
        <v>376</v>
      </c>
      <c r="I1538" t="s">
        <v>380</v>
      </c>
      <c r="J1538">
        <v>4</v>
      </c>
      <c r="K1538">
        <v>18</v>
      </c>
      <c r="L1538">
        <v>23700000</v>
      </c>
      <c r="M1538">
        <v>6850000</v>
      </c>
      <c r="N1538" t="s">
        <v>120</v>
      </c>
      <c r="O1538" t="s">
        <v>73</v>
      </c>
      <c r="P1538">
        <v>1</v>
      </c>
      <c r="Q1538">
        <v>0</v>
      </c>
      <c r="R1538">
        <v>1</v>
      </c>
      <c r="S1538">
        <v>0</v>
      </c>
      <c r="T1538">
        <v>6</v>
      </c>
      <c r="U1538">
        <v>2</v>
      </c>
      <c r="V1538">
        <v>14</v>
      </c>
      <c r="W1538">
        <v>14</v>
      </c>
      <c r="X1538">
        <v>14</v>
      </c>
      <c r="Y1538">
        <v>14</v>
      </c>
      <c r="Z1538">
        <v>4</v>
      </c>
      <c r="AA1538">
        <v>2</v>
      </c>
      <c r="AB1538">
        <v>2</v>
      </c>
      <c r="AC1538">
        <v>1</v>
      </c>
      <c r="AD1538">
        <v>10</v>
      </c>
      <c r="AE1538">
        <v>14</v>
      </c>
      <c r="AF1538">
        <v>5</v>
      </c>
      <c r="AG1538">
        <v>5</v>
      </c>
      <c r="AH1538">
        <v>1</v>
      </c>
      <c r="AI1538">
        <v>1</v>
      </c>
    </row>
    <row r="1539" spans="1:35" hidden="1" x14ac:dyDescent="0.25">
      <c r="A1539">
        <v>2020</v>
      </c>
      <c r="B1539" s="1">
        <v>44220</v>
      </c>
      <c r="C1539">
        <v>32</v>
      </c>
      <c r="D1539">
        <v>0</v>
      </c>
      <c r="E1539">
        <v>56000</v>
      </c>
      <c r="F1539" t="s">
        <v>37</v>
      </c>
      <c r="G1539" t="s">
        <v>83</v>
      </c>
      <c r="H1539" t="s">
        <v>376</v>
      </c>
      <c r="I1539" t="s">
        <v>85</v>
      </c>
      <c r="J1539">
        <v>1</v>
      </c>
      <c r="K1539">
        <v>6</v>
      </c>
      <c r="L1539">
        <v>25700000</v>
      </c>
      <c r="M1539">
        <v>59000000</v>
      </c>
      <c r="N1539" t="s">
        <v>99</v>
      </c>
      <c r="O1539" t="s">
        <v>111</v>
      </c>
      <c r="P1539">
        <v>2</v>
      </c>
      <c r="Q1539">
        <v>1</v>
      </c>
      <c r="R1539">
        <v>0</v>
      </c>
      <c r="S1539">
        <v>0</v>
      </c>
      <c r="T1539">
        <v>6</v>
      </c>
      <c r="U1539">
        <v>1</v>
      </c>
      <c r="V1539">
        <v>19</v>
      </c>
      <c r="W1539">
        <v>15</v>
      </c>
      <c r="X1539">
        <v>14</v>
      </c>
      <c r="Y1539">
        <v>19</v>
      </c>
      <c r="Z1539">
        <v>2</v>
      </c>
      <c r="AA1539">
        <v>3</v>
      </c>
      <c r="AB1539">
        <v>0</v>
      </c>
      <c r="AC1539">
        <v>1</v>
      </c>
      <c r="AD1539">
        <v>17</v>
      </c>
      <c r="AE1539">
        <v>9</v>
      </c>
      <c r="AF1539">
        <v>5</v>
      </c>
      <c r="AG1539">
        <v>4</v>
      </c>
      <c r="AH1539">
        <v>1</v>
      </c>
      <c r="AI1539">
        <v>1</v>
      </c>
    </row>
    <row r="1540" spans="1:35" hidden="1" x14ac:dyDescent="0.25">
      <c r="A1540">
        <v>2020</v>
      </c>
      <c r="B1540" s="1">
        <v>44253</v>
      </c>
      <c r="C1540">
        <v>38</v>
      </c>
      <c r="D1540">
        <v>0</v>
      </c>
      <c r="E1540">
        <v>56000</v>
      </c>
      <c r="F1540" t="s">
        <v>37</v>
      </c>
      <c r="G1540" t="s">
        <v>88</v>
      </c>
      <c r="H1540" t="s">
        <v>376</v>
      </c>
      <c r="I1540" t="s">
        <v>429</v>
      </c>
      <c r="J1540">
        <v>2</v>
      </c>
      <c r="K1540">
        <v>10</v>
      </c>
      <c r="L1540">
        <v>34200000</v>
      </c>
      <c r="M1540">
        <v>24400000</v>
      </c>
      <c r="N1540" t="s">
        <v>189</v>
      </c>
      <c r="O1540" t="s">
        <v>74</v>
      </c>
      <c r="P1540">
        <v>0</v>
      </c>
      <c r="Q1540">
        <v>0</v>
      </c>
      <c r="R1540">
        <v>0</v>
      </c>
      <c r="S1540">
        <v>0</v>
      </c>
      <c r="T1540">
        <v>12</v>
      </c>
      <c r="U1540">
        <v>5</v>
      </c>
      <c r="V1540">
        <v>13</v>
      </c>
      <c r="W1540">
        <v>16</v>
      </c>
      <c r="X1540">
        <v>13</v>
      </c>
      <c r="Y1540">
        <v>12</v>
      </c>
      <c r="Z1540">
        <v>1</v>
      </c>
      <c r="AA1540">
        <v>5</v>
      </c>
      <c r="AB1540">
        <v>6</v>
      </c>
      <c r="AC1540">
        <v>1</v>
      </c>
      <c r="AD1540">
        <v>16</v>
      </c>
      <c r="AE1540">
        <v>6</v>
      </c>
      <c r="AF1540">
        <v>6</v>
      </c>
      <c r="AG1540">
        <v>2</v>
      </c>
      <c r="AH1540">
        <v>0</v>
      </c>
      <c r="AI1540">
        <v>0</v>
      </c>
    </row>
    <row r="1541" spans="1:35" hidden="1" x14ac:dyDescent="0.25">
      <c r="A1541">
        <v>2020</v>
      </c>
      <c r="B1541" s="1">
        <v>44055</v>
      </c>
      <c r="C1541">
        <v>2</v>
      </c>
      <c r="D1541">
        <v>0</v>
      </c>
      <c r="E1541">
        <v>13212</v>
      </c>
      <c r="F1541" t="s">
        <v>56</v>
      </c>
      <c r="G1541" t="s">
        <v>51</v>
      </c>
      <c r="H1541" t="s">
        <v>425</v>
      </c>
      <c r="I1541" t="s">
        <v>334</v>
      </c>
      <c r="J1541">
        <v>11</v>
      </c>
      <c r="K1541">
        <v>15</v>
      </c>
      <c r="L1541">
        <v>11430000</v>
      </c>
      <c r="M1541">
        <v>10430000</v>
      </c>
      <c r="N1541" t="s">
        <v>189</v>
      </c>
      <c r="O1541">
        <v>25</v>
      </c>
      <c r="P1541">
        <v>1</v>
      </c>
      <c r="Q1541">
        <v>1</v>
      </c>
      <c r="R1541">
        <v>1</v>
      </c>
      <c r="S1541">
        <v>0</v>
      </c>
      <c r="T1541">
        <v>11</v>
      </c>
      <c r="U1541">
        <v>3</v>
      </c>
      <c r="V1541">
        <v>13</v>
      </c>
      <c r="W1541">
        <v>8</v>
      </c>
      <c r="X1541">
        <v>8</v>
      </c>
      <c r="Y1541">
        <v>13</v>
      </c>
      <c r="Z1541">
        <v>2</v>
      </c>
      <c r="AA1541">
        <v>7</v>
      </c>
      <c r="AB1541">
        <v>1</v>
      </c>
      <c r="AC1541">
        <v>1</v>
      </c>
      <c r="AD1541">
        <v>23</v>
      </c>
      <c r="AE1541">
        <v>9</v>
      </c>
      <c r="AF1541">
        <v>12</v>
      </c>
      <c r="AG1541">
        <v>6</v>
      </c>
      <c r="AH1541">
        <v>0</v>
      </c>
      <c r="AI1541">
        <v>0</v>
      </c>
    </row>
    <row r="1542" spans="1:35" hidden="1" x14ac:dyDescent="0.25">
      <c r="A1542">
        <v>2020</v>
      </c>
      <c r="B1542" s="1">
        <v>44080</v>
      </c>
      <c r="C1542">
        <v>8</v>
      </c>
      <c r="D1542">
        <v>0</v>
      </c>
      <c r="E1542">
        <v>13212</v>
      </c>
      <c r="F1542" t="s">
        <v>56</v>
      </c>
      <c r="G1542" t="s">
        <v>95</v>
      </c>
      <c r="H1542" t="s">
        <v>388</v>
      </c>
      <c r="I1542" t="s">
        <v>317</v>
      </c>
      <c r="J1542">
        <v>18</v>
      </c>
      <c r="K1542">
        <v>8</v>
      </c>
      <c r="L1542">
        <v>9350000</v>
      </c>
      <c r="M1542">
        <v>32750000</v>
      </c>
      <c r="N1542" t="s">
        <v>117</v>
      </c>
      <c r="O1542" t="s">
        <v>151</v>
      </c>
      <c r="P1542">
        <v>1</v>
      </c>
      <c r="Q1542">
        <v>2</v>
      </c>
      <c r="R1542">
        <v>0</v>
      </c>
      <c r="S1542">
        <v>0</v>
      </c>
      <c r="T1542">
        <v>5</v>
      </c>
      <c r="U1542">
        <v>3</v>
      </c>
      <c r="V1542">
        <v>23</v>
      </c>
      <c r="W1542">
        <v>12</v>
      </c>
      <c r="X1542">
        <v>10</v>
      </c>
      <c r="Y1542">
        <v>23</v>
      </c>
      <c r="Z1542">
        <v>2</v>
      </c>
      <c r="AA1542">
        <v>3</v>
      </c>
      <c r="AB1542">
        <v>1</v>
      </c>
      <c r="AC1542">
        <v>2</v>
      </c>
      <c r="AD1542">
        <v>20</v>
      </c>
      <c r="AE1542">
        <v>14</v>
      </c>
      <c r="AF1542">
        <v>8</v>
      </c>
      <c r="AG1542">
        <v>7</v>
      </c>
      <c r="AH1542">
        <v>-1</v>
      </c>
      <c r="AI1542">
        <v>0</v>
      </c>
    </row>
    <row r="1543" spans="1:35" hidden="1" x14ac:dyDescent="0.25">
      <c r="A1543">
        <v>2020</v>
      </c>
      <c r="B1543" s="1">
        <v>44108</v>
      </c>
      <c r="C1543">
        <v>13</v>
      </c>
      <c r="D1543">
        <v>0</v>
      </c>
      <c r="E1543">
        <v>13212</v>
      </c>
      <c r="F1543" t="s">
        <v>56</v>
      </c>
      <c r="G1543" t="s">
        <v>88</v>
      </c>
      <c r="H1543" t="s">
        <v>341</v>
      </c>
      <c r="I1543" t="s">
        <v>436</v>
      </c>
      <c r="J1543">
        <v>18</v>
      </c>
      <c r="K1543">
        <v>15</v>
      </c>
      <c r="L1543">
        <v>16780000</v>
      </c>
      <c r="M1543">
        <v>33900000</v>
      </c>
      <c r="N1543" t="s">
        <v>120</v>
      </c>
      <c r="O1543" t="s">
        <v>123</v>
      </c>
      <c r="P1543">
        <v>0</v>
      </c>
      <c r="Q1543">
        <v>0</v>
      </c>
      <c r="R1543">
        <v>0</v>
      </c>
      <c r="S1543">
        <v>0</v>
      </c>
      <c r="T1543">
        <v>3</v>
      </c>
      <c r="U1543">
        <v>8</v>
      </c>
      <c r="V1543">
        <v>18</v>
      </c>
      <c r="W1543">
        <v>13</v>
      </c>
      <c r="X1543">
        <v>13</v>
      </c>
      <c r="Y1543">
        <v>17</v>
      </c>
      <c r="Z1543">
        <v>4</v>
      </c>
      <c r="AA1543">
        <v>2</v>
      </c>
      <c r="AB1543">
        <v>1</v>
      </c>
      <c r="AC1543">
        <v>1</v>
      </c>
      <c r="AD1543">
        <v>10</v>
      </c>
      <c r="AE1543">
        <v>12</v>
      </c>
      <c r="AF1543">
        <v>5</v>
      </c>
      <c r="AG1543">
        <v>4</v>
      </c>
      <c r="AH1543">
        <v>0</v>
      </c>
      <c r="AI1543">
        <v>0</v>
      </c>
    </row>
    <row r="1544" spans="1:35" hidden="1" x14ac:dyDescent="0.25">
      <c r="A1544">
        <v>2020</v>
      </c>
      <c r="B1544" s="1">
        <v>44123</v>
      </c>
      <c r="C1544">
        <v>17</v>
      </c>
      <c r="D1544">
        <v>0</v>
      </c>
      <c r="E1544">
        <v>13212</v>
      </c>
      <c r="F1544" t="s">
        <v>56</v>
      </c>
      <c r="G1544" t="s">
        <v>391</v>
      </c>
      <c r="H1544" t="s">
        <v>341</v>
      </c>
      <c r="I1544" t="s">
        <v>78</v>
      </c>
      <c r="J1544">
        <v>19</v>
      </c>
      <c r="K1544">
        <v>11</v>
      </c>
      <c r="L1544">
        <v>15580000</v>
      </c>
      <c r="M1544">
        <v>8600000</v>
      </c>
      <c r="N1544" t="s">
        <v>99</v>
      </c>
      <c r="O1544" t="s">
        <v>73</v>
      </c>
      <c r="P1544">
        <v>2</v>
      </c>
      <c r="Q1544">
        <v>0</v>
      </c>
      <c r="R1544">
        <v>0</v>
      </c>
      <c r="S1544">
        <v>0</v>
      </c>
      <c r="T1544">
        <v>8</v>
      </c>
      <c r="U1544">
        <v>6</v>
      </c>
      <c r="V1544">
        <v>13</v>
      </c>
      <c r="W1544">
        <v>13</v>
      </c>
      <c r="X1544">
        <v>12</v>
      </c>
      <c r="Y1544">
        <v>13</v>
      </c>
      <c r="Z1544">
        <v>2</v>
      </c>
      <c r="AA1544">
        <v>2</v>
      </c>
      <c r="AB1544">
        <v>1</v>
      </c>
      <c r="AC1544">
        <v>0</v>
      </c>
      <c r="AD1544">
        <v>18</v>
      </c>
      <c r="AE1544">
        <v>3</v>
      </c>
      <c r="AF1544">
        <v>11</v>
      </c>
      <c r="AG1544">
        <v>0</v>
      </c>
      <c r="AH1544">
        <v>2</v>
      </c>
      <c r="AI1544">
        <v>1</v>
      </c>
    </row>
    <row r="1545" spans="1:35" hidden="1" x14ac:dyDescent="0.25">
      <c r="A1545">
        <v>2020</v>
      </c>
      <c r="B1545" s="1">
        <v>44128</v>
      </c>
      <c r="C1545">
        <v>18</v>
      </c>
      <c r="D1545">
        <v>0</v>
      </c>
      <c r="E1545">
        <v>13212</v>
      </c>
      <c r="F1545" t="s">
        <v>56</v>
      </c>
      <c r="G1545" t="s">
        <v>416</v>
      </c>
      <c r="H1545" t="s">
        <v>341</v>
      </c>
      <c r="I1545" t="s">
        <v>420</v>
      </c>
      <c r="J1545">
        <v>19</v>
      </c>
      <c r="K1545">
        <v>20</v>
      </c>
      <c r="L1545">
        <v>16100000</v>
      </c>
      <c r="M1545">
        <v>7830000</v>
      </c>
      <c r="N1545" t="s">
        <v>114</v>
      </c>
      <c r="O1545" t="s">
        <v>137</v>
      </c>
      <c r="P1545">
        <v>2</v>
      </c>
      <c r="Q1545">
        <v>0</v>
      </c>
      <c r="R1545">
        <v>1</v>
      </c>
      <c r="S1545">
        <v>0</v>
      </c>
      <c r="T1545">
        <v>6</v>
      </c>
      <c r="U1545">
        <v>4</v>
      </c>
      <c r="V1545">
        <v>17</v>
      </c>
      <c r="W1545">
        <v>15</v>
      </c>
      <c r="X1545">
        <v>14</v>
      </c>
      <c r="Y1545">
        <v>17</v>
      </c>
      <c r="Z1545">
        <v>1</v>
      </c>
      <c r="AA1545">
        <v>3</v>
      </c>
      <c r="AB1545">
        <v>1</v>
      </c>
      <c r="AC1545">
        <v>3</v>
      </c>
      <c r="AD1545">
        <v>14</v>
      </c>
      <c r="AE1545">
        <v>7</v>
      </c>
      <c r="AF1545">
        <v>6</v>
      </c>
      <c r="AG1545">
        <v>5</v>
      </c>
      <c r="AH1545">
        <v>2</v>
      </c>
      <c r="AI1545">
        <v>1</v>
      </c>
    </row>
    <row r="1546" spans="1:35" hidden="1" x14ac:dyDescent="0.25">
      <c r="A1546">
        <v>2020</v>
      </c>
      <c r="B1546" s="1">
        <v>44143</v>
      </c>
      <c r="C1546">
        <v>20</v>
      </c>
      <c r="D1546">
        <v>0</v>
      </c>
      <c r="E1546">
        <v>13212</v>
      </c>
      <c r="F1546" t="s">
        <v>56</v>
      </c>
      <c r="G1546" t="s">
        <v>419</v>
      </c>
      <c r="H1546" t="s">
        <v>341</v>
      </c>
      <c r="I1546" t="s">
        <v>71</v>
      </c>
      <c r="J1546">
        <v>19</v>
      </c>
      <c r="K1546">
        <v>6</v>
      </c>
      <c r="L1546">
        <v>22780000</v>
      </c>
      <c r="M1546">
        <v>36100000</v>
      </c>
      <c r="N1546" t="s">
        <v>228</v>
      </c>
      <c r="O1546" t="s">
        <v>145</v>
      </c>
      <c r="P1546">
        <v>1</v>
      </c>
      <c r="Q1546">
        <v>1</v>
      </c>
      <c r="R1546">
        <v>0</v>
      </c>
      <c r="S1546">
        <v>0</v>
      </c>
      <c r="T1546">
        <v>5</v>
      </c>
      <c r="U1546">
        <v>3</v>
      </c>
      <c r="V1546">
        <v>15</v>
      </c>
      <c r="W1546">
        <v>20</v>
      </c>
      <c r="X1546">
        <v>17</v>
      </c>
      <c r="Y1546">
        <v>14</v>
      </c>
      <c r="Z1546">
        <v>0</v>
      </c>
      <c r="AA1546">
        <v>1</v>
      </c>
      <c r="AB1546">
        <v>1</v>
      </c>
      <c r="AC1546">
        <v>1</v>
      </c>
      <c r="AD1546">
        <v>12</v>
      </c>
      <c r="AE1546">
        <v>4</v>
      </c>
      <c r="AF1546">
        <v>6</v>
      </c>
      <c r="AG1546">
        <v>2</v>
      </c>
      <c r="AH1546">
        <v>0</v>
      </c>
      <c r="AI1546">
        <v>0</v>
      </c>
    </row>
    <row r="1547" spans="1:35" hidden="1" x14ac:dyDescent="0.25">
      <c r="A1547">
        <v>2020</v>
      </c>
      <c r="B1547" s="1">
        <v>44155</v>
      </c>
      <c r="C1547">
        <v>22</v>
      </c>
      <c r="D1547">
        <v>0</v>
      </c>
      <c r="E1547">
        <v>13212</v>
      </c>
      <c r="F1547" t="s">
        <v>56</v>
      </c>
      <c r="G1547" t="s">
        <v>38</v>
      </c>
      <c r="H1547" t="s">
        <v>341</v>
      </c>
      <c r="I1547" t="s">
        <v>240</v>
      </c>
      <c r="J1547">
        <v>17</v>
      </c>
      <c r="K1547">
        <v>9</v>
      </c>
      <c r="L1547">
        <v>24050000</v>
      </c>
      <c r="M1547">
        <v>11680000</v>
      </c>
      <c r="N1547" t="s">
        <v>189</v>
      </c>
      <c r="O1547" t="s">
        <v>166</v>
      </c>
      <c r="P1547">
        <v>4</v>
      </c>
      <c r="Q1547">
        <v>0</v>
      </c>
      <c r="R1547">
        <v>3</v>
      </c>
      <c r="S1547">
        <v>0</v>
      </c>
      <c r="T1547">
        <v>5</v>
      </c>
      <c r="U1547">
        <v>9</v>
      </c>
      <c r="V1547">
        <v>16</v>
      </c>
      <c r="W1547">
        <v>13</v>
      </c>
      <c r="X1547">
        <v>13</v>
      </c>
      <c r="Y1547">
        <v>16</v>
      </c>
      <c r="Z1547">
        <v>1</v>
      </c>
      <c r="AA1547">
        <v>3</v>
      </c>
      <c r="AB1547">
        <v>0</v>
      </c>
      <c r="AC1547">
        <v>0</v>
      </c>
      <c r="AD1547">
        <v>12</v>
      </c>
      <c r="AE1547">
        <v>8</v>
      </c>
      <c r="AF1547">
        <v>3</v>
      </c>
      <c r="AG1547">
        <v>4</v>
      </c>
      <c r="AH1547">
        <v>4</v>
      </c>
      <c r="AI1547">
        <v>1</v>
      </c>
    </row>
    <row r="1548" spans="1:35" hidden="1" x14ac:dyDescent="0.25">
      <c r="A1548">
        <v>2020</v>
      </c>
      <c r="B1548" s="1">
        <v>44207</v>
      </c>
      <c r="C1548">
        <v>29</v>
      </c>
      <c r="D1548">
        <v>0</v>
      </c>
      <c r="E1548">
        <v>13212</v>
      </c>
      <c r="F1548" t="s">
        <v>56</v>
      </c>
      <c r="G1548" t="s">
        <v>89</v>
      </c>
      <c r="H1548" t="s">
        <v>341</v>
      </c>
      <c r="I1548" t="s">
        <v>329</v>
      </c>
      <c r="J1548">
        <v>13</v>
      </c>
      <c r="K1548">
        <v>2</v>
      </c>
      <c r="L1548">
        <v>14500000</v>
      </c>
      <c r="M1548">
        <v>30300000</v>
      </c>
      <c r="N1548" t="s">
        <v>332</v>
      </c>
      <c r="O1548" t="s">
        <v>114</v>
      </c>
      <c r="P1548">
        <v>2</v>
      </c>
      <c r="Q1548">
        <v>2</v>
      </c>
      <c r="R1548">
        <v>1</v>
      </c>
      <c r="S1548">
        <v>0</v>
      </c>
      <c r="T1548">
        <v>6</v>
      </c>
      <c r="U1548">
        <v>6</v>
      </c>
      <c r="V1548">
        <v>15</v>
      </c>
      <c r="W1548">
        <v>11</v>
      </c>
      <c r="X1548">
        <v>10</v>
      </c>
      <c r="Y1548">
        <v>14</v>
      </c>
      <c r="Z1548">
        <v>4</v>
      </c>
      <c r="AA1548">
        <v>2</v>
      </c>
      <c r="AB1548">
        <v>0</v>
      </c>
      <c r="AC1548">
        <v>1</v>
      </c>
      <c r="AD1548">
        <v>11</v>
      </c>
      <c r="AE1548">
        <v>19</v>
      </c>
      <c r="AF1548">
        <v>2</v>
      </c>
      <c r="AG1548">
        <v>7</v>
      </c>
      <c r="AH1548">
        <v>0</v>
      </c>
      <c r="AI1548">
        <v>0</v>
      </c>
    </row>
    <row r="1549" spans="1:35" hidden="1" x14ac:dyDescent="0.25">
      <c r="A1549">
        <v>2020</v>
      </c>
      <c r="B1549" s="1">
        <v>44217</v>
      </c>
      <c r="C1549">
        <v>31</v>
      </c>
      <c r="D1549">
        <v>0</v>
      </c>
      <c r="E1549">
        <v>13212</v>
      </c>
      <c r="F1549" t="s">
        <v>56</v>
      </c>
      <c r="G1549" t="s">
        <v>82</v>
      </c>
      <c r="H1549" t="s">
        <v>341</v>
      </c>
      <c r="I1549" t="s">
        <v>317</v>
      </c>
      <c r="J1549">
        <v>12</v>
      </c>
      <c r="K1549">
        <v>14</v>
      </c>
      <c r="L1549">
        <v>22450000</v>
      </c>
      <c r="M1549">
        <v>20350000</v>
      </c>
      <c r="N1549" t="s">
        <v>233</v>
      </c>
      <c r="O1549" t="s">
        <v>135</v>
      </c>
      <c r="P1549">
        <v>4</v>
      </c>
      <c r="Q1549">
        <v>1</v>
      </c>
      <c r="R1549">
        <v>1</v>
      </c>
      <c r="S1549">
        <v>0</v>
      </c>
      <c r="T1549">
        <v>3</v>
      </c>
      <c r="U1549">
        <v>3</v>
      </c>
      <c r="V1549">
        <v>12</v>
      </c>
      <c r="W1549">
        <v>17</v>
      </c>
      <c r="X1549">
        <v>16</v>
      </c>
      <c r="Y1549">
        <v>12</v>
      </c>
      <c r="Z1549">
        <v>3</v>
      </c>
      <c r="AA1549">
        <v>5</v>
      </c>
      <c r="AB1549">
        <v>1</v>
      </c>
      <c r="AC1549">
        <v>0</v>
      </c>
      <c r="AD1549">
        <v>20</v>
      </c>
      <c r="AE1549">
        <v>8</v>
      </c>
      <c r="AF1549">
        <v>8</v>
      </c>
      <c r="AG1549">
        <v>3</v>
      </c>
      <c r="AH1549">
        <v>3</v>
      </c>
      <c r="AI1549">
        <v>1</v>
      </c>
    </row>
    <row r="1550" spans="1:35" hidden="1" x14ac:dyDescent="0.25">
      <c r="A1550">
        <v>2020</v>
      </c>
      <c r="B1550" s="1">
        <v>44230</v>
      </c>
      <c r="C1550">
        <v>34</v>
      </c>
      <c r="D1550">
        <v>0</v>
      </c>
      <c r="E1550">
        <v>13212</v>
      </c>
      <c r="F1550" t="s">
        <v>56</v>
      </c>
      <c r="G1550" t="s">
        <v>76</v>
      </c>
      <c r="H1550" t="s">
        <v>341</v>
      </c>
      <c r="I1550" t="s">
        <v>408</v>
      </c>
      <c r="J1550">
        <v>13</v>
      </c>
      <c r="K1550">
        <v>12</v>
      </c>
      <c r="L1550">
        <v>21750000</v>
      </c>
      <c r="M1550">
        <v>9350000</v>
      </c>
      <c r="N1550" t="s">
        <v>104</v>
      </c>
      <c r="O1550" t="s">
        <v>252</v>
      </c>
      <c r="P1550">
        <v>2</v>
      </c>
      <c r="Q1550">
        <v>0</v>
      </c>
      <c r="R1550">
        <v>0</v>
      </c>
      <c r="S1550">
        <v>0</v>
      </c>
      <c r="T1550">
        <v>8</v>
      </c>
      <c r="U1550">
        <v>3</v>
      </c>
      <c r="V1550">
        <v>15</v>
      </c>
      <c r="W1550">
        <v>7</v>
      </c>
      <c r="X1550">
        <v>6</v>
      </c>
      <c r="Y1550">
        <v>15</v>
      </c>
      <c r="Z1550">
        <v>1</v>
      </c>
      <c r="AA1550">
        <v>8</v>
      </c>
      <c r="AB1550">
        <v>2</v>
      </c>
      <c r="AC1550">
        <v>1</v>
      </c>
      <c r="AD1550">
        <v>20</v>
      </c>
      <c r="AE1550">
        <v>8</v>
      </c>
      <c r="AF1550">
        <v>5</v>
      </c>
      <c r="AG1550">
        <v>7</v>
      </c>
      <c r="AH1550">
        <v>2</v>
      </c>
      <c r="AI1550">
        <v>1</v>
      </c>
    </row>
    <row r="1551" spans="1:35" hidden="1" x14ac:dyDescent="0.25">
      <c r="A1551">
        <v>2020</v>
      </c>
      <c r="B1551" s="1">
        <v>44253</v>
      </c>
      <c r="C1551">
        <v>38</v>
      </c>
      <c r="D1551">
        <v>0</v>
      </c>
      <c r="E1551">
        <v>13212</v>
      </c>
      <c r="F1551" t="s">
        <v>56</v>
      </c>
      <c r="G1551" t="s">
        <v>83</v>
      </c>
      <c r="H1551" t="s">
        <v>341</v>
      </c>
      <c r="I1551" t="s">
        <v>85</v>
      </c>
      <c r="J1551">
        <v>11</v>
      </c>
      <c r="K1551">
        <v>6</v>
      </c>
      <c r="L1551">
        <v>27100000</v>
      </c>
      <c r="M1551">
        <v>11100000</v>
      </c>
      <c r="N1551" t="s">
        <v>209</v>
      </c>
      <c r="O1551" t="s">
        <v>163</v>
      </c>
      <c r="P1551">
        <v>1</v>
      </c>
      <c r="Q1551">
        <v>0</v>
      </c>
      <c r="R1551">
        <v>0</v>
      </c>
      <c r="S1551">
        <v>0</v>
      </c>
      <c r="T1551">
        <v>3</v>
      </c>
      <c r="U1551">
        <v>7</v>
      </c>
      <c r="V1551">
        <v>24</v>
      </c>
      <c r="W1551">
        <v>12</v>
      </c>
      <c r="X1551">
        <v>12</v>
      </c>
      <c r="Y1551">
        <v>24</v>
      </c>
      <c r="Z1551">
        <v>2</v>
      </c>
      <c r="AA1551">
        <v>5</v>
      </c>
      <c r="AB1551">
        <v>1</v>
      </c>
      <c r="AC1551">
        <v>0</v>
      </c>
      <c r="AD1551">
        <v>19</v>
      </c>
      <c r="AE1551">
        <v>15</v>
      </c>
      <c r="AF1551">
        <v>7</v>
      </c>
      <c r="AG1551">
        <v>12</v>
      </c>
      <c r="AH1551">
        <v>1</v>
      </c>
      <c r="AI1551">
        <v>1</v>
      </c>
    </row>
    <row r="1552" spans="1:35" hidden="1" x14ac:dyDescent="0.25">
      <c r="A1552">
        <v>2020</v>
      </c>
      <c r="B1552" s="1">
        <v>44057</v>
      </c>
      <c r="C1552">
        <v>2</v>
      </c>
      <c r="D1552">
        <v>0</v>
      </c>
      <c r="E1552">
        <v>24584</v>
      </c>
      <c r="F1552" t="s">
        <v>82</v>
      </c>
      <c r="G1552" t="s">
        <v>391</v>
      </c>
      <c r="H1552" t="s">
        <v>426</v>
      </c>
      <c r="I1552" t="s">
        <v>438</v>
      </c>
      <c r="J1552">
        <v>10</v>
      </c>
      <c r="K1552">
        <v>3</v>
      </c>
      <c r="L1552">
        <v>18030000</v>
      </c>
      <c r="M1552">
        <v>7000000</v>
      </c>
      <c r="N1552">
        <v>27</v>
      </c>
      <c r="O1552" t="s">
        <v>168</v>
      </c>
      <c r="P1552">
        <v>2</v>
      </c>
      <c r="Q1552">
        <v>0</v>
      </c>
      <c r="R1552">
        <v>2</v>
      </c>
      <c r="S1552">
        <v>0</v>
      </c>
      <c r="T1552">
        <v>5</v>
      </c>
      <c r="U1552">
        <v>8</v>
      </c>
      <c r="V1552">
        <v>29</v>
      </c>
      <c r="W1552">
        <v>17</v>
      </c>
      <c r="X1552">
        <v>16</v>
      </c>
      <c r="Y1552">
        <v>29</v>
      </c>
      <c r="Z1552">
        <v>1</v>
      </c>
      <c r="AA1552">
        <v>4</v>
      </c>
      <c r="AB1552">
        <v>1</v>
      </c>
      <c r="AC1552">
        <v>4</v>
      </c>
      <c r="AD1552">
        <v>9</v>
      </c>
      <c r="AE1552">
        <v>13</v>
      </c>
      <c r="AF1552">
        <v>2</v>
      </c>
      <c r="AG1552">
        <v>8</v>
      </c>
      <c r="AH1552">
        <v>2</v>
      </c>
      <c r="AI1552">
        <v>1</v>
      </c>
    </row>
    <row r="1553" spans="1:35" hidden="1" x14ac:dyDescent="0.25">
      <c r="A1553">
        <v>2020</v>
      </c>
      <c r="B1553" s="1">
        <v>44059</v>
      </c>
      <c r="C1553">
        <v>3</v>
      </c>
      <c r="D1553">
        <v>0</v>
      </c>
      <c r="E1553">
        <v>24584</v>
      </c>
      <c r="F1553" t="s">
        <v>82</v>
      </c>
      <c r="G1553" t="s">
        <v>62</v>
      </c>
      <c r="H1553" t="s">
        <v>426</v>
      </c>
      <c r="I1553" t="s">
        <v>57</v>
      </c>
      <c r="J1553">
        <v>7</v>
      </c>
      <c r="K1553">
        <v>1</v>
      </c>
      <c r="L1553">
        <v>16430000</v>
      </c>
      <c r="M1553">
        <v>27300000</v>
      </c>
      <c r="N1553" t="s">
        <v>149</v>
      </c>
      <c r="O1553" t="s">
        <v>129</v>
      </c>
      <c r="P1553">
        <v>2</v>
      </c>
      <c r="Q1553">
        <v>1</v>
      </c>
      <c r="R1553">
        <v>0</v>
      </c>
      <c r="S1553">
        <v>0</v>
      </c>
      <c r="T1553">
        <v>3</v>
      </c>
      <c r="U1553">
        <v>4</v>
      </c>
      <c r="V1553">
        <v>16</v>
      </c>
      <c r="W1553">
        <v>15</v>
      </c>
      <c r="X1553">
        <v>15</v>
      </c>
      <c r="Y1553">
        <v>14</v>
      </c>
      <c r="Z1553">
        <v>4</v>
      </c>
      <c r="AA1553">
        <v>1</v>
      </c>
      <c r="AB1553">
        <v>1</v>
      </c>
      <c r="AC1553">
        <v>1</v>
      </c>
      <c r="AD1553">
        <v>8</v>
      </c>
      <c r="AE1553">
        <v>11</v>
      </c>
      <c r="AF1553">
        <v>5</v>
      </c>
      <c r="AG1553">
        <v>4</v>
      </c>
      <c r="AH1553">
        <v>1</v>
      </c>
      <c r="AI1553">
        <v>1</v>
      </c>
    </row>
    <row r="1554" spans="1:35" hidden="1" x14ac:dyDescent="0.25">
      <c r="A1554">
        <v>2020</v>
      </c>
      <c r="B1554" s="1">
        <v>44066</v>
      </c>
      <c r="C1554">
        <v>5</v>
      </c>
      <c r="D1554">
        <v>0</v>
      </c>
      <c r="E1554">
        <v>24584</v>
      </c>
      <c r="F1554" t="s">
        <v>82</v>
      </c>
      <c r="G1554" t="s">
        <v>83</v>
      </c>
      <c r="H1554" t="s">
        <v>426</v>
      </c>
      <c r="I1554" t="s">
        <v>85</v>
      </c>
      <c r="J1554">
        <v>1</v>
      </c>
      <c r="K1554">
        <v>9</v>
      </c>
      <c r="L1554">
        <v>18330000</v>
      </c>
      <c r="M1554">
        <v>48100000</v>
      </c>
      <c r="N1554" t="s">
        <v>117</v>
      </c>
      <c r="O1554" t="s">
        <v>114</v>
      </c>
      <c r="P1554">
        <v>0</v>
      </c>
      <c r="Q1554">
        <v>0</v>
      </c>
      <c r="R1554">
        <v>0</v>
      </c>
      <c r="S1554">
        <v>0</v>
      </c>
      <c r="T1554">
        <v>6</v>
      </c>
      <c r="U1554">
        <v>4</v>
      </c>
      <c r="V1554">
        <v>23</v>
      </c>
      <c r="W1554">
        <v>17</v>
      </c>
      <c r="X1554">
        <v>17</v>
      </c>
      <c r="Y1554">
        <v>23</v>
      </c>
      <c r="Z1554">
        <v>4</v>
      </c>
      <c r="AA1554">
        <v>3</v>
      </c>
      <c r="AB1554">
        <v>1</v>
      </c>
      <c r="AC1554">
        <v>0</v>
      </c>
      <c r="AD1554">
        <v>10</v>
      </c>
      <c r="AE1554">
        <v>14</v>
      </c>
      <c r="AF1554">
        <v>6</v>
      </c>
      <c r="AG1554">
        <v>5</v>
      </c>
      <c r="AH1554">
        <v>0</v>
      </c>
      <c r="AI1554">
        <v>0</v>
      </c>
    </row>
    <row r="1555" spans="1:35" hidden="1" x14ac:dyDescent="0.25">
      <c r="A1555">
        <v>2020</v>
      </c>
      <c r="B1555" s="1">
        <v>44080</v>
      </c>
      <c r="C1555">
        <v>8</v>
      </c>
      <c r="D1555">
        <v>0</v>
      </c>
      <c r="E1555">
        <v>24584</v>
      </c>
      <c r="F1555" t="s">
        <v>82</v>
      </c>
      <c r="G1555" t="s">
        <v>69</v>
      </c>
      <c r="H1555" t="s">
        <v>426</v>
      </c>
      <c r="I1555" t="s">
        <v>286</v>
      </c>
      <c r="J1555">
        <v>4</v>
      </c>
      <c r="K1555">
        <v>9</v>
      </c>
      <c r="L1555">
        <v>16130000</v>
      </c>
      <c r="M1555">
        <v>9330000</v>
      </c>
      <c r="N1555" t="s">
        <v>99</v>
      </c>
      <c r="O1555" t="s">
        <v>228</v>
      </c>
      <c r="P1555">
        <v>1</v>
      </c>
      <c r="Q1555">
        <v>0</v>
      </c>
      <c r="R1555">
        <v>1</v>
      </c>
      <c r="S1555">
        <v>0</v>
      </c>
      <c r="T1555">
        <v>3</v>
      </c>
      <c r="U1555">
        <v>2</v>
      </c>
      <c r="V1555">
        <v>7</v>
      </c>
      <c r="W1555">
        <v>16</v>
      </c>
      <c r="X1555">
        <v>15</v>
      </c>
      <c r="Y1555">
        <v>5</v>
      </c>
      <c r="Z1555">
        <v>4</v>
      </c>
      <c r="AA1555">
        <v>1</v>
      </c>
      <c r="AB1555">
        <v>2</v>
      </c>
      <c r="AC1555">
        <v>1</v>
      </c>
      <c r="AD1555">
        <v>8</v>
      </c>
      <c r="AE1555">
        <v>14</v>
      </c>
      <c r="AF1555">
        <v>5</v>
      </c>
      <c r="AG1555">
        <v>4</v>
      </c>
      <c r="AH1555">
        <v>1</v>
      </c>
      <c r="AI1555">
        <v>1</v>
      </c>
    </row>
    <row r="1556" spans="1:35" hidden="1" x14ac:dyDescent="0.25">
      <c r="A1556">
        <v>2020</v>
      </c>
      <c r="B1556" s="1">
        <v>44085</v>
      </c>
      <c r="C1556">
        <v>9</v>
      </c>
      <c r="D1556">
        <v>0</v>
      </c>
      <c r="E1556">
        <v>24584</v>
      </c>
      <c r="F1556" t="s">
        <v>82</v>
      </c>
      <c r="G1556" t="s">
        <v>76</v>
      </c>
      <c r="H1556" t="s">
        <v>426</v>
      </c>
      <c r="I1556" t="s">
        <v>429</v>
      </c>
      <c r="J1556">
        <v>4</v>
      </c>
      <c r="K1556">
        <v>18</v>
      </c>
      <c r="L1556">
        <v>20250000</v>
      </c>
      <c r="M1556">
        <v>8550000</v>
      </c>
      <c r="N1556" t="s">
        <v>116</v>
      </c>
      <c r="O1556" t="s">
        <v>145</v>
      </c>
      <c r="P1556">
        <v>1</v>
      </c>
      <c r="Q1556">
        <v>2</v>
      </c>
      <c r="R1556">
        <v>0</v>
      </c>
      <c r="S1556">
        <v>0</v>
      </c>
      <c r="T1556">
        <v>1</v>
      </c>
      <c r="U1556">
        <v>4</v>
      </c>
      <c r="V1556">
        <v>15</v>
      </c>
      <c r="W1556">
        <v>23</v>
      </c>
      <c r="X1556">
        <v>23</v>
      </c>
      <c r="Y1556">
        <v>13</v>
      </c>
      <c r="Z1556">
        <v>5</v>
      </c>
      <c r="AA1556">
        <v>4</v>
      </c>
      <c r="AB1556">
        <v>0</v>
      </c>
      <c r="AC1556">
        <v>1</v>
      </c>
      <c r="AD1556">
        <v>9</v>
      </c>
      <c r="AE1556">
        <v>13</v>
      </c>
      <c r="AF1556">
        <v>2</v>
      </c>
      <c r="AG1556">
        <v>4</v>
      </c>
      <c r="AH1556">
        <v>-1</v>
      </c>
      <c r="AI1556">
        <v>0</v>
      </c>
    </row>
    <row r="1557" spans="1:35" hidden="1" x14ac:dyDescent="0.25">
      <c r="A1557">
        <v>2020</v>
      </c>
      <c r="B1557" s="1">
        <v>44101</v>
      </c>
      <c r="C1557">
        <v>12</v>
      </c>
      <c r="D1557">
        <v>0</v>
      </c>
      <c r="E1557">
        <v>24584</v>
      </c>
      <c r="F1557" t="s">
        <v>82</v>
      </c>
      <c r="G1557" t="s">
        <v>56</v>
      </c>
      <c r="H1557" t="s">
        <v>426</v>
      </c>
      <c r="I1557" t="s">
        <v>341</v>
      </c>
      <c r="J1557">
        <v>6</v>
      </c>
      <c r="K1557">
        <v>18</v>
      </c>
      <c r="L1557">
        <v>20000000</v>
      </c>
      <c r="M1557">
        <v>16680000</v>
      </c>
      <c r="N1557" t="s">
        <v>189</v>
      </c>
      <c r="O1557" t="s">
        <v>209</v>
      </c>
      <c r="P1557">
        <v>1</v>
      </c>
      <c r="Q1557">
        <v>1</v>
      </c>
      <c r="R1557">
        <v>0</v>
      </c>
      <c r="S1557">
        <v>0</v>
      </c>
      <c r="T1557">
        <v>2</v>
      </c>
      <c r="U1557">
        <v>5</v>
      </c>
      <c r="V1557">
        <v>9</v>
      </c>
      <c r="W1557">
        <v>16</v>
      </c>
      <c r="X1557">
        <v>16</v>
      </c>
      <c r="Y1557">
        <v>7</v>
      </c>
      <c r="Z1557">
        <v>2</v>
      </c>
      <c r="AA1557">
        <v>0</v>
      </c>
      <c r="AB1557">
        <v>4</v>
      </c>
      <c r="AC1557">
        <v>1</v>
      </c>
      <c r="AD1557">
        <v>10</v>
      </c>
      <c r="AE1557">
        <v>12</v>
      </c>
      <c r="AF1557">
        <v>4</v>
      </c>
      <c r="AG1557">
        <v>6</v>
      </c>
      <c r="AH1557">
        <v>0</v>
      </c>
      <c r="AI1557">
        <v>0</v>
      </c>
    </row>
    <row r="1558" spans="1:35" hidden="1" x14ac:dyDescent="0.25">
      <c r="A1558">
        <v>2020</v>
      </c>
      <c r="B1558" s="1">
        <v>44114</v>
      </c>
      <c r="C1558">
        <v>15</v>
      </c>
      <c r="D1558">
        <v>0</v>
      </c>
      <c r="E1558">
        <v>24584</v>
      </c>
      <c r="F1558" t="s">
        <v>82</v>
      </c>
      <c r="G1558" t="s">
        <v>77</v>
      </c>
      <c r="H1558" t="s">
        <v>439</v>
      </c>
      <c r="I1558" t="s">
        <v>430</v>
      </c>
      <c r="J1558">
        <v>11</v>
      </c>
      <c r="K1558">
        <v>2</v>
      </c>
      <c r="L1558">
        <v>22150000</v>
      </c>
      <c r="M1558">
        <v>52200000</v>
      </c>
      <c r="N1558" t="s">
        <v>149</v>
      </c>
      <c r="O1558" t="s">
        <v>104</v>
      </c>
      <c r="P1558">
        <v>1</v>
      </c>
      <c r="Q1558">
        <v>2</v>
      </c>
      <c r="R1558">
        <v>1</v>
      </c>
      <c r="S1558">
        <v>0</v>
      </c>
      <c r="T1558">
        <v>5</v>
      </c>
      <c r="U1558">
        <v>5</v>
      </c>
      <c r="V1558">
        <v>14</v>
      </c>
      <c r="W1558">
        <v>25</v>
      </c>
      <c r="X1558">
        <v>24</v>
      </c>
      <c r="Y1558">
        <v>13</v>
      </c>
      <c r="Z1558">
        <v>1</v>
      </c>
      <c r="AA1558">
        <v>3</v>
      </c>
      <c r="AB1558">
        <v>3</v>
      </c>
      <c r="AC1558">
        <v>2</v>
      </c>
      <c r="AD1558">
        <v>13</v>
      </c>
      <c r="AE1558">
        <v>8</v>
      </c>
      <c r="AF1558">
        <v>6</v>
      </c>
      <c r="AG1558">
        <v>2</v>
      </c>
      <c r="AH1558">
        <v>-1</v>
      </c>
      <c r="AI1558">
        <v>0</v>
      </c>
    </row>
    <row r="1559" spans="1:35" hidden="1" x14ac:dyDescent="0.25">
      <c r="A1559">
        <v>2020</v>
      </c>
      <c r="B1559" s="1">
        <v>44154</v>
      </c>
      <c r="C1559">
        <v>16</v>
      </c>
      <c r="D1559">
        <v>0</v>
      </c>
      <c r="E1559">
        <v>24584</v>
      </c>
      <c r="F1559" t="s">
        <v>82</v>
      </c>
      <c r="G1559" t="s">
        <v>63</v>
      </c>
      <c r="H1559" t="s">
        <v>417</v>
      </c>
      <c r="I1559" t="s">
        <v>40</v>
      </c>
      <c r="J1559">
        <v>11</v>
      </c>
      <c r="K1559">
        <v>8</v>
      </c>
      <c r="L1559">
        <v>22200000</v>
      </c>
      <c r="M1559">
        <v>7300000</v>
      </c>
      <c r="N1559" t="s">
        <v>98</v>
      </c>
      <c r="O1559">
        <v>30</v>
      </c>
      <c r="P1559">
        <v>0</v>
      </c>
      <c r="Q1559">
        <v>0</v>
      </c>
      <c r="R1559">
        <v>0</v>
      </c>
      <c r="S1559">
        <v>0</v>
      </c>
      <c r="T1559">
        <v>4</v>
      </c>
      <c r="U1559">
        <v>11</v>
      </c>
      <c r="V1559">
        <v>11</v>
      </c>
      <c r="W1559">
        <v>20</v>
      </c>
      <c r="X1559">
        <v>17</v>
      </c>
      <c r="Y1559">
        <v>10</v>
      </c>
      <c r="Z1559">
        <v>5</v>
      </c>
      <c r="AA1559">
        <v>5</v>
      </c>
      <c r="AB1559">
        <v>1</v>
      </c>
      <c r="AC1559">
        <v>1</v>
      </c>
      <c r="AD1559">
        <v>11</v>
      </c>
      <c r="AE1559">
        <v>18</v>
      </c>
      <c r="AF1559">
        <v>4</v>
      </c>
      <c r="AG1559">
        <v>6</v>
      </c>
      <c r="AH1559">
        <v>0</v>
      </c>
      <c r="AI1559">
        <v>0</v>
      </c>
    </row>
    <row r="1560" spans="1:35" hidden="1" x14ac:dyDescent="0.25">
      <c r="A1560">
        <v>2020</v>
      </c>
      <c r="B1560" s="1">
        <v>44143</v>
      </c>
      <c r="C1560">
        <v>20</v>
      </c>
      <c r="D1560">
        <v>0</v>
      </c>
      <c r="E1560">
        <v>24584</v>
      </c>
      <c r="F1560" t="s">
        <v>82</v>
      </c>
      <c r="G1560" t="s">
        <v>95</v>
      </c>
      <c r="H1560" t="s">
        <v>417</v>
      </c>
      <c r="I1560" t="s">
        <v>97</v>
      </c>
      <c r="J1560">
        <v>15</v>
      </c>
      <c r="K1560">
        <v>8</v>
      </c>
      <c r="L1560">
        <v>25050000</v>
      </c>
      <c r="M1560">
        <v>62950000</v>
      </c>
      <c r="N1560" t="s">
        <v>41</v>
      </c>
      <c r="O1560" t="s">
        <v>163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4</v>
      </c>
      <c r="V1560">
        <v>17</v>
      </c>
      <c r="W1560">
        <v>19</v>
      </c>
      <c r="X1560">
        <v>19</v>
      </c>
      <c r="Y1560">
        <v>16</v>
      </c>
      <c r="Z1560">
        <v>2</v>
      </c>
      <c r="AA1560">
        <v>3</v>
      </c>
      <c r="AB1560">
        <v>0</v>
      </c>
      <c r="AC1560">
        <v>1</v>
      </c>
      <c r="AD1560">
        <v>9</v>
      </c>
      <c r="AE1560">
        <v>8</v>
      </c>
      <c r="AF1560">
        <v>5</v>
      </c>
      <c r="AG1560">
        <v>2</v>
      </c>
      <c r="AH1560">
        <v>-1</v>
      </c>
      <c r="AI1560">
        <v>0</v>
      </c>
    </row>
    <row r="1561" spans="1:35" hidden="1" x14ac:dyDescent="0.25">
      <c r="A1561">
        <v>2020</v>
      </c>
      <c r="B1561" s="1">
        <v>44185</v>
      </c>
      <c r="C1561">
        <v>26</v>
      </c>
      <c r="D1561">
        <v>0</v>
      </c>
      <c r="E1561">
        <v>24584</v>
      </c>
      <c r="F1561" t="s">
        <v>82</v>
      </c>
      <c r="G1561" t="s">
        <v>419</v>
      </c>
      <c r="H1561" t="s">
        <v>417</v>
      </c>
      <c r="I1561" t="s">
        <v>71</v>
      </c>
      <c r="J1561">
        <v>17</v>
      </c>
      <c r="K1561">
        <v>8</v>
      </c>
      <c r="L1561">
        <v>11400000</v>
      </c>
      <c r="M1561">
        <v>22550000</v>
      </c>
      <c r="N1561">
        <v>28</v>
      </c>
      <c r="O1561" t="s">
        <v>113</v>
      </c>
      <c r="P1561">
        <v>1</v>
      </c>
      <c r="Q1561">
        <v>0</v>
      </c>
      <c r="R1561">
        <v>1</v>
      </c>
      <c r="S1561">
        <v>0</v>
      </c>
      <c r="T1561">
        <v>1</v>
      </c>
      <c r="U1561">
        <v>2</v>
      </c>
      <c r="V1561">
        <v>26</v>
      </c>
      <c r="W1561">
        <v>15</v>
      </c>
      <c r="X1561">
        <v>14</v>
      </c>
      <c r="Y1561">
        <v>25</v>
      </c>
      <c r="Z1561">
        <v>5</v>
      </c>
      <c r="AA1561">
        <v>1</v>
      </c>
      <c r="AB1561">
        <v>0</v>
      </c>
      <c r="AC1561">
        <v>1</v>
      </c>
      <c r="AD1561">
        <v>4</v>
      </c>
      <c r="AE1561">
        <v>19</v>
      </c>
      <c r="AF1561">
        <v>1</v>
      </c>
      <c r="AG1561">
        <v>9</v>
      </c>
      <c r="AH1561">
        <v>1</v>
      </c>
      <c r="AI1561">
        <v>1</v>
      </c>
    </row>
    <row r="1562" spans="1:35" hidden="1" x14ac:dyDescent="0.25">
      <c r="A1562">
        <v>2020</v>
      </c>
      <c r="B1562" s="1">
        <v>44206</v>
      </c>
      <c r="C1562">
        <v>29</v>
      </c>
      <c r="D1562">
        <v>0</v>
      </c>
      <c r="E1562">
        <v>24584</v>
      </c>
      <c r="F1562" t="s">
        <v>82</v>
      </c>
      <c r="G1562" t="s">
        <v>51</v>
      </c>
      <c r="H1562" t="s">
        <v>317</v>
      </c>
      <c r="I1562" t="s">
        <v>367</v>
      </c>
      <c r="J1562">
        <v>16</v>
      </c>
      <c r="K1562">
        <v>19</v>
      </c>
      <c r="L1562">
        <v>22100000</v>
      </c>
      <c r="M1562">
        <v>7500000</v>
      </c>
      <c r="N1562" t="s">
        <v>209</v>
      </c>
      <c r="O1562" t="s">
        <v>202</v>
      </c>
      <c r="P1562">
        <v>3</v>
      </c>
      <c r="Q1562">
        <v>0</v>
      </c>
      <c r="R1562">
        <v>1</v>
      </c>
      <c r="S1562">
        <v>0</v>
      </c>
      <c r="T1562">
        <v>6</v>
      </c>
      <c r="U1562">
        <v>3</v>
      </c>
      <c r="V1562">
        <v>11</v>
      </c>
      <c r="W1562">
        <v>13</v>
      </c>
      <c r="X1562">
        <v>13</v>
      </c>
      <c r="Y1562">
        <v>9</v>
      </c>
      <c r="Z1562">
        <v>4</v>
      </c>
      <c r="AA1562">
        <v>3</v>
      </c>
      <c r="AB1562">
        <v>0</v>
      </c>
      <c r="AC1562">
        <v>4</v>
      </c>
      <c r="AD1562">
        <v>18</v>
      </c>
      <c r="AE1562">
        <v>12</v>
      </c>
      <c r="AF1562">
        <v>4</v>
      </c>
      <c r="AG1562">
        <v>5</v>
      </c>
      <c r="AH1562">
        <v>3</v>
      </c>
      <c r="AI1562">
        <v>1</v>
      </c>
    </row>
    <row r="1563" spans="1:35" hidden="1" x14ac:dyDescent="0.25">
      <c r="A1563">
        <v>2020</v>
      </c>
      <c r="B1563" s="1">
        <v>44220</v>
      </c>
      <c r="C1563">
        <v>32</v>
      </c>
      <c r="D1563">
        <v>0</v>
      </c>
      <c r="E1563">
        <v>24584</v>
      </c>
      <c r="F1563" t="s">
        <v>82</v>
      </c>
      <c r="G1563" t="s">
        <v>89</v>
      </c>
      <c r="H1563" t="s">
        <v>317</v>
      </c>
      <c r="I1563" t="s">
        <v>329</v>
      </c>
      <c r="J1563">
        <v>16</v>
      </c>
      <c r="K1563">
        <v>3</v>
      </c>
      <c r="L1563">
        <v>25150000</v>
      </c>
      <c r="M1563">
        <v>30100000</v>
      </c>
      <c r="N1563" t="s">
        <v>66</v>
      </c>
      <c r="O1563" t="s">
        <v>116</v>
      </c>
      <c r="P1563">
        <v>3</v>
      </c>
      <c r="Q1563">
        <v>2</v>
      </c>
      <c r="R1563">
        <v>2</v>
      </c>
      <c r="S1563">
        <v>0</v>
      </c>
      <c r="T1563">
        <v>2</v>
      </c>
      <c r="U1563">
        <v>9</v>
      </c>
      <c r="V1563">
        <v>15</v>
      </c>
      <c r="W1563">
        <v>11</v>
      </c>
      <c r="X1563">
        <v>10</v>
      </c>
      <c r="Y1563">
        <v>13</v>
      </c>
      <c r="Z1563">
        <v>2</v>
      </c>
      <c r="AA1563">
        <v>0</v>
      </c>
      <c r="AB1563">
        <v>0</v>
      </c>
      <c r="AC1563">
        <v>0</v>
      </c>
      <c r="AD1563">
        <v>6</v>
      </c>
      <c r="AE1563">
        <v>17</v>
      </c>
      <c r="AF1563">
        <v>2</v>
      </c>
      <c r="AG1563">
        <v>9</v>
      </c>
      <c r="AH1563">
        <v>1</v>
      </c>
      <c r="AI1563">
        <v>1</v>
      </c>
    </row>
    <row r="1564" spans="1:35" hidden="1" x14ac:dyDescent="0.25">
      <c r="A1564">
        <v>2020</v>
      </c>
      <c r="B1564" s="1">
        <v>44227</v>
      </c>
      <c r="C1564">
        <v>33</v>
      </c>
      <c r="D1564">
        <v>0</v>
      </c>
      <c r="E1564">
        <v>24584</v>
      </c>
      <c r="F1564" t="s">
        <v>82</v>
      </c>
      <c r="G1564" t="s">
        <v>38</v>
      </c>
      <c r="H1564" t="s">
        <v>317</v>
      </c>
      <c r="I1564" t="s">
        <v>398</v>
      </c>
      <c r="J1564">
        <v>14</v>
      </c>
      <c r="K1564">
        <v>16</v>
      </c>
      <c r="L1564">
        <v>25150000</v>
      </c>
      <c r="M1564">
        <v>9050000</v>
      </c>
      <c r="N1564" t="s">
        <v>66</v>
      </c>
      <c r="O1564" t="s">
        <v>73</v>
      </c>
      <c r="P1564">
        <v>0</v>
      </c>
      <c r="Q1564">
        <v>0</v>
      </c>
      <c r="R1564">
        <v>0</v>
      </c>
      <c r="S1564">
        <v>0</v>
      </c>
      <c r="T1564">
        <v>6</v>
      </c>
      <c r="U1564">
        <v>6</v>
      </c>
      <c r="V1564">
        <v>15</v>
      </c>
      <c r="W1564">
        <v>16</v>
      </c>
      <c r="X1564">
        <v>15</v>
      </c>
      <c r="Y1564">
        <v>13</v>
      </c>
      <c r="Z1564">
        <v>2</v>
      </c>
      <c r="AA1564">
        <v>5</v>
      </c>
      <c r="AB1564">
        <v>0</v>
      </c>
      <c r="AC1564">
        <v>1</v>
      </c>
      <c r="AD1564">
        <v>8</v>
      </c>
      <c r="AE1564">
        <v>9</v>
      </c>
      <c r="AF1564">
        <v>3</v>
      </c>
      <c r="AG1564">
        <v>5</v>
      </c>
      <c r="AH1564">
        <v>0</v>
      </c>
      <c r="AI1564">
        <v>0</v>
      </c>
    </row>
    <row r="1565" spans="1:35" hidden="1" x14ac:dyDescent="0.25">
      <c r="A1565">
        <v>2020</v>
      </c>
      <c r="B1565" s="1">
        <v>44078</v>
      </c>
      <c r="C1565">
        <v>7</v>
      </c>
      <c r="D1565">
        <v>0</v>
      </c>
      <c r="E1565">
        <v>60540</v>
      </c>
      <c r="F1565" t="s">
        <v>83</v>
      </c>
      <c r="G1565" t="s">
        <v>391</v>
      </c>
      <c r="H1565" t="s">
        <v>85</v>
      </c>
      <c r="I1565" t="s">
        <v>78</v>
      </c>
      <c r="J1565">
        <v>7</v>
      </c>
      <c r="K1565">
        <v>19</v>
      </c>
      <c r="L1565">
        <v>38500000</v>
      </c>
      <c r="M1565">
        <v>6130000</v>
      </c>
      <c r="N1565" t="s">
        <v>197</v>
      </c>
      <c r="O1565" t="s">
        <v>120</v>
      </c>
      <c r="P1565">
        <v>1</v>
      </c>
      <c r="Q1565">
        <v>2</v>
      </c>
      <c r="R1565">
        <v>0</v>
      </c>
      <c r="S1565">
        <v>1</v>
      </c>
      <c r="T1565">
        <v>11</v>
      </c>
      <c r="U1565">
        <v>1</v>
      </c>
      <c r="V1565">
        <v>10</v>
      </c>
      <c r="W1565">
        <v>11</v>
      </c>
      <c r="X1565">
        <v>11</v>
      </c>
      <c r="Y1565">
        <v>10</v>
      </c>
      <c r="Z1565">
        <v>1</v>
      </c>
      <c r="AA1565">
        <v>6</v>
      </c>
      <c r="AB1565">
        <v>1</v>
      </c>
      <c r="AC1565">
        <v>1</v>
      </c>
      <c r="AD1565">
        <v>28</v>
      </c>
      <c r="AE1565">
        <v>5</v>
      </c>
      <c r="AF1565">
        <v>15</v>
      </c>
      <c r="AG1565">
        <v>2</v>
      </c>
      <c r="AH1565">
        <v>-1</v>
      </c>
      <c r="AI1565">
        <v>0</v>
      </c>
    </row>
    <row r="1566" spans="1:35" hidden="1" x14ac:dyDescent="0.25">
      <c r="A1566">
        <v>2020</v>
      </c>
      <c r="B1566" s="1">
        <v>44087</v>
      </c>
      <c r="C1566">
        <v>10</v>
      </c>
      <c r="D1566">
        <v>0</v>
      </c>
      <c r="E1566">
        <v>60540</v>
      </c>
      <c r="F1566" t="s">
        <v>83</v>
      </c>
      <c r="G1566" t="s">
        <v>63</v>
      </c>
      <c r="H1566" t="s">
        <v>85</v>
      </c>
      <c r="I1566" t="s">
        <v>40</v>
      </c>
      <c r="J1566">
        <v>8</v>
      </c>
      <c r="K1566">
        <v>10</v>
      </c>
      <c r="L1566">
        <v>19300000</v>
      </c>
      <c r="M1566">
        <v>7300000</v>
      </c>
      <c r="N1566" t="s">
        <v>205</v>
      </c>
      <c r="O1566" t="s">
        <v>144</v>
      </c>
      <c r="P1566">
        <v>1</v>
      </c>
      <c r="Q1566">
        <v>1</v>
      </c>
      <c r="R1566">
        <v>0</v>
      </c>
      <c r="S1566">
        <v>1</v>
      </c>
      <c r="T1566">
        <v>6</v>
      </c>
      <c r="U1566">
        <v>2</v>
      </c>
      <c r="V1566">
        <v>11</v>
      </c>
      <c r="W1566">
        <v>13</v>
      </c>
      <c r="X1566">
        <v>12</v>
      </c>
      <c r="Y1566">
        <v>9</v>
      </c>
      <c r="Z1566">
        <v>1</v>
      </c>
      <c r="AA1566">
        <v>2</v>
      </c>
      <c r="AB1566">
        <v>2</v>
      </c>
      <c r="AC1566">
        <v>0</v>
      </c>
      <c r="AD1566">
        <v>14</v>
      </c>
      <c r="AE1566">
        <v>3</v>
      </c>
      <c r="AF1566">
        <v>4</v>
      </c>
      <c r="AG1566">
        <v>0</v>
      </c>
      <c r="AH1566">
        <v>0</v>
      </c>
      <c r="AI1566">
        <v>0</v>
      </c>
    </row>
    <row r="1567" spans="1:35" hidden="1" x14ac:dyDescent="0.25">
      <c r="A1567">
        <v>2020</v>
      </c>
      <c r="B1567" s="1">
        <v>44119</v>
      </c>
      <c r="C1567">
        <v>16</v>
      </c>
      <c r="D1567">
        <v>0</v>
      </c>
      <c r="E1567">
        <v>60540</v>
      </c>
      <c r="F1567" t="s">
        <v>83</v>
      </c>
      <c r="G1567" t="s">
        <v>51</v>
      </c>
      <c r="H1567" t="s">
        <v>85</v>
      </c>
      <c r="I1567" t="s">
        <v>410</v>
      </c>
      <c r="J1567">
        <v>10</v>
      </c>
      <c r="K1567">
        <v>15</v>
      </c>
      <c r="L1567">
        <v>45400000</v>
      </c>
      <c r="M1567">
        <v>8900000</v>
      </c>
      <c r="N1567" t="s">
        <v>208</v>
      </c>
      <c r="O1567" t="s">
        <v>332</v>
      </c>
      <c r="P1567">
        <v>3</v>
      </c>
      <c r="Q1567">
        <v>1</v>
      </c>
      <c r="R1567">
        <v>1</v>
      </c>
      <c r="S1567">
        <v>1</v>
      </c>
      <c r="T1567">
        <v>1</v>
      </c>
      <c r="U1567">
        <v>4</v>
      </c>
      <c r="V1567">
        <v>11</v>
      </c>
      <c r="W1567">
        <v>13</v>
      </c>
      <c r="X1567">
        <v>13</v>
      </c>
      <c r="Y1567">
        <v>11</v>
      </c>
      <c r="Z1567">
        <v>2</v>
      </c>
      <c r="AA1567">
        <v>1</v>
      </c>
      <c r="AB1567">
        <v>1</v>
      </c>
      <c r="AC1567">
        <v>0</v>
      </c>
      <c r="AD1567">
        <v>10</v>
      </c>
      <c r="AE1567">
        <v>16</v>
      </c>
      <c r="AF1567">
        <v>5</v>
      </c>
      <c r="AG1567">
        <v>11</v>
      </c>
      <c r="AH1567">
        <v>2</v>
      </c>
      <c r="AI1567">
        <v>1</v>
      </c>
    </row>
    <row r="1568" spans="1:35" hidden="1" x14ac:dyDescent="0.25">
      <c r="A1568">
        <v>2020</v>
      </c>
      <c r="B1568" s="1">
        <v>44149</v>
      </c>
      <c r="C1568">
        <v>21</v>
      </c>
      <c r="D1568">
        <v>0</v>
      </c>
      <c r="E1568">
        <v>60540</v>
      </c>
      <c r="F1568" t="s">
        <v>83</v>
      </c>
      <c r="G1568" t="s">
        <v>361</v>
      </c>
      <c r="H1568" t="s">
        <v>85</v>
      </c>
      <c r="I1568" t="s">
        <v>340</v>
      </c>
      <c r="J1568">
        <v>5</v>
      </c>
      <c r="K1568">
        <v>12</v>
      </c>
      <c r="L1568">
        <v>49800000</v>
      </c>
      <c r="M1568">
        <v>7100000</v>
      </c>
      <c r="N1568" t="s">
        <v>73</v>
      </c>
      <c r="O1568">
        <v>30</v>
      </c>
      <c r="P1568">
        <v>4</v>
      </c>
      <c r="Q1568">
        <v>2</v>
      </c>
      <c r="R1568">
        <v>3</v>
      </c>
      <c r="S1568">
        <v>1</v>
      </c>
      <c r="T1568">
        <v>3</v>
      </c>
      <c r="U1568">
        <v>4</v>
      </c>
      <c r="V1568">
        <v>8</v>
      </c>
      <c r="W1568">
        <v>14</v>
      </c>
      <c r="X1568">
        <v>14</v>
      </c>
      <c r="Y1568">
        <v>8</v>
      </c>
      <c r="Z1568">
        <v>1</v>
      </c>
      <c r="AA1568">
        <v>3</v>
      </c>
      <c r="AB1568">
        <v>1</v>
      </c>
      <c r="AC1568">
        <v>0</v>
      </c>
      <c r="AD1568">
        <v>16</v>
      </c>
      <c r="AE1568">
        <v>11</v>
      </c>
      <c r="AF1568">
        <v>5</v>
      </c>
      <c r="AG1568">
        <v>6</v>
      </c>
      <c r="AH1568">
        <v>2</v>
      </c>
      <c r="AI1568">
        <v>1</v>
      </c>
    </row>
    <row r="1569" spans="1:35" hidden="1" x14ac:dyDescent="0.25">
      <c r="A1569">
        <v>2020</v>
      </c>
      <c r="B1569" s="1">
        <v>44216</v>
      </c>
      <c r="C1569">
        <v>31</v>
      </c>
      <c r="D1569">
        <v>0</v>
      </c>
      <c r="E1569">
        <v>60540</v>
      </c>
      <c r="F1569" t="s">
        <v>83</v>
      </c>
      <c r="G1569" t="s">
        <v>89</v>
      </c>
      <c r="H1569" t="s">
        <v>85</v>
      </c>
      <c r="I1569" t="s">
        <v>329</v>
      </c>
      <c r="J1569">
        <v>6</v>
      </c>
      <c r="K1569">
        <v>2</v>
      </c>
      <c r="L1569">
        <v>37850000</v>
      </c>
      <c r="M1569">
        <v>30300000</v>
      </c>
      <c r="N1569" t="s">
        <v>100</v>
      </c>
      <c r="O1569" t="s">
        <v>73</v>
      </c>
      <c r="P1569">
        <v>1</v>
      </c>
      <c r="Q1569">
        <v>1</v>
      </c>
      <c r="R1569">
        <v>0</v>
      </c>
      <c r="S1569">
        <v>1</v>
      </c>
      <c r="T1569">
        <v>3</v>
      </c>
      <c r="U1569">
        <v>1</v>
      </c>
      <c r="V1569">
        <v>11</v>
      </c>
      <c r="W1569">
        <v>7</v>
      </c>
      <c r="X1569">
        <v>7</v>
      </c>
      <c r="Y1569">
        <v>8</v>
      </c>
      <c r="Z1569">
        <v>3</v>
      </c>
      <c r="AA1569">
        <v>2</v>
      </c>
      <c r="AB1569">
        <v>1</v>
      </c>
      <c r="AC1569">
        <v>2</v>
      </c>
      <c r="AD1569">
        <v>8</v>
      </c>
      <c r="AE1569">
        <v>10</v>
      </c>
      <c r="AF1569">
        <v>3</v>
      </c>
      <c r="AG1569">
        <v>4</v>
      </c>
      <c r="AH1569">
        <v>0</v>
      </c>
      <c r="AI1569">
        <v>0</v>
      </c>
    </row>
    <row r="1570" spans="1:35" hidden="1" x14ac:dyDescent="0.25">
      <c r="A1570">
        <v>2020</v>
      </c>
      <c r="B1570" s="1">
        <v>44230</v>
      </c>
      <c r="C1570">
        <v>34</v>
      </c>
      <c r="D1570">
        <v>0</v>
      </c>
      <c r="E1570">
        <v>60540</v>
      </c>
      <c r="F1570" t="s">
        <v>83</v>
      </c>
      <c r="G1570" t="s">
        <v>419</v>
      </c>
      <c r="H1570" t="s">
        <v>85</v>
      </c>
      <c r="I1570" t="s">
        <v>71</v>
      </c>
      <c r="J1570">
        <v>7</v>
      </c>
      <c r="K1570">
        <v>8</v>
      </c>
      <c r="L1570">
        <v>57100000</v>
      </c>
      <c r="M1570">
        <v>24250000</v>
      </c>
      <c r="N1570" t="s">
        <v>129</v>
      </c>
      <c r="O1570" t="s">
        <v>270</v>
      </c>
      <c r="P1570">
        <v>3</v>
      </c>
      <c r="Q1570">
        <v>3</v>
      </c>
      <c r="R1570">
        <v>1</v>
      </c>
      <c r="S1570">
        <v>1</v>
      </c>
      <c r="T1570">
        <v>5</v>
      </c>
      <c r="U1570">
        <v>3</v>
      </c>
      <c r="V1570">
        <v>12</v>
      </c>
      <c r="W1570">
        <v>20</v>
      </c>
      <c r="X1570">
        <v>19</v>
      </c>
      <c r="Y1570">
        <v>10</v>
      </c>
      <c r="Z1570">
        <v>2</v>
      </c>
      <c r="AA1570">
        <v>3</v>
      </c>
      <c r="AB1570">
        <v>1</v>
      </c>
      <c r="AC1570">
        <v>0</v>
      </c>
      <c r="AD1570">
        <v>17</v>
      </c>
      <c r="AE1570">
        <v>9</v>
      </c>
      <c r="AF1570">
        <v>9</v>
      </c>
      <c r="AG1570">
        <v>0</v>
      </c>
      <c r="AH1570">
        <v>0</v>
      </c>
      <c r="AI1570">
        <v>0</v>
      </c>
    </row>
    <row r="1571" spans="1:35" hidden="1" x14ac:dyDescent="0.25">
      <c r="A1571">
        <v>2020</v>
      </c>
      <c r="B1571" s="1">
        <v>44105</v>
      </c>
      <c r="C1571">
        <v>1</v>
      </c>
      <c r="D1571">
        <v>0</v>
      </c>
      <c r="E1571">
        <v>46931</v>
      </c>
      <c r="F1571" t="s">
        <v>51</v>
      </c>
      <c r="G1571" t="s">
        <v>38</v>
      </c>
      <c r="H1571" t="s">
        <v>334</v>
      </c>
      <c r="I1571" t="s">
        <v>240</v>
      </c>
      <c r="J1571">
        <v>15</v>
      </c>
      <c r="K1571">
        <v>4</v>
      </c>
      <c r="L1571">
        <v>8900000</v>
      </c>
      <c r="M1571">
        <v>13030000</v>
      </c>
      <c r="N1571" t="s">
        <v>104</v>
      </c>
      <c r="O1571" t="s">
        <v>105</v>
      </c>
      <c r="P1571">
        <v>1</v>
      </c>
      <c r="Q1571">
        <v>2</v>
      </c>
      <c r="R1571">
        <v>0</v>
      </c>
      <c r="S1571">
        <v>1</v>
      </c>
      <c r="T1571">
        <v>8</v>
      </c>
      <c r="U1571">
        <v>5</v>
      </c>
      <c r="V1571">
        <v>18</v>
      </c>
      <c r="W1571">
        <v>14</v>
      </c>
      <c r="X1571">
        <v>14</v>
      </c>
      <c r="Y1571">
        <v>14</v>
      </c>
      <c r="Z1571">
        <v>2</v>
      </c>
      <c r="AA1571">
        <v>1</v>
      </c>
      <c r="AB1571">
        <v>0</v>
      </c>
      <c r="AC1571">
        <v>1</v>
      </c>
      <c r="AD1571">
        <v>15</v>
      </c>
      <c r="AE1571">
        <v>12</v>
      </c>
      <c r="AF1571">
        <v>8</v>
      </c>
      <c r="AG1571">
        <v>7</v>
      </c>
      <c r="AH1571">
        <v>-1</v>
      </c>
      <c r="AI1571">
        <v>0</v>
      </c>
    </row>
    <row r="1572" spans="1:35" hidden="1" x14ac:dyDescent="0.25">
      <c r="A1572">
        <v>2020</v>
      </c>
      <c r="B1572" s="1">
        <v>44088</v>
      </c>
      <c r="C1572">
        <v>10</v>
      </c>
      <c r="D1572">
        <v>0</v>
      </c>
      <c r="E1572">
        <v>46931</v>
      </c>
      <c r="F1572" t="s">
        <v>51</v>
      </c>
      <c r="G1572" t="s">
        <v>82</v>
      </c>
      <c r="H1572" t="s">
        <v>334</v>
      </c>
      <c r="I1572" t="s">
        <v>426</v>
      </c>
      <c r="J1572">
        <v>17</v>
      </c>
      <c r="K1572">
        <v>6</v>
      </c>
      <c r="L1572">
        <v>9000000</v>
      </c>
      <c r="M1572">
        <v>22750000</v>
      </c>
      <c r="N1572" t="s">
        <v>122</v>
      </c>
      <c r="O1572" t="s">
        <v>73</v>
      </c>
      <c r="P1572">
        <v>2</v>
      </c>
      <c r="Q1572">
        <v>3</v>
      </c>
      <c r="R1572">
        <v>0</v>
      </c>
      <c r="S1572">
        <v>1</v>
      </c>
      <c r="T1572">
        <v>5</v>
      </c>
      <c r="U1572">
        <v>4</v>
      </c>
      <c r="V1572">
        <v>18</v>
      </c>
      <c r="W1572">
        <v>8</v>
      </c>
      <c r="X1572">
        <v>8</v>
      </c>
      <c r="Y1572">
        <v>18</v>
      </c>
      <c r="Z1572">
        <v>3</v>
      </c>
      <c r="AA1572">
        <v>7</v>
      </c>
      <c r="AB1572">
        <v>0</v>
      </c>
      <c r="AC1572">
        <v>2</v>
      </c>
      <c r="AD1572">
        <v>25</v>
      </c>
      <c r="AE1572">
        <v>14</v>
      </c>
      <c r="AF1572">
        <v>12</v>
      </c>
      <c r="AG1572">
        <v>5</v>
      </c>
      <c r="AH1572">
        <v>-1</v>
      </c>
      <c r="AI1572">
        <v>0</v>
      </c>
    </row>
    <row r="1573" spans="1:35" hidden="1" x14ac:dyDescent="0.25">
      <c r="A1573">
        <v>2020</v>
      </c>
      <c r="B1573" s="1">
        <v>44108</v>
      </c>
      <c r="C1573">
        <v>13</v>
      </c>
      <c r="D1573">
        <v>0</v>
      </c>
      <c r="E1573">
        <v>46931</v>
      </c>
      <c r="F1573" t="s">
        <v>51</v>
      </c>
      <c r="G1573" t="s">
        <v>55</v>
      </c>
      <c r="H1573" t="s">
        <v>410</v>
      </c>
      <c r="I1573" t="s">
        <v>328</v>
      </c>
      <c r="J1573">
        <v>19</v>
      </c>
      <c r="K1573">
        <v>7</v>
      </c>
      <c r="L1573">
        <v>9700000</v>
      </c>
      <c r="M1573">
        <v>11600000</v>
      </c>
      <c r="N1573" t="s">
        <v>104</v>
      </c>
      <c r="O1573" t="s">
        <v>92</v>
      </c>
      <c r="P1573">
        <v>1</v>
      </c>
      <c r="Q1573">
        <v>1</v>
      </c>
      <c r="R1573">
        <v>0</v>
      </c>
      <c r="S1573">
        <v>1</v>
      </c>
      <c r="T1573">
        <v>7</v>
      </c>
      <c r="U1573">
        <v>4</v>
      </c>
      <c r="V1573">
        <v>20</v>
      </c>
      <c r="W1573">
        <v>22</v>
      </c>
      <c r="X1573">
        <v>21</v>
      </c>
      <c r="Y1573">
        <v>20</v>
      </c>
      <c r="Z1573">
        <v>5</v>
      </c>
      <c r="AA1573">
        <v>5</v>
      </c>
      <c r="AB1573">
        <v>0</v>
      </c>
      <c r="AC1573">
        <v>1</v>
      </c>
      <c r="AD1573">
        <v>17</v>
      </c>
      <c r="AE1573">
        <v>8</v>
      </c>
      <c r="AF1573">
        <v>9</v>
      </c>
      <c r="AG1573">
        <v>3</v>
      </c>
      <c r="AH1573">
        <v>0</v>
      </c>
      <c r="AI1573">
        <v>0</v>
      </c>
    </row>
    <row r="1574" spans="1:35" hidden="1" x14ac:dyDescent="0.25">
      <c r="A1574">
        <v>2020</v>
      </c>
      <c r="B1574" s="1">
        <v>44135</v>
      </c>
      <c r="C1574">
        <v>19</v>
      </c>
      <c r="D1574">
        <v>0</v>
      </c>
      <c r="E1574">
        <v>46931</v>
      </c>
      <c r="F1574" t="s">
        <v>51</v>
      </c>
      <c r="G1574" t="s">
        <v>361</v>
      </c>
      <c r="H1574" t="s">
        <v>428</v>
      </c>
      <c r="I1574" t="s">
        <v>340</v>
      </c>
      <c r="J1574">
        <v>18</v>
      </c>
      <c r="K1574">
        <v>10</v>
      </c>
      <c r="L1574">
        <v>7580000</v>
      </c>
      <c r="M1574">
        <v>6900000</v>
      </c>
      <c r="N1574" t="s">
        <v>252</v>
      </c>
      <c r="O1574" t="s">
        <v>111</v>
      </c>
      <c r="P1574">
        <v>2</v>
      </c>
      <c r="Q1574">
        <v>2</v>
      </c>
      <c r="R1574">
        <v>2</v>
      </c>
      <c r="S1574">
        <v>1</v>
      </c>
      <c r="T1574">
        <v>4</v>
      </c>
      <c r="U1574">
        <v>2</v>
      </c>
      <c r="V1574">
        <v>17</v>
      </c>
      <c r="W1574">
        <v>19</v>
      </c>
      <c r="X1574">
        <v>18</v>
      </c>
      <c r="Y1574">
        <v>15</v>
      </c>
      <c r="Z1574">
        <v>2</v>
      </c>
      <c r="AA1574">
        <v>5</v>
      </c>
      <c r="AB1574">
        <v>1</v>
      </c>
      <c r="AC1574">
        <v>0</v>
      </c>
      <c r="AD1574">
        <v>12</v>
      </c>
      <c r="AE1574">
        <v>10</v>
      </c>
      <c r="AF1574">
        <v>4</v>
      </c>
      <c r="AG1574">
        <v>5</v>
      </c>
      <c r="AH1574">
        <v>0</v>
      </c>
      <c r="AI1574">
        <v>0</v>
      </c>
    </row>
    <row r="1575" spans="1:35" hidden="1" x14ac:dyDescent="0.25">
      <c r="A1575">
        <v>2020</v>
      </c>
      <c r="B1575" s="1">
        <v>44152</v>
      </c>
      <c r="C1575">
        <v>21</v>
      </c>
      <c r="D1575">
        <v>0</v>
      </c>
      <c r="E1575">
        <v>46931</v>
      </c>
      <c r="F1575" t="s">
        <v>51</v>
      </c>
      <c r="G1575" t="s">
        <v>56</v>
      </c>
      <c r="H1575" t="s">
        <v>421</v>
      </c>
      <c r="I1575" t="s">
        <v>341</v>
      </c>
      <c r="J1575">
        <v>19</v>
      </c>
      <c r="K1575">
        <v>18</v>
      </c>
      <c r="L1575">
        <v>8450000</v>
      </c>
      <c r="M1575">
        <v>15230000</v>
      </c>
      <c r="N1575">
        <v>27</v>
      </c>
      <c r="O1575" t="s">
        <v>221</v>
      </c>
      <c r="P1575">
        <v>1</v>
      </c>
      <c r="Q1575">
        <v>2</v>
      </c>
      <c r="R1575">
        <v>1</v>
      </c>
      <c r="S1575">
        <v>1</v>
      </c>
      <c r="T1575">
        <v>7</v>
      </c>
      <c r="U1575">
        <v>3</v>
      </c>
      <c r="V1575">
        <v>16</v>
      </c>
      <c r="W1575">
        <v>18</v>
      </c>
      <c r="X1575">
        <v>17</v>
      </c>
      <c r="Y1575">
        <v>15</v>
      </c>
      <c r="Z1575">
        <v>2</v>
      </c>
      <c r="AA1575">
        <v>2</v>
      </c>
      <c r="AB1575">
        <v>2</v>
      </c>
      <c r="AC1575">
        <v>0</v>
      </c>
      <c r="AD1575">
        <v>12</v>
      </c>
      <c r="AE1575">
        <v>11</v>
      </c>
      <c r="AF1575">
        <v>8</v>
      </c>
      <c r="AG1575">
        <v>5</v>
      </c>
      <c r="AH1575">
        <v>-1</v>
      </c>
      <c r="AI1575">
        <v>0</v>
      </c>
    </row>
    <row r="1576" spans="1:35" hidden="1" x14ac:dyDescent="0.25">
      <c r="A1576">
        <v>2020</v>
      </c>
      <c r="B1576" s="1">
        <v>44192</v>
      </c>
      <c r="C1576">
        <v>27</v>
      </c>
      <c r="D1576">
        <v>0</v>
      </c>
      <c r="E1576">
        <v>46931</v>
      </c>
      <c r="F1576" t="s">
        <v>51</v>
      </c>
      <c r="G1576" t="s">
        <v>88</v>
      </c>
      <c r="H1576" t="s">
        <v>367</v>
      </c>
      <c r="I1576" t="s">
        <v>429</v>
      </c>
      <c r="J1576">
        <v>18</v>
      </c>
      <c r="K1576">
        <v>9</v>
      </c>
      <c r="L1576">
        <v>8180000</v>
      </c>
      <c r="M1576">
        <v>28800000</v>
      </c>
      <c r="N1576" t="s">
        <v>163</v>
      </c>
      <c r="O1576" t="s">
        <v>144</v>
      </c>
      <c r="P1576">
        <v>0</v>
      </c>
      <c r="Q1576">
        <v>2</v>
      </c>
      <c r="R1576">
        <v>0</v>
      </c>
      <c r="S1576">
        <v>1</v>
      </c>
      <c r="T1576">
        <v>2</v>
      </c>
      <c r="U1576">
        <v>7</v>
      </c>
      <c r="V1576">
        <v>19</v>
      </c>
      <c r="W1576">
        <v>20</v>
      </c>
      <c r="X1576">
        <v>19</v>
      </c>
      <c r="Y1576">
        <v>19</v>
      </c>
      <c r="Z1576">
        <v>4</v>
      </c>
      <c r="AA1576">
        <v>1</v>
      </c>
      <c r="AB1576">
        <v>2</v>
      </c>
      <c r="AC1576">
        <v>2</v>
      </c>
      <c r="AD1576">
        <v>11</v>
      </c>
      <c r="AE1576">
        <v>13</v>
      </c>
      <c r="AF1576">
        <v>9</v>
      </c>
      <c r="AG1576">
        <v>4</v>
      </c>
      <c r="AH1576">
        <v>-2</v>
      </c>
      <c r="AI1576">
        <v>0</v>
      </c>
    </row>
    <row r="1577" spans="1:35" hidden="1" x14ac:dyDescent="0.25">
      <c r="A1577">
        <v>2020</v>
      </c>
      <c r="B1577" s="1">
        <v>44202</v>
      </c>
      <c r="C1577">
        <v>28</v>
      </c>
      <c r="D1577">
        <v>0</v>
      </c>
      <c r="E1577">
        <v>46931</v>
      </c>
      <c r="F1577" t="s">
        <v>51</v>
      </c>
      <c r="G1577" t="s">
        <v>69</v>
      </c>
      <c r="H1577" t="s">
        <v>367</v>
      </c>
      <c r="I1577" t="s">
        <v>334</v>
      </c>
      <c r="J1577">
        <v>19</v>
      </c>
      <c r="K1577">
        <v>11</v>
      </c>
      <c r="L1577">
        <v>9150000</v>
      </c>
      <c r="M1577">
        <v>21500000</v>
      </c>
      <c r="N1577">
        <v>28</v>
      </c>
      <c r="O1577" t="s">
        <v>116</v>
      </c>
      <c r="P1577">
        <v>0</v>
      </c>
      <c r="Q1577">
        <v>2</v>
      </c>
      <c r="R1577">
        <v>0</v>
      </c>
      <c r="S1577">
        <v>1</v>
      </c>
      <c r="T1577">
        <v>3</v>
      </c>
      <c r="U1577">
        <v>3</v>
      </c>
      <c r="V1577">
        <v>14</v>
      </c>
      <c r="W1577">
        <v>21</v>
      </c>
      <c r="X1577">
        <v>18</v>
      </c>
      <c r="Y1577">
        <v>13</v>
      </c>
      <c r="Z1577">
        <v>2</v>
      </c>
      <c r="AA1577">
        <v>8</v>
      </c>
      <c r="AB1577">
        <v>4</v>
      </c>
      <c r="AC1577">
        <v>1</v>
      </c>
      <c r="AD1577">
        <v>24</v>
      </c>
      <c r="AE1577">
        <v>8</v>
      </c>
      <c r="AF1577">
        <v>10</v>
      </c>
      <c r="AG1577">
        <v>4</v>
      </c>
      <c r="AH1577">
        <v>-2</v>
      </c>
      <c r="AI1577">
        <v>0</v>
      </c>
    </row>
    <row r="1578" spans="1:35" hidden="1" x14ac:dyDescent="0.25">
      <c r="A1578">
        <v>2020</v>
      </c>
      <c r="B1578" s="1">
        <v>44232</v>
      </c>
      <c r="C1578">
        <v>34</v>
      </c>
      <c r="D1578">
        <v>0</v>
      </c>
      <c r="E1578">
        <v>46931</v>
      </c>
      <c r="F1578" t="s">
        <v>51</v>
      </c>
      <c r="G1578" t="s">
        <v>391</v>
      </c>
      <c r="H1578" t="s">
        <v>367</v>
      </c>
      <c r="I1578" t="s">
        <v>78</v>
      </c>
      <c r="J1578">
        <v>20</v>
      </c>
      <c r="K1578">
        <v>16</v>
      </c>
      <c r="L1578">
        <v>5880000</v>
      </c>
      <c r="M1578">
        <v>7950000</v>
      </c>
      <c r="N1578" t="s">
        <v>409</v>
      </c>
      <c r="O1578" t="s">
        <v>163</v>
      </c>
      <c r="P1578">
        <v>0</v>
      </c>
      <c r="Q1578">
        <v>1</v>
      </c>
      <c r="R1578">
        <v>0</v>
      </c>
      <c r="S1578">
        <v>1</v>
      </c>
      <c r="T1578">
        <v>10</v>
      </c>
      <c r="U1578">
        <v>8</v>
      </c>
      <c r="V1578">
        <v>11</v>
      </c>
      <c r="W1578">
        <v>19</v>
      </c>
      <c r="X1578">
        <v>17</v>
      </c>
      <c r="Y1578">
        <v>9</v>
      </c>
      <c r="Z1578">
        <v>1</v>
      </c>
      <c r="AA1578">
        <v>5</v>
      </c>
      <c r="AB1578">
        <v>3</v>
      </c>
      <c r="AC1578">
        <v>0</v>
      </c>
      <c r="AD1578">
        <v>25</v>
      </c>
      <c r="AE1578">
        <v>10</v>
      </c>
      <c r="AF1578">
        <v>10</v>
      </c>
      <c r="AG1578">
        <v>3</v>
      </c>
      <c r="AH1578">
        <v>-1</v>
      </c>
      <c r="AI1578">
        <v>0</v>
      </c>
    </row>
    <row r="1579" spans="1:35" hidden="1" x14ac:dyDescent="0.25">
      <c r="A1579">
        <v>2020</v>
      </c>
      <c r="B1579" s="1">
        <v>44085</v>
      </c>
      <c r="C1579">
        <v>9</v>
      </c>
      <c r="D1579">
        <v>0</v>
      </c>
      <c r="E1579">
        <v>55000</v>
      </c>
      <c r="F1579" t="s">
        <v>38</v>
      </c>
      <c r="G1579" t="s">
        <v>83</v>
      </c>
      <c r="H1579" t="s">
        <v>440</v>
      </c>
      <c r="I1579" t="s">
        <v>85</v>
      </c>
      <c r="J1579">
        <v>7</v>
      </c>
      <c r="K1579">
        <v>10</v>
      </c>
      <c r="L1579">
        <v>10350000</v>
      </c>
      <c r="M1579">
        <v>36600000</v>
      </c>
      <c r="N1579" t="s">
        <v>98</v>
      </c>
      <c r="O1579" t="s">
        <v>174</v>
      </c>
      <c r="P1579">
        <v>0</v>
      </c>
      <c r="Q1579">
        <v>2</v>
      </c>
      <c r="R1579">
        <v>0</v>
      </c>
      <c r="S1579">
        <v>1</v>
      </c>
      <c r="T1579">
        <v>8</v>
      </c>
      <c r="U1579">
        <v>4</v>
      </c>
      <c r="V1579">
        <v>12</v>
      </c>
      <c r="W1579">
        <v>9</v>
      </c>
      <c r="X1579">
        <v>9</v>
      </c>
      <c r="Y1579">
        <v>12</v>
      </c>
      <c r="Z1579">
        <v>4</v>
      </c>
      <c r="AA1579">
        <v>6</v>
      </c>
      <c r="AB1579">
        <v>1</v>
      </c>
      <c r="AC1579">
        <v>2</v>
      </c>
      <c r="AD1579">
        <v>17</v>
      </c>
      <c r="AE1579">
        <v>18</v>
      </c>
      <c r="AF1579">
        <v>9</v>
      </c>
      <c r="AG1579">
        <v>9</v>
      </c>
      <c r="AH1579">
        <v>-2</v>
      </c>
      <c r="AI1579">
        <v>0</v>
      </c>
    </row>
    <row r="1580" spans="1:35" hidden="1" x14ac:dyDescent="0.25">
      <c r="A1580">
        <v>2020</v>
      </c>
      <c r="B1580" s="1">
        <v>44087</v>
      </c>
      <c r="C1580">
        <v>10</v>
      </c>
      <c r="D1580">
        <v>0</v>
      </c>
      <c r="E1580">
        <v>30000</v>
      </c>
      <c r="F1580" t="s">
        <v>38</v>
      </c>
      <c r="G1580" t="s">
        <v>76</v>
      </c>
      <c r="H1580" t="s">
        <v>240</v>
      </c>
      <c r="I1580" t="s">
        <v>429</v>
      </c>
      <c r="J1580">
        <v>9</v>
      </c>
      <c r="K1580">
        <v>16</v>
      </c>
      <c r="L1580">
        <v>13150000</v>
      </c>
      <c r="M1580">
        <v>8250000</v>
      </c>
      <c r="N1580" t="s">
        <v>123</v>
      </c>
      <c r="O1580" t="s">
        <v>145</v>
      </c>
      <c r="P1580">
        <v>0</v>
      </c>
      <c r="Q1580">
        <v>1</v>
      </c>
      <c r="R1580">
        <v>0</v>
      </c>
      <c r="S1580">
        <v>1</v>
      </c>
      <c r="T1580">
        <v>5</v>
      </c>
      <c r="U1580">
        <v>5</v>
      </c>
      <c r="V1580">
        <v>16</v>
      </c>
      <c r="W1580">
        <v>20</v>
      </c>
      <c r="X1580">
        <v>17</v>
      </c>
      <c r="Y1580">
        <v>13</v>
      </c>
      <c r="Z1580">
        <v>2</v>
      </c>
      <c r="AA1580">
        <v>1</v>
      </c>
      <c r="AB1580">
        <v>5</v>
      </c>
      <c r="AC1580">
        <v>1</v>
      </c>
      <c r="AD1580">
        <v>9</v>
      </c>
      <c r="AE1580">
        <v>12</v>
      </c>
      <c r="AF1580">
        <v>3</v>
      </c>
      <c r="AG1580">
        <v>4</v>
      </c>
      <c r="AH1580">
        <v>-1</v>
      </c>
      <c r="AI1580">
        <v>0</v>
      </c>
    </row>
    <row r="1581" spans="1:35" hidden="1" x14ac:dyDescent="0.25">
      <c r="A1581">
        <v>2020</v>
      </c>
      <c r="B1581" s="1">
        <v>44108</v>
      </c>
      <c r="C1581">
        <v>13</v>
      </c>
      <c r="D1581">
        <v>0</v>
      </c>
      <c r="E1581">
        <v>31000</v>
      </c>
      <c r="F1581" t="s">
        <v>38</v>
      </c>
      <c r="G1581" t="s">
        <v>391</v>
      </c>
      <c r="H1581" t="s">
        <v>240</v>
      </c>
      <c r="I1581" t="s">
        <v>78</v>
      </c>
      <c r="J1581">
        <v>16</v>
      </c>
      <c r="K1581">
        <v>9</v>
      </c>
      <c r="L1581">
        <v>11980000</v>
      </c>
      <c r="M1581">
        <v>8400000</v>
      </c>
      <c r="N1581" t="s">
        <v>235</v>
      </c>
      <c r="O1581" t="s">
        <v>105</v>
      </c>
      <c r="P1581">
        <v>1</v>
      </c>
      <c r="Q1581">
        <v>2</v>
      </c>
      <c r="R1581">
        <v>0</v>
      </c>
      <c r="S1581">
        <v>1</v>
      </c>
      <c r="T1581">
        <v>11</v>
      </c>
      <c r="U1581">
        <v>0</v>
      </c>
      <c r="V1581">
        <v>15</v>
      </c>
      <c r="W1581">
        <v>13</v>
      </c>
      <c r="X1581">
        <v>10</v>
      </c>
      <c r="Y1581">
        <v>14</v>
      </c>
      <c r="Z1581">
        <v>0</v>
      </c>
      <c r="AA1581">
        <v>10</v>
      </c>
      <c r="AB1581">
        <v>2</v>
      </c>
      <c r="AC1581">
        <v>0</v>
      </c>
      <c r="AD1581">
        <v>23</v>
      </c>
      <c r="AE1581">
        <v>5</v>
      </c>
      <c r="AF1581">
        <v>8</v>
      </c>
      <c r="AG1581">
        <v>2</v>
      </c>
      <c r="AH1581">
        <v>-1</v>
      </c>
      <c r="AI1581">
        <v>0</v>
      </c>
    </row>
    <row r="1582" spans="1:35" hidden="1" x14ac:dyDescent="0.25">
      <c r="A1582">
        <v>2020</v>
      </c>
      <c r="B1582" s="1">
        <v>44124</v>
      </c>
      <c r="C1582">
        <v>17</v>
      </c>
      <c r="D1582">
        <v>0</v>
      </c>
      <c r="E1582">
        <v>30000</v>
      </c>
      <c r="F1582" t="s">
        <v>38</v>
      </c>
      <c r="G1582" t="s">
        <v>89</v>
      </c>
      <c r="H1582" t="s">
        <v>240</v>
      </c>
      <c r="I1582" t="s">
        <v>329</v>
      </c>
      <c r="J1582">
        <v>17</v>
      </c>
      <c r="K1582">
        <v>1</v>
      </c>
      <c r="L1582">
        <v>8530000</v>
      </c>
      <c r="M1582">
        <v>31100000</v>
      </c>
      <c r="N1582" t="s">
        <v>73</v>
      </c>
      <c r="O1582" t="s">
        <v>116</v>
      </c>
      <c r="P1582">
        <v>3</v>
      </c>
      <c r="Q1582">
        <v>1</v>
      </c>
      <c r="R1582">
        <v>0</v>
      </c>
      <c r="S1582">
        <v>1</v>
      </c>
      <c r="T1582">
        <v>2</v>
      </c>
      <c r="U1582">
        <v>8</v>
      </c>
      <c r="V1582">
        <v>14</v>
      </c>
      <c r="W1582">
        <v>14</v>
      </c>
      <c r="X1582">
        <v>13</v>
      </c>
      <c r="Y1582">
        <v>14</v>
      </c>
      <c r="Z1582">
        <v>3</v>
      </c>
      <c r="AA1582">
        <v>3</v>
      </c>
      <c r="AB1582">
        <v>1</v>
      </c>
      <c r="AC1582">
        <v>1</v>
      </c>
      <c r="AD1582">
        <v>13</v>
      </c>
      <c r="AE1582">
        <v>20</v>
      </c>
      <c r="AF1582">
        <v>4</v>
      </c>
      <c r="AG1582">
        <v>11</v>
      </c>
      <c r="AH1582">
        <v>2</v>
      </c>
      <c r="AI1582">
        <v>1</v>
      </c>
    </row>
    <row r="1583" spans="1:35" hidden="1" x14ac:dyDescent="0.25">
      <c r="A1583">
        <v>2020</v>
      </c>
      <c r="B1583" s="1">
        <v>44192</v>
      </c>
      <c r="C1583">
        <v>27</v>
      </c>
      <c r="D1583">
        <v>0</v>
      </c>
      <c r="E1583">
        <v>55000</v>
      </c>
      <c r="F1583" t="s">
        <v>38</v>
      </c>
      <c r="G1583" t="s">
        <v>37</v>
      </c>
      <c r="H1583" t="s">
        <v>398</v>
      </c>
      <c r="I1583" t="s">
        <v>376</v>
      </c>
      <c r="J1583">
        <v>17</v>
      </c>
      <c r="K1583">
        <v>4</v>
      </c>
      <c r="L1583">
        <v>8500000</v>
      </c>
      <c r="M1583">
        <v>23800000</v>
      </c>
      <c r="N1583" t="s">
        <v>73</v>
      </c>
      <c r="O1583" t="s">
        <v>73</v>
      </c>
      <c r="P1583">
        <v>1</v>
      </c>
      <c r="Q1583">
        <v>2</v>
      </c>
      <c r="R1583">
        <v>0</v>
      </c>
      <c r="S1583">
        <v>1</v>
      </c>
      <c r="T1583">
        <v>6</v>
      </c>
      <c r="U1583">
        <v>7</v>
      </c>
      <c r="V1583">
        <v>18</v>
      </c>
      <c r="W1583">
        <v>12</v>
      </c>
      <c r="X1583">
        <v>12</v>
      </c>
      <c r="Y1583">
        <v>17</v>
      </c>
      <c r="Z1583">
        <v>8</v>
      </c>
      <c r="AA1583">
        <v>2</v>
      </c>
      <c r="AB1583">
        <v>0</v>
      </c>
      <c r="AC1583">
        <v>2</v>
      </c>
      <c r="AD1583">
        <v>14</v>
      </c>
      <c r="AE1583">
        <v>15</v>
      </c>
      <c r="AF1583">
        <v>9</v>
      </c>
      <c r="AG1583">
        <v>2</v>
      </c>
      <c r="AH1583">
        <v>-1</v>
      </c>
      <c r="AI1583">
        <v>0</v>
      </c>
    </row>
    <row r="1584" spans="1:35" hidden="1" x14ac:dyDescent="0.25">
      <c r="A1584">
        <v>2020</v>
      </c>
      <c r="B1584" s="1">
        <v>44231</v>
      </c>
      <c r="C1584">
        <v>34</v>
      </c>
      <c r="D1584">
        <v>0</v>
      </c>
      <c r="E1584">
        <v>55000</v>
      </c>
      <c r="F1584" t="s">
        <v>38</v>
      </c>
      <c r="G1584" t="s">
        <v>55</v>
      </c>
      <c r="H1584" t="s">
        <v>398</v>
      </c>
      <c r="I1584" t="s">
        <v>223</v>
      </c>
      <c r="J1584">
        <v>15</v>
      </c>
      <c r="K1584">
        <v>5</v>
      </c>
      <c r="L1584">
        <v>8000000</v>
      </c>
      <c r="M1584">
        <v>12600000</v>
      </c>
      <c r="N1584" t="s">
        <v>73</v>
      </c>
      <c r="O1584" t="s">
        <v>73</v>
      </c>
      <c r="P1584">
        <v>0</v>
      </c>
      <c r="Q1584">
        <v>1</v>
      </c>
      <c r="R1584">
        <v>0</v>
      </c>
      <c r="S1584">
        <v>1</v>
      </c>
      <c r="T1584">
        <v>4</v>
      </c>
      <c r="U1584">
        <v>1</v>
      </c>
      <c r="V1584">
        <v>15</v>
      </c>
      <c r="W1584">
        <v>11</v>
      </c>
      <c r="X1584">
        <v>11</v>
      </c>
      <c r="Y1584">
        <v>15</v>
      </c>
      <c r="Z1584">
        <v>5</v>
      </c>
      <c r="AA1584">
        <v>6</v>
      </c>
      <c r="AB1584">
        <v>0</v>
      </c>
      <c r="AC1584">
        <v>2</v>
      </c>
      <c r="AD1584">
        <v>12</v>
      </c>
      <c r="AE1584">
        <v>13</v>
      </c>
      <c r="AF1584">
        <v>3</v>
      </c>
      <c r="AG1584">
        <v>6</v>
      </c>
      <c r="AH1584">
        <v>-1</v>
      </c>
      <c r="AI1584">
        <v>0</v>
      </c>
    </row>
    <row r="1585" spans="1:35" hidden="1" x14ac:dyDescent="0.25">
      <c r="A1585">
        <v>2020</v>
      </c>
      <c r="B1585" s="1">
        <v>44233</v>
      </c>
      <c r="C1585">
        <v>35</v>
      </c>
      <c r="D1585">
        <v>0</v>
      </c>
      <c r="E1585">
        <v>55000</v>
      </c>
      <c r="F1585" t="s">
        <v>38</v>
      </c>
      <c r="G1585" t="s">
        <v>416</v>
      </c>
      <c r="H1585" t="s">
        <v>398</v>
      </c>
      <c r="I1585" t="s">
        <v>380</v>
      </c>
      <c r="J1585">
        <v>17</v>
      </c>
      <c r="K1585">
        <v>18</v>
      </c>
      <c r="L1585">
        <v>6750000</v>
      </c>
      <c r="M1585">
        <v>4830000</v>
      </c>
      <c r="N1585" t="s">
        <v>74</v>
      </c>
      <c r="O1585">
        <v>25</v>
      </c>
      <c r="P1585">
        <v>3</v>
      </c>
      <c r="Q1585">
        <v>3</v>
      </c>
      <c r="R1585">
        <v>2</v>
      </c>
      <c r="S1585">
        <v>1</v>
      </c>
      <c r="T1585">
        <v>8</v>
      </c>
      <c r="U1585">
        <v>1</v>
      </c>
      <c r="V1585">
        <v>18</v>
      </c>
      <c r="W1585">
        <v>13</v>
      </c>
      <c r="X1585">
        <v>13</v>
      </c>
      <c r="Y1585">
        <v>17</v>
      </c>
      <c r="Z1585">
        <v>3</v>
      </c>
      <c r="AA1585">
        <v>4</v>
      </c>
      <c r="AB1585">
        <v>1</v>
      </c>
      <c r="AC1585">
        <v>1</v>
      </c>
      <c r="AD1585">
        <v>9</v>
      </c>
      <c r="AE1585">
        <v>17</v>
      </c>
      <c r="AF1585">
        <v>1</v>
      </c>
      <c r="AG1585">
        <v>8</v>
      </c>
      <c r="AH1585">
        <v>0</v>
      </c>
      <c r="AI1585">
        <v>0</v>
      </c>
    </row>
    <row r="1586" spans="1:35" hidden="1" x14ac:dyDescent="0.25">
      <c r="A1586">
        <v>2020</v>
      </c>
      <c r="B1586" s="1">
        <v>44052</v>
      </c>
      <c r="C1586">
        <v>1</v>
      </c>
      <c r="D1586">
        <v>0</v>
      </c>
      <c r="E1586">
        <v>78838</v>
      </c>
      <c r="F1586" t="s">
        <v>77</v>
      </c>
      <c r="G1586" t="s">
        <v>89</v>
      </c>
      <c r="H1586" t="s">
        <v>430</v>
      </c>
      <c r="I1586" t="s">
        <v>329</v>
      </c>
      <c r="J1586">
        <v>16</v>
      </c>
      <c r="K1586">
        <v>7</v>
      </c>
      <c r="L1586">
        <v>76200000</v>
      </c>
      <c r="M1586">
        <v>20500000</v>
      </c>
      <c r="N1586">
        <v>29</v>
      </c>
      <c r="O1586" t="s">
        <v>60</v>
      </c>
      <c r="P1586">
        <v>0</v>
      </c>
      <c r="Q1586">
        <v>1</v>
      </c>
      <c r="R1586">
        <v>0</v>
      </c>
      <c r="S1586">
        <v>1</v>
      </c>
      <c r="T1586">
        <v>9</v>
      </c>
      <c r="U1586">
        <v>2</v>
      </c>
      <c r="V1586">
        <v>12</v>
      </c>
      <c r="W1586">
        <v>24</v>
      </c>
      <c r="X1586">
        <v>21</v>
      </c>
      <c r="Y1586">
        <v>10</v>
      </c>
      <c r="Z1586">
        <v>4</v>
      </c>
      <c r="AA1586">
        <v>2</v>
      </c>
      <c r="AB1586">
        <v>2</v>
      </c>
      <c r="AC1586">
        <v>3</v>
      </c>
      <c r="AD1586">
        <v>17</v>
      </c>
      <c r="AE1586">
        <v>10</v>
      </c>
      <c r="AF1586">
        <v>10</v>
      </c>
      <c r="AG1586">
        <v>2</v>
      </c>
      <c r="AH1586">
        <v>-1</v>
      </c>
      <c r="AI1586">
        <v>0</v>
      </c>
    </row>
    <row r="1587" spans="1:35" hidden="1" x14ac:dyDescent="0.25">
      <c r="A1587">
        <v>2020</v>
      </c>
      <c r="B1587" s="1">
        <v>44063</v>
      </c>
      <c r="C1587">
        <v>4</v>
      </c>
      <c r="D1587">
        <v>0</v>
      </c>
      <c r="E1587">
        <v>78838</v>
      </c>
      <c r="F1587" t="s">
        <v>77</v>
      </c>
      <c r="G1587" t="s">
        <v>83</v>
      </c>
      <c r="H1587" t="s">
        <v>430</v>
      </c>
      <c r="I1587" t="s">
        <v>85</v>
      </c>
      <c r="J1587">
        <v>12</v>
      </c>
      <c r="K1587">
        <v>8</v>
      </c>
      <c r="L1587">
        <v>73900000</v>
      </c>
      <c r="M1587">
        <v>49650000</v>
      </c>
      <c r="N1587" t="s">
        <v>135</v>
      </c>
      <c r="O1587" t="s">
        <v>296</v>
      </c>
      <c r="P1587">
        <v>1</v>
      </c>
      <c r="Q1587">
        <v>1</v>
      </c>
      <c r="R1587">
        <v>0</v>
      </c>
      <c r="S1587">
        <v>1</v>
      </c>
      <c r="T1587">
        <v>1</v>
      </c>
      <c r="U1587">
        <v>2</v>
      </c>
      <c r="V1587">
        <v>17</v>
      </c>
      <c r="W1587">
        <v>20</v>
      </c>
      <c r="X1587">
        <v>19</v>
      </c>
      <c r="Y1587">
        <v>16</v>
      </c>
      <c r="Z1587">
        <v>1</v>
      </c>
      <c r="AA1587">
        <v>1</v>
      </c>
      <c r="AB1587">
        <v>1</v>
      </c>
      <c r="AC1587">
        <v>3</v>
      </c>
      <c r="AD1587">
        <v>8</v>
      </c>
      <c r="AE1587">
        <v>10</v>
      </c>
      <c r="AF1587">
        <v>4</v>
      </c>
      <c r="AG1587">
        <v>5</v>
      </c>
      <c r="AH1587">
        <v>0</v>
      </c>
      <c r="AI1587">
        <v>0</v>
      </c>
    </row>
    <row r="1588" spans="1:35" hidden="1" x14ac:dyDescent="0.25">
      <c r="A1588">
        <v>2020</v>
      </c>
      <c r="B1588" s="1">
        <v>44079</v>
      </c>
      <c r="C1588">
        <v>8</v>
      </c>
      <c r="D1588">
        <v>0</v>
      </c>
      <c r="E1588">
        <v>78838</v>
      </c>
      <c r="F1588" t="s">
        <v>77</v>
      </c>
      <c r="G1588" t="s">
        <v>63</v>
      </c>
      <c r="H1588" t="s">
        <v>430</v>
      </c>
      <c r="I1588" t="s">
        <v>40</v>
      </c>
      <c r="J1588">
        <v>6</v>
      </c>
      <c r="K1588">
        <v>13</v>
      </c>
      <c r="L1588">
        <v>62700000</v>
      </c>
      <c r="M1588">
        <v>6430000</v>
      </c>
      <c r="N1588" t="s">
        <v>209</v>
      </c>
      <c r="O1588" t="s">
        <v>193</v>
      </c>
      <c r="P1588">
        <v>2</v>
      </c>
      <c r="Q1588">
        <v>1</v>
      </c>
      <c r="R1588">
        <v>1</v>
      </c>
      <c r="S1588">
        <v>1</v>
      </c>
      <c r="T1588">
        <v>11</v>
      </c>
      <c r="U1588">
        <v>3</v>
      </c>
      <c r="V1588">
        <v>12</v>
      </c>
      <c r="W1588">
        <v>21</v>
      </c>
      <c r="X1588">
        <v>19</v>
      </c>
      <c r="Y1588">
        <v>11</v>
      </c>
      <c r="Z1588">
        <v>1</v>
      </c>
      <c r="AA1588">
        <v>6</v>
      </c>
      <c r="AB1588">
        <v>3</v>
      </c>
      <c r="AC1588">
        <v>4</v>
      </c>
      <c r="AD1588">
        <v>18</v>
      </c>
      <c r="AE1588">
        <v>4</v>
      </c>
      <c r="AF1588">
        <v>9</v>
      </c>
      <c r="AG1588">
        <v>2</v>
      </c>
      <c r="AH1588">
        <v>1</v>
      </c>
      <c r="AI1588">
        <v>1</v>
      </c>
    </row>
    <row r="1589" spans="1:35" hidden="1" x14ac:dyDescent="0.25">
      <c r="A1589">
        <v>2020</v>
      </c>
      <c r="B1589" s="1">
        <v>44117</v>
      </c>
      <c r="C1589">
        <v>11</v>
      </c>
      <c r="D1589">
        <v>0</v>
      </c>
      <c r="E1589">
        <v>78838</v>
      </c>
      <c r="F1589" t="s">
        <v>77</v>
      </c>
      <c r="G1589" t="s">
        <v>416</v>
      </c>
      <c r="H1589" t="s">
        <v>430</v>
      </c>
      <c r="I1589" t="s">
        <v>420</v>
      </c>
      <c r="J1589">
        <v>6</v>
      </c>
      <c r="K1589">
        <v>19</v>
      </c>
      <c r="L1589">
        <v>49200000</v>
      </c>
      <c r="M1589">
        <v>10050000</v>
      </c>
      <c r="N1589" t="s">
        <v>270</v>
      </c>
      <c r="O1589" t="s">
        <v>120</v>
      </c>
      <c r="P1589">
        <v>2</v>
      </c>
      <c r="Q1589">
        <v>1</v>
      </c>
      <c r="R1589">
        <v>1</v>
      </c>
      <c r="S1589">
        <v>1</v>
      </c>
      <c r="T1589">
        <v>9</v>
      </c>
      <c r="U1589">
        <v>4</v>
      </c>
      <c r="V1589">
        <v>12</v>
      </c>
      <c r="W1589">
        <v>12</v>
      </c>
      <c r="X1589">
        <v>11</v>
      </c>
      <c r="Y1589">
        <v>12</v>
      </c>
      <c r="Z1589">
        <v>3</v>
      </c>
      <c r="AA1589">
        <v>10</v>
      </c>
      <c r="AB1589">
        <v>1</v>
      </c>
      <c r="AC1589">
        <v>4</v>
      </c>
      <c r="AD1589">
        <v>31</v>
      </c>
      <c r="AE1589">
        <v>7</v>
      </c>
      <c r="AF1589">
        <v>13</v>
      </c>
      <c r="AG1589">
        <v>2</v>
      </c>
      <c r="AH1589">
        <v>1</v>
      </c>
      <c r="AI1589">
        <v>1</v>
      </c>
    </row>
    <row r="1590" spans="1:35" hidden="1" x14ac:dyDescent="0.25">
      <c r="A1590">
        <v>2020</v>
      </c>
      <c r="B1590" s="1">
        <v>44206</v>
      </c>
      <c r="C1590">
        <v>29</v>
      </c>
      <c r="D1590">
        <v>0</v>
      </c>
      <c r="E1590">
        <v>78838</v>
      </c>
      <c r="F1590" t="s">
        <v>77</v>
      </c>
      <c r="G1590" t="s">
        <v>361</v>
      </c>
      <c r="H1590" t="s">
        <v>40</v>
      </c>
      <c r="I1590" t="s">
        <v>340</v>
      </c>
      <c r="J1590">
        <v>3</v>
      </c>
      <c r="K1590">
        <v>11</v>
      </c>
      <c r="L1590">
        <v>69050000</v>
      </c>
      <c r="M1590">
        <v>7000000</v>
      </c>
      <c r="N1590" t="s">
        <v>100</v>
      </c>
      <c r="O1590" t="s">
        <v>100</v>
      </c>
      <c r="P1590">
        <v>0</v>
      </c>
      <c r="Q1590">
        <v>2</v>
      </c>
      <c r="R1590">
        <v>0</v>
      </c>
      <c r="S1590">
        <v>1</v>
      </c>
      <c r="T1590">
        <v>6</v>
      </c>
      <c r="U1590">
        <v>1</v>
      </c>
      <c r="V1590">
        <v>10</v>
      </c>
      <c r="W1590">
        <v>12</v>
      </c>
      <c r="X1590">
        <v>11</v>
      </c>
      <c r="Y1590">
        <v>9</v>
      </c>
      <c r="Z1590">
        <v>2</v>
      </c>
      <c r="AA1590">
        <v>5</v>
      </c>
      <c r="AB1590">
        <v>3</v>
      </c>
      <c r="AC1590">
        <v>0</v>
      </c>
      <c r="AD1590">
        <v>21</v>
      </c>
      <c r="AE1590">
        <v>8</v>
      </c>
      <c r="AF1590">
        <v>12</v>
      </c>
      <c r="AG1590">
        <v>1</v>
      </c>
      <c r="AH1590">
        <v>-2</v>
      </c>
      <c r="AI1590">
        <v>0</v>
      </c>
    </row>
    <row r="1591" spans="1:35" hidden="1" x14ac:dyDescent="0.25">
      <c r="A1591">
        <v>2020</v>
      </c>
      <c r="B1591" s="1">
        <v>44241</v>
      </c>
      <c r="C1591">
        <v>36</v>
      </c>
      <c r="D1591">
        <v>0</v>
      </c>
      <c r="E1591">
        <v>78838</v>
      </c>
      <c r="F1591" t="s">
        <v>77</v>
      </c>
      <c r="G1591" t="s">
        <v>88</v>
      </c>
      <c r="H1591" t="s">
        <v>40</v>
      </c>
      <c r="I1591" t="s">
        <v>429</v>
      </c>
      <c r="J1591">
        <v>2</v>
      </c>
      <c r="K1591">
        <v>9</v>
      </c>
      <c r="L1591">
        <v>81250000</v>
      </c>
      <c r="M1591">
        <v>22400000</v>
      </c>
      <c r="N1591">
        <v>29</v>
      </c>
      <c r="O1591" t="s">
        <v>41</v>
      </c>
      <c r="P1591">
        <v>2</v>
      </c>
      <c r="Q1591">
        <v>1</v>
      </c>
      <c r="R1591">
        <v>1</v>
      </c>
      <c r="S1591">
        <v>1</v>
      </c>
      <c r="T1591">
        <v>4</v>
      </c>
      <c r="U1591">
        <v>3</v>
      </c>
      <c r="V1591">
        <v>21</v>
      </c>
      <c r="W1591">
        <v>16</v>
      </c>
      <c r="X1591">
        <v>16</v>
      </c>
      <c r="Y1591">
        <v>20</v>
      </c>
      <c r="Z1591">
        <v>2</v>
      </c>
      <c r="AA1591">
        <v>3</v>
      </c>
      <c r="AB1591">
        <v>4</v>
      </c>
      <c r="AC1591">
        <v>1</v>
      </c>
      <c r="AD1591">
        <v>14</v>
      </c>
      <c r="AE1591">
        <v>11</v>
      </c>
      <c r="AF1591">
        <v>8</v>
      </c>
      <c r="AG1591">
        <v>1</v>
      </c>
      <c r="AH1591">
        <v>1</v>
      </c>
      <c r="AI1591">
        <v>1</v>
      </c>
    </row>
    <row r="1592" spans="1:35" hidden="1" x14ac:dyDescent="0.25">
      <c r="A1592">
        <v>2020</v>
      </c>
      <c r="B1592" s="1">
        <v>44248</v>
      </c>
      <c r="C1592">
        <v>37</v>
      </c>
      <c r="D1592">
        <v>0</v>
      </c>
      <c r="E1592">
        <v>78838</v>
      </c>
      <c r="F1592" t="s">
        <v>77</v>
      </c>
      <c r="G1592" t="s">
        <v>37</v>
      </c>
      <c r="H1592" t="s">
        <v>40</v>
      </c>
      <c r="I1592" t="s">
        <v>376</v>
      </c>
      <c r="J1592">
        <v>2</v>
      </c>
      <c r="K1592">
        <v>1</v>
      </c>
      <c r="L1592">
        <v>79050000</v>
      </c>
      <c r="M1592">
        <v>29500000</v>
      </c>
      <c r="N1592">
        <v>29</v>
      </c>
      <c r="O1592" t="s">
        <v>332</v>
      </c>
      <c r="P1592">
        <v>2</v>
      </c>
      <c r="Q1592">
        <v>1</v>
      </c>
      <c r="R1592">
        <v>1</v>
      </c>
      <c r="S1592">
        <v>1</v>
      </c>
      <c r="T1592">
        <v>1</v>
      </c>
      <c r="U1592">
        <v>4</v>
      </c>
      <c r="V1592">
        <v>21</v>
      </c>
      <c r="W1592">
        <v>15</v>
      </c>
      <c r="X1592">
        <v>13</v>
      </c>
      <c r="Y1592">
        <v>20</v>
      </c>
      <c r="Z1592">
        <v>2</v>
      </c>
      <c r="AA1592">
        <v>2</v>
      </c>
      <c r="AB1592">
        <v>3</v>
      </c>
      <c r="AC1592">
        <v>0</v>
      </c>
      <c r="AD1592">
        <v>10</v>
      </c>
      <c r="AE1592">
        <v>12</v>
      </c>
      <c r="AF1592">
        <v>3</v>
      </c>
      <c r="AG1592">
        <v>4</v>
      </c>
      <c r="AH1592">
        <v>1</v>
      </c>
      <c r="AI1592">
        <v>1</v>
      </c>
    </row>
    <row r="1593" spans="1:35" hidden="1" x14ac:dyDescent="0.25">
      <c r="A1593">
        <v>2020</v>
      </c>
      <c r="B1593" s="1">
        <v>44080</v>
      </c>
      <c r="C1593">
        <v>8</v>
      </c>
      <c r="D1593">
        <v>0</v>
      </c>
      <c r="E1593">
        <v>60326</v>
      </c>
      <c r="F1593" t="s">
        <v>361</v>
      </c>
      <c r="G1593" t="s">
        <v>419</v>
      </c>
      <c r="H1593" t="s">
        <v>340</v>
      </c>
      <c r="I1593" t="s">
        <v>71</v>
      </c>
      <c r="J1593">
        <v>10</v>
      </c>
      <c r="K1593">
        <v>14</v>
      </c>
      <c r="L1593">
        <v>6150000</v>
      </c>
      <c r="M1593">
        <v>19150000</v>
      </c>
      <c r="N1593" t="s">
        <v>296</v>
      </c>
      <c r="O1593" t="s">
        <v>252</v>
      </c>
      <c r="P1593">
        <v>0</v>
      </c>
      <c r="Q1593">
        <v>1</v>
      </c>
      <c r="R1593">
        <v>0</v>
      </c>
      <c r="S1593">
        <v>1</v>
      </c>
      <c r="T1593">
        <v>7</v>
      </c>
      <c r="U1593">
        <v>5</v>
      </c>
      <c r="V1593">
        <v>18</v>
      </c>
      <c r="W1593">
        <v>18</v>
      </c>
      <c r="X1593">
        <v>18</v>
      </c>
      <c r="Y1593">
        <v>18</v>
      </c>
      <c r="Z1593">
        <v>3</v>
      </c>
      <c r="AA1593">
        <v>6</v>
      </c>
      <c r="AB1593">
        <v>1</v>
      </c>
      <c r="AC1593">
        <v>2</v>
      </c>
      <c r="AD1593">
        <v>13</v>
      </c>
      <c r="AE1593">
        <v>9</v>
      </c>
      <c r="AF1593">
        <v>6</v>
      </c>
      <c r="AG1593">
        <v>3</v>
      </c>
      <c r="AH1593">
        <v>-1</v>
      </c>
      <c r="AI1593">
        <v>0</v>
      </c>
    </row>
    <row r="1594" spans="1:35" hidden="1" x14ac:dyDescent="0.25">
      <c r="A1594">
        <v>2020</v>
      </c>
      <c r="B1594" s="1">
        <v>44101</v>
      </c>
      <c r="C1594">
        <v>12</v>
      </c>
      <c r="D1594">
        <v>0</v>
      </c>
      <c r="E1594">
        <v>60326</v>
      </c>
      <c r="F1594" t="s">
        <v>361</v>
      </c>
      <c r="G1594" t="s">
        <v>416</v>
      </c>
      <c r="H1594" t="s">
        <v>340</v>
      </c>
      <c r="I1594" t="s">
        <v>433</v>
      </c>
      <c r="J1594">
        <v>13</v>
      </c>
      <c r="K1594">
        <v>20</v>
      </c>
      <c r="L1594">
        <v>7550000</v>
      </c>
      <c r="M1594">
        <v>10050000</v>
      </c>
      <c r="N1594" t="s">
        <v>67</v>
      </c>
      <c r="O1594" t="s">
        <v>107</v>
      </c>
      <c r="P1594">
        <v>2</v>
      </c>
      <c r="Q1594">
        <v>2</v>
      </c>
      <c r="R1594">
        <v>0</v>
      </c>
      <c r="S1594">
        <v>1</v>
      </c>
      <c r="T1594">
        <v>11</v>
      </c>
      <c r="U1594">
        <v>7</v>
      </c>
      <c r="V1594">
        <v>14</v>
      </c>
      <c r="W1594">
        <v>14</v>
      </c>
      <c r="X1594">
        <v>13</v>
      </c>
      <c r="Y1594">
        <v>12</v>
      </c>
      <c r="Z1594">
        <v>5</v>
      </c>
      <c r="AA1594">
        <v>3</v>
      </c>
      <c r="AB1594">
        <v>8</v>
      </c>
      <c r="AC1594">
        <v>3</v>
      </c>
      <c r="AD1594">
        <v>19</v>
      </c>
      <c r="AE1594">
        <v>10</v>
      </c>
      <c r="AF1594">
        <v>8</v>
      </c>
      <c r="AG1594">
        <v>2</v>
      </c>
      <c r="AH1594">
        <v>0</v>
      </c>
      <c r="AI1594">
        <v>0</v>
      </c>
    </row>
    <row r="1595" spans="1:35" hidden="1" x14ac:dyDescent="0.25">
      <c r="A1595">
        <v>2020</v>
      </c>
      <c r="B1595" s="1">
        <v>44116</v>
      </c>
      <c r="C1595">
        <v>15</v>
      </c>
      <c r="D1595">
        <v>0</v>
      </c>
      <c r="E1595">
        <v>60326</v>
      </c>
      <c r="F1595" t="s">
        <v>361</v>
      </c>
      <c r="G1595" t="s">
        <v>88</v>
      </c>
      <c r="H1595" t="s">
        <v>340</v>
      </c>
      <c r="I1595" t="s">
        <v>436</v>
      </c>
      <c r="J1595">
        <v>14</v>
      </c>
      <c r="K1595">
        <v>15</v>
      </c>
      <c r="L1595">
        <v>7100000</v>
      </c>
      <c r="M1595">
        <v>37600000</v>
      </c>
      <c r="N1595" t="s">
        <v>208</v>
      </c>
      <c r="O1595" t="s">
        <v>99</v>
      </c>
      <c r="P1595">
        <v>2</v>
      </c>
      <c r="Q1595">
        <v>1</v>
      </c>
      <c r="R1595">
        <v>1</v>
      </c>
      <c r="S1595">
        <v>1</v>
      </c>
      <c r="T1595">
        <v>6</v>
      </c>
      <c r="U1595">
        <v>6</v>
      </c>
      <c r="V1595">
        <v>9</v>
      </c>
      <c r="W1595">
        <v>10</v>
      </c>
      <c r="X1595">
        <v>10</v>
      </c>
      <c r="Y1595">
        <v>8</v>
      </c>
      <c r="Z1595">
        <v>2</v>
      </c>
      <c r="AA1595">
        <v>3</v>
      </c>
      <c r="AB1595">
        <v>2</v>
      </c>
      <c r="AC1595">
        <v>1</v>
      </c>
      <c r="AD1595">
        <v>15</v>
      </c>
      <c r="AE1595">
        <v>10</v>
      </c>
      <c r="AF1595">
        <v>10</v>
      </c>
      <c r="AG1595">
        <v>4</v>
      </c>
      <c r="AH1595">
        <v>1</v>
      </c>
      <c r="AI1595">
        <v>1</v>
      </c>
    </row>
    <row r="1596" spans="1:35" hidden="1" x14ac:dyDescent="0.25">
      <c r="A1596">
        <v>2020</v>
      </c>
      <c r="B1596" s="1">
        <v>44129</v>
      </c>
      <c r="C1596">
        <v>18</v>
      </c>
      <c r="D1596">
        <v>0</v>
      </c>
      <c r="E1596">
        <v>60326</v>
      </c>
      <c r="F1596" t="s">
        <v>361</v>
      </c>
      <c r="G1596" t="s">
        <v>321</v>
      </c>
      <c r="J1596">
        <v>12</v>
      </c>
      <c r="K1596">
        <v>18</v>
      </c>
      <c r="P1596">
        <v>2</v>
      </c>
      <c r="Q1596">
        <v>1</v>
      </c>
      <c r="R1596">
        <v>1</v>
      </c>
      <c r="S1596">
        <v>1</v>
      </c>
      <c r="T1596">
        <v>5</v>
      </c>
      <c r="U1596">
        <v>8</v>
      </c>
      <c r="V1596">
        <v>22</v>
      </c>
      <c r="W1596">
        <v>12</v>
      </c>
      <c r="X1596">
        <v>10</v>
      </c>
      <c r="Y1596">
        <v>21</v>
      </c>
      <c r="Z1596">
        <v>5</v>
      </c>
      <c r="AA1596">
        <v>2</v>
      </c>
      <c r="AB1596">
        <v>1</v>
      </c>
      <c r="AC1596">
        <v>1</v>
      </c>
      <c r="AD1596">
        <v>15</v>
      </c>
      <c r="AE1596">
        <v>14</v>
      </c>
      <c r="AF1596">
        <v>8</v>
      </c>
      <c r="AG1596">
        <v>6</v>
      </c>
      <c r="AH1596">
        <v>1</v>
      </c>
      <c r="AI1596">
        <v>1</v>
      </c>
    </row>
    <row r="1597" spans="1:35" hidden="1" x14ac:dyDescent="0.25">
      <c r="A1597">
        <v>2020</v>
      </c>
      <c r="B1597" s="1">
        <v>44157</v>
      </c>
      <c r="C1597">
        <v>22</v>
      </c>
      <c r="D1597">
        <v>0</v>
      </c>
      <c r="E1597">
        <v>60326</v>
      </c>
      <c r="F1597" t="s">
        <v>361</v>
      </c>
      <c r="G1597" t="s">
        <v>89</v>
      </c>
      <c r="H1597" t="s">
        <v>340</v>
      </c>
      <c r="I1597" t="s">
        <v>329</v>
      </c>
      <c r="J1597">
        <v>13</v>
      </c>
      <c r="K1597">
        <v>2</v>
      </c>
      <c r="L1597">
        <v>7400000</v>
      </c>
      <c r="M1597">
        <v>37550000</v>
      </c>
      <c r="N1597" t="s">
        <v>111</v>
      </c>
      <c r="O1597">
        <v>25</v>
      </c>
      <c r="P1597">
        <v>2</v>
      </c>
      <c r="Q1597">
        <v>2</v>
      </c>
      <c r="R1597">
        <v>0</v>
      </c>
      <c r="S1597">
        <v>1</v>
      </c>
      <c r="T1597">
        <v>2</v>
      </c>
      <c r="U1597">
        <v>7</v>
      </c>
      <c r="V1597">
        <v>11</v>
      </c>
      <c r="W1597">
        <v>12</v>
      </c>
      <c r="X1597">
        <v>10</v>
      </c>
      <c r="Y1597">
        <v>11</v>
      </c>
      <c r="Z1597">
        <v>2</v>
      </c>
      <c r="AA1597">
        <v>3</v>
      </c>
      <c r="AB1597">
        <v>2</v>
      </c>
      <c r="AC1597">
        <v>1</v>
      </c>
      <c r="AD1597">
        <v>11</v>
      </c>
      <c r="AE1597">
        <v>18</v>
      </c>
      <c r="AF1597">
        <v>6</v>
      </c>
      <c r="AG1597">
        <v>8</v>
      </c>
      <c r="AH1597">
        <v>0</v>
      </c>
      <c r="AI1597">
        <v>0</v>
      </c>
    </row>
    <row r="1598" spans="1:35" hidden="1" x14ac:dyDescent="0.25">
      <c r="A1598">
        <v>2020</v>
      </c>
      <c r="B1598" s="1">
        <v>44220</v>
      </c>
      <c r="C1598">
        <v>32</v>
      </c>
      <c r="D1598">
        <v>0</v>
      </c>
      <c r="E1598">
        <v>60326</v>
      </c>
      <c r="F1598" t="s">
        <v>361</v>
      </c>
      <c r="G1598" t="s">
        <v>95</v>
      </c>
      <c r="H1598" t="s">
        <v>340</v>
      </c>
      <c r="I1598" t="s">
        <v>97</v>
      </c>
      <c r="J1598">
        <v>10</v>
      </c>
      <c r="K1598">
        <v>5</v>
      </c>
      <c r="L1598">
        <v>7350000</v>
      </c>
      <c r="M1598">
        <v>52500000</v>
      </c>
      <c r="N1598" t="s">
        <v>137</v>
      </c>
      <c r="O1598" t="s">
        <v>239</v>
      </c>
      <c r="P1598">
        <v>2</v>
      </c>
      <c r="Q1598">
        <v>1</v>
      </c>
      <c r="R1598">
        <v>2</v>
      </c>
      <c r="S1598">
        <v>1</v>
      </c>
      <c r="T1598">
        <v>2</v>
      </c>
      <c r="U1598">
        <v>7</v>
      </c>
      <c r="V1598">
        <v>9</v>
      </c>
      <c r="W1598">
        <v>16</v>
      </c>
      <c r="X1598">
        <v>15</v>
      </c>
      <c r="Y1598">
        <v>9</v>
      </c>
      <c r="Z1598">
        <v>3</v>
      </c>
      <c r="AA1598">
        <v>1</v>
      </c>
      <c r="AB1598">
        <v>3</v>
      </c>
      <c r="AC1598">
        <v>6</v>
      </c>
      <c r="AD1598">
        <v>9</v>
      </c>
      <c r="AE1598">
        <v>12</v>
      </c>
      <c r="AF1598">
        <v>5</v>
      </c>
      <c r="AG1598">
        <v>5</v>
      </c>
      <c r="AH1598">
        <v>1</v>
      </c>
      <c r="AI1598">
        <v>1</v>
      </c>
    </row>
    <row r="1599" spans="1:35" hidden="1" x14ac:dyDescent="0.25">
      <c r="A1599">
        <v>2020</v>
      </c>
      <c r="B1599" s="1">
        <v>44242</v>
      </c>
      <c r="C1599">
        <v>36</v>
      </c>
      <c r="D1599">
        <v>0</v>
      </c>
      <c r="E1599">
        <v>60326</v>
      </c>
      <c r="F1599" t="s">
        <v>361</v>
      </c>
      <c r="G1599" t="s">
        <v>55</v>
      </c>
      <c r="H1599" t="s">
        <v>340</v>
      </c>
      <c r="I1599" t="s">
        <v>223</v>
      </c>
      <c r="J1599">
        <v>12</v>
      </c>
      <c r="K1599">
        <v>5</v>
      </c>
      <c r="L1599">
        <v>7050000</v>
      </c>
      <c r="M1599">
        <v>13650000</v>
      </c>
      <c r="N1599" t="s">
        <v>100</v>
      </c>
      <c r="O1599" t="s">
        <v>99</v>
      </c>
      <c r="P1599">
        <v>1</v>
      </c>
      <c r="Q1599">
        <v>3</v>
      </c>
      <c r="R1599">
        <v>0</v>
      </c>
      <c r="S1599">
        <v>1</v>
      </c>
      <c r="T1599">
        <v>9</v>
      </c>
      <c r="U1599">
        <v>0</v>
      </c>
      <c r="V1599">
        <v>18</v>
      </c>
      <c r="W1599">
        <v>8</v>
      </c>
      <c r="X1599">
        <v>8</v>
      </c>
      <c r="Y1599">
        <v>17</v>
      </c>
      <c r="Z1599">
        <v>1</v>
      </c>
      <c r="AA1599">
        <v>4</v>
      </c>
      <c r="AB1599">
        <v>0</v>
      </c>
      <c r="AC1599">
        <v>0</v>
      </c>
      <c r="AD1599">
        <v>13</v>
      </c>
      <c r="AE1599">
        <v>9</v>
      </c>
      <c r="AF1599">
        <v>6</v>
      </c>
      <c r="AG1599">
        <v>3</v>
      </c>
      <c r="AH1599">
        <v>-2</v>
      </c>
      <c r="AI1599">
        <v>0</v>
      </c>
    </row>
    <row r="1600" spans="1:35" hidden="1" x14ac:dyDescent="0.25">
      <c r="A1600">
        <v>2020</v>
      </c>
      <c r="B1600" s="1">
        <v>44112</v>
      </c>
      <c r="C1600">
        <v>14</v>
      </c>
      <c r="D1600">
        <v>0</v>
      </c>
      <c r="E1600">
        <v>60326</v>
      </c>
      <c r="F1600" t="s">
        <v>63</v>
      </c>
      <c r="G1600" t="s">
        <v>89</v>
      </c>
      <c r="H1600" t="s">
        <v>40</v>
      </c>
      <c r="I1600" t="s">
        <v>329</v>
      </c>
      <c r="J1600">
        <v>11</v>
      </c>
      <c r="K1600">
        <v>1</v>
      </c>
      <c r="L1600">
        <v>7500000</v>
      </c>
      <c r="M1600">
        <v>23600000</v>
      </c>
      <c r="N1600" t="s">
        <v>111</v>
      </c>
      <c r="O1600" t="s">
        <v>74</v>
      </c>
      <c r="P1600">
        <v>2</v>
      </c>
      <c r="Q1600">
        <v>1</v>
      </c>
      <c r="R1600">
        <v>1</v>
      </c>
      <c r="S1600">
        <v>1</v>
      </c>
      <c r="T1600">
        <v>1</v>
      </c>
      <c r="U1600">
        <v>8</v>
      </c>
      <c r="V1600">
        <v>9</v>
      </c>
      <c r="W1600">
        <v>19</v>
      </c>
      <c r="X1600">
        <v>18</v>
      </c>
      <c r="Y1600">
        <v>9</v>
      </c>
      <c r="Z1600">
        <v>3</v>
      </c>
      <c r="AA1600">
        <v>1</v>
      </c>
      <c r="AB1600">
        <v>1</v>
      </c>
      <c r="AC1600">
        <v>2</v>
      </c>
      <c r="AD1600">
        <v>7</v>
      </c>
      <c r="AE1600">
        <v>15</v>
      </c>
      <c r="AF1600">
        <v>1</v>
      </c>
      <c r="AG1600">
        <v>10</v>
      </c>
      <c r="AH1600">
        <v>1</v>
      </c>
      <c r="AI1600">
        <v>1</v>
      </c>
    </row>
    <row r="1601" spans="1:35" hidden="1" x14ac:dyDescent="0.25">
      <c r="A1601">
        <v>2020</v>
      </c>
      <c r="B1601" s="1">
        <v>44149</v>
      </c>
      <c r="C1601">
        <v>21</v>
      </c>
      <c r="D1601">
        <v>0</v>
      </c>
      <c r="E1601">
        <v>60326</v>
      </c>
      <c r="F1601" t="s">
        <v>63</v>
      </c>
      <c r="G1601" t="s">
        <v>62</v>
      </c>
      <c r="H1601" t="s">
        <v>422</v>
      </c>
      <c r="I1601" t="s">
        <v>57</v>
      </c>
      <c r="J1601">
        <v>11</v>
      </c>
      <c r="K1601">
        <v>1</v>
      </c>
      <c r="L1601">
        <v>7600000</v>
      </c>
      <c r="M1601">
        <v>24600000</v>
      </c>
      <c r="N1601" t="s">
        <v>296</v>
      </c>
      <c r="O1601" t="s">
        <v>252</v>
      </c>
      <c r="P1601">
        <v>2</v>
      </c>
      <c r="Q1601">
        <v>3</v>
      </c>
      <c r="R1601">
        <v>1</v>
      </c>
      <c r="S1601">
        <v>1</v>
      </c>
      <c r="T1601">
        <v>2</v>
      </c>
      <c r="U1601">
        <v>3</v>
      </c>
      <c r="V1601">
        <v>15</v>
      </c>
      <c r="W1601">
        <v>18</v>
      </c>
      <c r="X1601">
        <v>17</v>
      </c>
      <c r="Y1601">
        <v>15</v>
      </c>
      <c r="Z1601">
        <v>2</v>
      </c>
      <c r="AA1601">
        <v>3</v>
      </c>
      <c r="AB1601">
        <v>1</v>
      </c>
      <c r="AC1601">
        <v>2</v>
      </c>
      <c r="AD1601">
        <v>12</v>
      </c>
      <c r="AE1601">
        <v>8</v>
      </c>
      <c r="AF1601">
        <v>7</v>
      </c>
      <c r="AG1601">
        <v>2</v>
      </c>
      <c r="AH1601">
        <v>-1</v>
      </c>
      <c r="AI1601">
        <v>0</v>
      </c>
    </row>
    <row r="1602" spans="1:35" hidden="1" x14ac:dyDescent="0.25">
      <c r="A1602">
        <v>2020</v>
      </c>
      <c r="B1602" s="1">
        <v>44161</v>
      </c>
      <c r="C1602">
        <v>23</v>
      </c>
      <c r="D1602">
        <v>0</v>
      </c>
      <c r="E1602">
        <v>60326</v>
      </c>
      <c r="F1602" t="s">
        <v>63</v>
      </c>
      <c r="G1602" t="s">
        <v>416</v>
      </c>
      <c r="H1602" t="s">
        <v>422</v>
      </c>
      <c r="I1602" t="s">
        <v>380</v>
      </c>
      <c r="J1602">
        <v>11</v>
      </c>
      <c r="K1602">
        <v>20</v>
      </c>
      <c r="L1602">
        <v>8000000</v>
      </c>
      <c r="M1602">
        <v>6680000</v>
      </c>
      <c r="N1602" t="s">
        <v>144</v>
      </c>
      <c r="O1602" t="s">
        <v>239</v>
      </c>
      <c r="P1602">
        <v>1</v>
      </c>
      <c r="Q1602">
        <v>1</v>
      </c>
      <c r="R1602">
        <v>0</v>
      </c>
      <c r="S1602">
        <v>1</v>
      </c>
      <c r="T1602">
        <v>2</v>
      </c>
      <c r="U1602">
        <v>0</v>
      </c>
      <c r="V1602">
        <v>17</v>
      </c>
      <c r="W1602">
        <v>19</v>
      </c>
      <c r="X1602">
        <v>18</v>
      </c>
      <c r="Y1602">
        <v>15</v>
      </c>
      <c r="Z1602">
        <v>0</v>
      </c>
      <c r="AA1602">
        <v>7</v>
      </c>
      <c r="AB1602">
        <v>3</v>
      </c>
      <c r="AC1602">
        <v>0</v>
      </c>
      <c r="AD1602">
        <v>15</v>
      </c>
      <c r="AE1602">
        <v>6</v>
      </c>
      <c r="AF1602">
        <v>6</v>
      </c>
      <c r="AG1602">
        <v>3</v>
      </c>
      <c r="AH1602">
        <v>0</v>
      </c>
      <c r="AI1602">
        <v>0</v>
      </c>
    </row>
    <row r="1603" spans="1:35" hidden="1" x14ac:dyDescent="0.25">
      <c r="A1603">
        <v>2020</v>
      </c>
      <c r="B1603" s="1">
        <v>44231</v>
      </c>
      <c r="C1603">
        <v>34</v>
      </c>
      <c r="D1603">
        <v>0</v>
      </c>
      <c r="E1603">
        <v>60326</v>
      </c>
      <c r="F1603" t="s">
        <v>63</v>
      </c>
      <c r="G1603" t="s">
        <v>321</v>
      </c>
      <c r="H1603" t="s">
        <v>420</v>
      </c>
      <c r="I1603" t="s">
        <v>358</v>
      </c>
      <c r="J1603">
        <v>17</v>
      </c>
      <c r="K1603">
        <v>19</v>
      </c>
      <c r="L1603">
        <v>7480000</v>
      </c>
      <c r="M1603">
        <v>7700000</v>
      </c>
      <c r="N1603" t="s">
        <v>166</v>
      </c>
      <c r="O1603" t="s">
        <v>142</v>
      </c>
      <c r="P1603">
        <v>3</v>
      </c>
      <c r="Q1603">
        <v>1</v>
      </c>
      <c r="R1603">
        <v>2</v>
      </c>
      <c r="S1603">
        <v>1</v>
      </c>
      <c r="T1603">
        <v>4</v>
      </c>
      <c r="U1603">
        <v>4</v>
      </c>
      <c r="V1603">
        <v>18</v>
      </c>
      <c r="W1603">
        <v>15</v>
      </c>
      <c r="X1603">
        <v>14</v>
      </c>
      <c r="Y1603">
        <v>17</v>
      </c>
      <c r="Z1603">
        <v>1</v>
      </c>
      <c r="AA1603">
        <v>5</v>
      </c>
      <c r="AB1603">
        <v>0</v>
      </c>
      <c r="AC1603">
        <v>3</v>
      </c>
      <c r="AD1603">
        <v>16</v>
      </c>
      <c r="AE1603">
        <v>5</v>
      </c>
      <c r="AF1603">
        <v>6</v>
      </c>
      <c r="AG1603">
        <v>3</v>
      </c>
      <c r="AH1603">
        <v>2</v>
      </c>
      <c r="AI1603">
        <v>1</v>
      </c>
    </row>
    <row r="1604" spans="1:35" hidden="1" x14ac:dyDescent="0.25">
      <c r="A1604">
        <v>2020</v>
      </c>
      <c r="B1604" s="1">
        <v>44248</v>
      </c>
      <c r="C1604">
        <v>37</v>
      </c>
      <c r="D1604">
        <v>0</v>
      </c>
      <c r="E1604">
        <v>60326</v>
      </c>
      <c r="F1604" t="s">
        <v>63</v>
      </c>
      <c r="G1604" t="s">
        <v>38</v>
      </c>
      <c r="H1604" t="s">
        <v>420</v>
      </c>
      <c r="I1604" t="s">
        <v>398</v>
      </c>
      <c r="J1604">
        <v>15</v>
      </c>
      <c r="K1604">
        <v>16</v>
      </c>
      <c r="L1604">
        <v>7680000</v>
      </c>
      <c r="M1604">
        <v>8150000</v>
      </c>
      <c r="N1604" t="s">
        <v>235</v>
      </c>
      <c r="O1604" t="s">
        <v>235</v>
      </c>
      <c r="P1604">
        <v>0</v>
      </c>
      <c r="Q1604">
        <v>4</v>
      </c>
      <c r="R1604">
        <v>0</v>
      </c>
      <c r="S1604">
        <v>1</v>
      </c>
      <c r="T1604">
        <v>2</v>
      </c>
      <c r="U1604">
        <v>0</v>
      </c>
      <c r="V1604">
        <v>15</v>
      </c>
      <c r="W1604">
        <v>13</v>
      </c>
      <c r="X1604">
        <v>12</v>
      </c>
      <c r="Y1604">
        <v>13</v>
      </c>
      <c r="Z1604">
        <v>3</v>
      </c>
      <c r="AA1604">
        <v>3</v>
      </c>
      <c r="AB1604">
        <v>0</v>
      </c>
      <c r="AC1604">
        <v>1</v>
      </c>
      <c r="AD1604">
        <v>11</v>
      </c>
      <c r="AE1604">
        <v>12</v>
      </c>
      <c r="AF1604">
        <v>5</v>
      </c>
      <c r="AG1604">
        <v>5</v>
      </c>
      <c r="AH1604">
        <v>-4</v>
      </c>
      <c r="AI1604">
        <v>0</v>
      </c>
    </row>
    <row r="1605" spans="1:35" hidden="1" x14ac:dyDescent="0.25">
      <c r="A1605">
        <v>2020</v>
      </c>
      <c r="B1605" s="1">
        <v>44168</v>
      </c>
      <c r="C1605">
        <v>1</v>
      </c>
      <c r="D1605">
        <v>0</v>
      </c>
      <c r="E1605">
        <v>12500</v>
      </c>
      <c r="F1605" t="s">
        <v>416</v>
      </c>
      <c r="G1605" t="s">
        <v>62</v>
      </c>
      <c r="H1605" t="s">
        <v>380</v>
      </c>
      <c r="I1605" t="s">
        <v>57</v>
      </c>
      <c r="J1605">
        <v>20</v>
      </c>
      <c r="K1605">
        <v>1</v>
      </c>
      <c r="L1605">
        <v>6580000</v>
      </c>
      <c r="M1605">
        <v>28100000</v>
      </c>
      <c r="N1605" t="s">
        <v>99</v>
      </c>
      <c r="O1605" t="s">
        <v>135</v>
      </c>
      <c r="P1605">
        <v>0</v>
      </c>
      <c r="Q1605">
        <v>3</v>
      </c>
      <c r="R1605">
        <v>0</v>
      </c>
      <c r="S1605">
        <v>1</v>
      </c>
      <c r="T1605">
        <v>2</v>
      </c>
      <c r="U1605">
        <v>9</v>
      </c>
      <c r="V1605">
        <v>16</v>
      </c>
      <c r="W1605">
        <v>19</v>
      </c>
      <c r="X1605">
        <v>18</v>
      </c>
      <c r="Y1605">
        <v>16</v>
      </c>
      <c r="Z1605">
        <v>3</v>
      </c>
      <c r="AA1605">
        <v>3</v>
      </c>
      <c r="AB1605">
        <v>0</v>
      </c>
      <c r="AC1605">
        <v>1</v>
      </c>
      <c r="AD1605">
        <v>9</v>
      </c>
      <c r="AE1605">
        <v>15</v>
      </c>
      <c r="AF1605">
        <v>4</v>
      </c>
      <c r="AG1605">
        <v>6</v>
      </c>
      <c r="AH1605">
        <v>-3</v>
      </c>
      <c r="AI1605">
        <v>0</v>
      </c>
    </row>
    <row r="1606" spans="1:35" hidden="1" x14ac:dyDescent="0.25">
      <c r="A1606">
        <v>2020</v>
      </c>
      <c r="B1606" s="1">
        <v>44063</v>
      </c>
      <c r="C1606">
        <v>4</v>
      </c>
      <c r="D1606">
        <v>0</v>
      </c>
      <c r="E1606">
        <v>50049</v>
      </c>
      <c r="F1606" t="s">
        <v>416</v>
      </c>
      <c r="G1606" t="s">
        <v>63</v>
      </c>
      <c r="H1606" t="s">
        <v>441</v>
      </c>
      <c r="I1606" t="s">
        <v>40</v>
      </c>
      <c r="J1606">
        <v>19</v>
      </c>
      <c r="K1606">
        <v>18</v>
      </c>
      <c r="L1606">
        <v>8980000</v>
      </c>
      <c r="M1606">
        <v>7630000</v>
      </c>
      <c r="N1606">
        <v>27</v>
      </c>
      <c r="O1606" t="s">
        <v>111</v>
      </c>
      <c r="P1606">
        <v>1</v>
      </c>
      <c r="Q1606">
        <v>3</v>
      </c>
      <c r="R1606">
        <v>0</v>
      </c>
      <c r="S1606">
        <v>1</v>
      </c>
      <c r="T1606">
        <v>2</v>
      </c>
      <c r="U1606">
        <v>6</v>
      </c>
      <c r="V1606">
        <v>16</v>
      </c>
      <c r="W1606">
        <v>15</v>
      </c>
      <c r="X1606">
        <v>14</v>
      </c>
      <c r="Y1606">
        <v>14</v>
      </c>
      <c r="Z1606">
        <v>0</v>
      </c>
      <c r="AA1606">
        <v>3</v>
      </c>
      <c r="AB1606">
        <v>3</v>
      </c>
      <c r="AC1606">
        <v>2</v>
      </c>
      <c r="AD1606">
        <v>13</v>
      </c>
      <c r="AE1606">
        <v>13</v>
      </c>
      <c r="AF1606">
        <v>9</v>
      </c>
      <c r="AG1606">
        <v>5</v>
      </c>
      <c r="AH1606">
        <v>-2</v>
      </c>
      <c r="AI1606">
        <v>0</v>
      </c>
    </row>
    <row r="1607" spans="1:35" hidden="1" x14ac:dyDescent="0.25">
      <c r="A1607">
        <v>2020</v>
      </c>
      <c r="B1607" s="1">
        <v>44077</v>
      </c>
      <c r="C1607">
        <v>7</v>
      </c>
      <c r="D1607">
        <v>0</v>
      </c>
      <c r="E1607">
        <v>50049</v>
      </c>
      <c r="F1607" t="s">
        <v>416</v>
      </c>
      <c r="G1607" t="s">
        <v>88</v>
      </c>
      <c r="H1607" t="s">
        <v>433</v>
      </c>
      <c r="I1607" t="s">
        <v>333</v>
      </c>
      <c r="J1607">
        <v>20</v>
      </c>
      <c r="K1607">
        <v>15</v>
      </c>
      <c r="L1607">
        <v>8900000</v>
      </c>
      <c r="M1607">
        <v>27880000</v>
      </c>
      <c r="N1607">
        <v>27</v>
      </c>
      <c r="O1607" t="s">
        <v>86</v>
      </c>
      <c r="P1607">
        <v>1</v>
      </c>
      <c r="Q1607">
        <v>2</v>
      </c>
      <c r="R1607">
        <v>0</v>
      </c>
      <c r="S1607">
        <v>1</v>
      </c>
      <c r="T1607">
        <v>3</v>
      </c>
      <c r="U1607">
        <v>6</v>
      </c>
      <c r="V1607">
        <v>16</v>
      </c>
      <c r="W1607">
        <v>12</v>
      </c>
      <c r="X1607">
        <v>12</v>
      </c>
      <c r="Y1607">
        <v>14</v>
      </c>
      <c r="Z1607">
        <v>3</v>
      </c>
      <c r="AA1607">
        <v>3</v>
      </c>
      <c r="AB1607">
        <v>1</v>
      </c>
      <c r="AC1607">
        <v>0</v>
      </c>
      <c r="AD1607">
        <v>11</v>
      </c>
      <c r="AE1607">
        <v>11</v>
      </c>
      <c r="AF1607">
        <v>7</v>
      </c>
      <c r="AG1607">
        <v>5</v>
      </c>
      <c r="AH1607">
        <v>-1</v>
      </c>
      <c r="AI1607">
        <v>0</v>
      </c>
    </row>
    <row r="1608" spans="1:35" hidden="1" x14ac:dyDescent="0.25">
      <c r="A1608">
        <v>2020</v>
      </c>
      <c r="B1608" s="1">
        <v>44108</v>
      </c>
      <c r="C1608">
        <v>13</v>
      </c>
      <c r="D1608">
        <v>0</v>
      </c>
      <c r="E1608">
        <v>50049</v>
      </c>
      <c r="F1608" t="s">
        <v>416</v>
      </c>
      <c r="G1608" t="s">
        <v>419</v>
      </c>
      <c r="H1608" t="s">
        <v>420</v>
      </c>
      <c r="I1608" t="s">
        <v>71</v>
      </c>
      <c r="J1608">
        <v>20</v>
      </c>
      <c r="K1608">
        <v>10</v>
      </c>
      <c r="L1608">
        <v>10050000</v>
      </c>
      <c r="M1608">
        <v>21600000</v>
      </c>
      <c r="N1608" t="s">
        <v>128</v>
      </c>
      <c r="O1608" t="s">
        <v>233</v>
      </c>
      <c r="P1608">
        <v>2</v>
      </c>
      <c r="Q1608">
        <v>3</v>
      </c>
      <c r="R1608">
        <v>1</v>
      </c>
      <c r="S1608">
        <v>1</v>
      </c>
      <c r="T1608">
        <v>2</v>
      </c>
      <c r="U1608">
        <v>4</v>
      </c>
      <c r="V1608">
        <v>16</v>
      </c>
      <c r="W1608">
        <v>15</v>
      </c>
      <c r="X1608">
        <v>15</v>
      </c>
      <c r="Y1608">
        <v>16</v>
      </c>
      <c r="Z1608">
        <v>2</v>
      </c>
      <c r="AA1608">
        <v>2</v>
      </c>
      <c r="AB1608">
        <v>4</v>
      </c>
      <c r="AC1608">
        <v>0</v>
      </c>
      <c r="AD1608">
        <v>14</v>
      </c>
      <c r="AE1608">
        <v>10</v>
      </c>
      <c r="AF1608">
        <v>9</v>
      </c>
      <c r="AG1608">
        <v>3</v>
      </c>
      <c r="AH1608">
        <v>-1</v>
      </c>
      <c r="AI1608">
        <v>0</v>
      </c>
    </row>
    <row r="1609" spans="1:35" hidden="1" x14ac:dyDescent="0.25">
      <c r="A1609">
        <v>2020</v>
      </c>
      <c r="B1609" s="1">
        <v>44112</v>
      </c>
      <c r="C1609">
        <v>14</v>
      </c>
      <c r="D1609">
        <v>0</v>
      </c>
      <c r="E1609">
        <v>50049</v>
      </c>
      <c r="F1609" t="s">
        <v>416</v>
      </c>
      <c r="G1609" t="s">
        <v>55</v>
      </c>
      <c r="H1609" t="s">
        <v>420</v>
      </c>
      <c r="I1609" t="s">
        <v>328</v>
      </c>
      <c r="J1609">
        <v>20</v>
      </c>
      <c r="K1609">
        <v>9</v>
      </c>
      <c r="L1609">
        <v>6700000</v>
      </c>
      <c r="M1609">
        <v>11350000</v>
      </c>
      <c r="N1609" t="s">
        <v>80</v>
      </c>
      <c r="O1609" t="s">
        <v>296</v>
      </c>
      <c r="P1609">
        <v>2</v>
      </c>
      <c r="Q1609">
        <v>4</v>
      </c>
      <c r="R1609">
        <v>1</v>
      </c>
      <c r="S1609">
        <v>1</v>
      </c>
      <c r="T1609">
        <v>5</v>
      </c>
      <c r="U1609">
        <v>4</v>
      </c>
      <c r="V1609">
        <v>19</v>
      </c>
      <c r="W1609">
        <v>15</v>
      </c>
      <c r="X1609">
        <v>14</v>
      </c>
      <c r="Y1609">
        <v>16</v>
      </c>
      <c r="Z1609">
        <v>1</v>
      </c>
      <c r="AA1609">
        <v>1</v>
      </c>
      <c r="AB1609">
        <v>0</v>
      </c>
      <c r="AC1609">
        <v>4</v>
      </c>
      <c r="AD1609">
        <v>12</v>
      </c>
      <c r="AE1609">
        <v>10</v>
      </c>
      <c r="AF1609">
        <v>7</v>
      </c>
      <c r="AG1609">
        <v>3</v>
      </c>
      <c r="AH1609">
        <v>-2</v>
      </c>
      <c r="AI1609">
        <v>0</v>
      </c>
    </row>
    <row r="1610" spans="1:35" hidden="1" x14ac:dyDescent="0.25">
      <c r="A1610">
        <v>2020</v>
      </c>
      <c r="B1610" s="1">
        <v>44137</v>
      </c>
      <c r="C1610">
        <v>19</v>
      </c>
      <c r="D1610">
        <v>0</v>
      </c>
      <c r="E1610">
        <v>50049</v>
      </c>
      <c r="F1610" t="s">
        <v>416</v>
      </c>
      <c r="G1610" t="s">
        <v>82</v>
      </c>
      <c r="H1610" t="s">
        <v>420</v>
      </c>
      <c r="I1610" t="s">
        <v>417</v>
      </c>
      <c r="J1610">
        <v>20</v>
      </c>
      <c r="K1610">
        <v>15</v>
      </c>
      <c r="L1610">
        <v>8050000</v>
      </c>
      <c r="M1610">
        <v>19300000</v>
      </c>
      <c r="N1610" t="s">
        <v>117</v>
      </c>
      <c r="O1610" t="s">
        <v>217</v>
      </c>
      <c r="P1610">
        <v>1</v>
      </c>
      <c r="Q1610">
        <v>1</v>
      </c>
      <c r="R1610">
        <v>0</v>
      </c>
      <c r="S1610">
        <v>1</v>
      </c>
      <c r="T1610">
        <v>2</v>
      </c>
      <c r="U1610">
        <v>6</v>
      </c>
      <c r="V1610">
        <v>16</v>
      </c>
      <c r="W1610">
        <v>19</v>
      </c>
      <c r="X1610">
        <v>18</v>
      </c>
      <c r="Y1610">
        <v>14</v>
      </c>
      <c r="Z1610">
        <v>0</v>
      </c>
      <c r="AA1610">
        <v>9</v>
      </c>
      <c r="AB1610">
        <v>2</v>
      </c>
      <c r="AC1610">
        <v>6</v>
      </c>
      <c r="AD1610">
        <v>19</v>
      </c>
      <c r="AE1610">
        <v>7</v>
      </c>
      <c r="AF1610">
        <v>4</v>
      </c>
      <c r="AG1610">
        <v>2</v>
      </c>
      <c r="AH1610">
        <v>0</v>
      </c>
      <c r="AI1610">
        <v>0</v>
      </c>
    </row>
    <row r="1611" spans="1:35" hidden="1" x14ac:dyDescent="0.25">
      <c r="A1611">
        <v>2020</v>
      </c>
      <c r="B1611" s="1">
        <v>44149</v>
      </c>
      <c r="C1611">
        <v>21</v>
      </c>
      <c r="D1611">
        <v>0</v>
      </c>
      <c r="E1611">
        <v>12500</v>
      </c>
      <c r="F1611" t="s">
        <v>416</v>
      </c>
      <c r="G1611" t="s">
        <v>69</v>
      </c>
      <c r="H1611" t="s">
        <v>420</v>
      </c>
      <c r="I1611" t="s">
        <v>334</v>
      </c>
      <c r="J1611">
        <v>20</v>
      </c>
      <c r="K1611">
        <v>15</v>
      </c>
      <c r="L1611">
        <v>7800000</v>
      </c>
      <c r="M1611">
        <v>22300000</v>
      </c>
      <c r="N1611" t="s">
        <v>66</v>
      </c>
      <c r="O1611" t="s">
        <v>233</v>
      </c>
      <c r="P1611">
        <v>0</v>
      </c>
      <c r="Q1611">
        <v>1</v>
      </c>
      <c r="R1611">
        <v>0</v>
      </c>
      <c r="S1611">
        <v>1</v>
      </c>
      <c r="T1611">
        <v>8</v>
      </c>
      <c r="U1611">
        <v>10</v>
      </c>
      <c r="V1611">
        <v>14</v>
      </c>
      <c r="W1611">
        <v>12</v>
      </c>
      <c r="X1611">
        <v>12</v>
      </c>
      <c r="Y1611">
        <v>14</v>
      </c>
      <c r="Z1611">
        <v>7</v>
      </c>
      <c r="AA1611">
        <v>1</v>
      </c>
      <c r="AB1611">
        <v>3</v>
      </c>
      <c r="AC1611">
        <v>0</v>
      </c>
      <c r="AD1611">
        <v>10</v>
      </c>
      <c r="AE1611">
        <v>16</v>
      </c>
      <c r="AF1611">
        <v>7</v>
      </c>
      <c r="AG1611">
        <v>4</v>
      </c>
      <c r="AH1611">
        <v>-1</v>
      </c>
      <c r="AI1611">
        <v>0</v>
      </c>
    </row>
    <row r="1612" spans="1:35" hidden="1" x14ac:dyDescent="0.25">
      <c r="A1612">
        <v>2020</v>
      </c>
      <c r="B1612" s="1">
        <v>44215</v>
      </c>
      <c r="C1612">
        <v>30</v>
      </c>
      <c r="D1612">
        <v>0</v>
      </c>
      <c r="E1612">
        <v>12500</v>
      </c>
      <c r="F1612" t="s">
        <v>416</v>
      </c>
      <c r="G1612" t="s">
        <v>77</v>
      </c>
      <c r="H1612" t="s">
        <v>380</v>
      </c>
      <c r="I1612" t="s">
        <v>40</v>
      </c>
      <c r="J1612">
        <v>18</v>
      </c>
      <c r="K1612">
        <v>4</v>
      </c>
      <c r="L1612">
        <v>6850000</v>
      </c>
      <c r="M1612">
        <v>65050000</v>
      </c>
      <c r="N1612" t="s">
        <v>73</v>
      </c>
      <c r="O1612" t="s">
        <v>235</v>
      </c>
      <c r="P1612">
        <v>0</v>
      </c>
      <c r="Q1612">
        <v>3</v>
      </c>
      <c r="R1612">
        <v>0</v>
      </c>
      <c r="S1612">
        <v>1</v>
      </c>
      <c r="T1612">
        <v>4</v>
      </c>
      <c r="U1612">
        <v>5</v>
      </c>
      <c r="V1612">
        <v>24</v>
      </c>
      <c r="W1612">
        <v>13</v>
      </c>
      <c r="X1612">
        <v>13</v>
      </c>
      <c r="Y1612">
        <v>23</v>
      </c>
      <c r="Z1612">
        <v>3</v>
      </c>
      <c r="AA1612">
        <v>3</v>
      </c>
      <c r="AB1612">
        <v>1</v>
      </c>
      <c r="AC1612">
        <v>3</v>
      </c>
      <c r="AD1612">
        <v>9</v>
      </c>
      <c r="AE1612">
        <v>12</v>
      </c>
      <c r="AF1612">
        <v>3</v>
      </c>
      <c r="AG1612">
        <v>4</v>
      </c>
      <c r="AH1612">
        <v>-3</v>
      </c>
      <c r="AI1612">
        <v>0</v>
      </c>
    </row>
    <row r="1613" spans="1:35" hidden="1" x14ac:dyDescent="0.25">
      <c r="A1613">
        <v>2020</v>
      </c>
      <c r="B1613" s="1">
        <v>44223</v>
      </c>
      <c r="C1613">
        <v>1</v>
      </c>
      <c r="D1613">
        <v>0</v>
      </c>
      <c r="E1613">
        <v>43600</v>
      </c>
      <c r="F1613" t="s">
        <v>95</v>
      </c>
      <c r="G1613" t="s">
        <v>82</v>
      </c>
      <c r="H1613" t="s">
        <v>97</v>
      </c>
      <c r="I1613" t="s">
        <v>317</v>
      </c>
      <c r="J1613">
        <v>9</v>
      </c>
      <c r="K1613">
        <v>10</v>
      </c>
      <c r="L1613">
        <v>15300000</v>
      </c>
      <c r="M1613">
        <v>25150000</v>
      </c>
      <c r="N1613" t="s">
        <v>163</v>
      </c>
      <c r="O1613" t="s">
        <v>114</v>
      </c>
      <c r="P1613">
        <v>1</v>
      </c>
      <c r="Q1613">
        <v>1</v>
      </c>
      <c r="R1613">
        <v>1</v>
      </c>
      <c r="S1613">
        <v>1</v>
      </c>
      <c r="T1613">
        <v>6</v>
      </c>
      <c r="U1613">
        <v>3</v>
      </c>
      <c r="V1613">
        <v>19</v>
      </c>
      <c r="W1613">
        <v>11</v>
      </c>
      <c r="X1613">
        <v>11</v>
      </c>
      <c r="Y1613">
        <v>17</v>
      </c>
      <c r="Z1613">
        <v>2</v>
      </c>
      <c r="AA1613">
        <v>2</v>
      </c>
      <c r="AB1613">
        <v>0</v>
      </c>
      <c r="AC1613">
        <v>2</v>
      </c>
      <c r="AD1613">
        <v>14</v>
      </c>
      <c r="AE1613">
        <v>12</v>
      </c>
      <c r="AF1613">
        <v>7</v>
      </c>
      <c r="AG1613">
        <v>5</v>
      </c>
      <c r="AH1613">
        <v>0</v>
      </c>
      <c r="AI1613">
        <v>0</v>
      </c>
    </row>
    <row r="1614" spans="1:35" hidden="1" x14ac:dyDescent="0.25">
      <c r="A1614">
        <v>2020</v>
      </c>
      <c r="B1614" s="1">
        <v>44088</v>
      </c>
      <c r="C1614">
        <v>10</v>
      </c>
      <c r="D1614">
        <v>0</v>
      </c>
      <c r="E1614">
        <v>43600</v>
      </c>
      <c r="F1614" t="s">
        <v>95</v>
      </c>
      <c r="G1614" t="s">
        <v>391</v>
      </c>
      <c r="H1614" t="s">
        <v>317</v>
      </c>
      <c r="I1614" t="s">
        <v>78</v>
      </c>
      <c r="J1614">
        <v>4</v>
      </c>
      <c r="K1614">
        <v>13</v>
      </c>
      <c r="L1614">
        <v>41600000</v>
      </c>
      <c r="M1614">
        <v>7450000</v>
      </c>
      <c r="N1614" t="s">
        <v>135</v>
      </c>
      <c r="O1614">
        <v>28</v>
      </c>
      <c r="P1614">
        <v>2</v>
      </c>
      <c r="Q1614">
        <v>2</v>
      </c>
      <c r="R1614">
        <v>2</v>
      </c>
      <c r="S1614">
        <v>1</v>
      </c>
      <c r="T1614">
        <v>6</v>
      </c>
      <c r="U1614">
        <v>2</v>
      </c>
      <c r="V1614">
        <v>15</v>
      </c>
      <c r="W1614">
        <v>12</v>
      </c>
      <c r="X1614">
        <v>12</v>
      </c>
      <c r="Y1614">
        <v>14</v>
      </c>
      <c r="Z1614">
        <v>2</v>
      </c>
      <c r="AA1614">
        <v>5</v>
      </c>
      <c r="AB1614">
        <v>3</v>
      </c>
      <c r="AC1614">
        <v>1</v>
      </c>
      <c r="AD1614">
        <v>20</v>
      </c>
      <c r="AE1614">
        <v>9</v>
      </c>
      <c r="AF1614">
        <v>7</v>
      </c>
      <c r="AG1614">
        <v>3</v>
      </c>
      <c r="AH1614">
        <v>0</v>
      </c>
      <c r="AI1614">
        <v>0</v>
      </c>
    </row>
    <row r="1615" spans="1:35" hidden="1" x14ac:dyDescent="0.25">
      <c r="A1615">
        <v>2020</v>
      </c>
      <c r="B1615" s="1">
        <v>44108</v>
      </c>
      <c r="C1615">
        <v>13</v>
      </c>
      <c r="D1615">
        <v>0</v>
      </c>
      <c r="E1615">
        <v>43600</v>
      </c>
      <c r="F1615" t="s">
        <v>95</v>
      </c>
      <c r="G1615" t="s">
        <v>361</v>
      </c>
      <c r="H1615" t="s">
        <v>317</v>
      </c>
      <c r="I1615" t="s">
        <v>340</v>
      </c>
      <c r="J1615">
        <v>5</v>
      </c>
      <c r="K1615">
        <v>13</v>
      </c>
      <c r="L1615">
        <v>36950000</v>
      </c>
      <c r="M1615">
        <v>5650000</v>
      </c>
      <c r="N1615" t="s">
        <v>107</v>
      </c>
      <c r="O1615" t="s">
        <v>166</v>
      </c>
      <c r="P1615">
        <v>2</v>
      </c>
      <c r="Q1615">
        <v>1</v>
      </c>
      <c r="R1615">
        <v>1</v>
      </c>
      <c r="S1615">
        <v>1</v>
      </c>
      <c r="T1615">
        <v>9</v>
      </c>
      <c r="U1615">
        <v>4</v>
      </c>
      <c r="V1615">
        <v>10</v>
      </c>
      <c r="W1615">
        <v>19</v>
      </c>
      <c r="X1615">
        <v>19</v>
      </c>
      <c r="Y1615">
        <v>10</v>
      </c>
      <c r="Z1615">
        <v>6</v>
      </c>
      <c r="AA1615">
        <v>9</v>
      </c>
      <c r="AB1615">
        <v>1</v>
      </c>
      <c r="AC1615">
        <v>0</v>
      </c>
      <c r="AD1615">
        <v>27</v>
      </c>
      <c r="AE1615">
        <v>13</v>
      </c>
      <c r="AF1615">
        <v>10</v>
      </c>
      <c r="AG1615">
        <v>3</v>
      </c>
      <c r="AH1615">
        <v>1</v>
      </c>
      <c r="AI1615">
        <v>1</v>
      </c>
    </row>
    <row r="1616" spans="1:35" hidden="1" x14ac:dyDescent="0.25">
      <c r="A1616">
        <v>2020</v>
      </c>
      <c r="B1616" s="1">
        <v>44249</v>
      </c>
      <c r="C1616">
        <v>37</v>
      </c>
      <c r="D1616">
        <v>0</v>
      </c>
      <c r="E1616">
        <v>43600</v>
      </c>
      <c r="F1616" t="s">
        <v>95</v>
      </c>
      <c r="G1616" t="s">
        <v>76</v>
      </c>
      <c r="H1616" t="s">
        <v>97</v>
      </c>
      <c r="I1616" t="s">
        <v>408</v>
      </c>
      <c r="J1616">
        <v>6</v>
      </c>
      <c r="K1616">
        <v>13</v>
      </c>
      <c r="L1616">
        <v>40850000</v>
      </c>
      <c r="M1616">
        <v>7650000</v>
      </c>
      <c r="N1616" t="s">
        <v>123</v>
      </c>
      <c r="O1616" t="s">
        <v>332</v>
      </c>
      <c r="P1616">
        <v>1</v>
      </c>
      <c r="Q1616">
        <v>1</v>
      </c>
      <c r="R1616">
        <v>1</v>
      </c>
      <c r="S1616">
        <v>1</v>
      </c>
      <c r="T1616">
        <v>9</v>
      </c>
      <c r="U1616">
        <v>6</v>
      </c>
      <c r="V1616">
        <v>20</v>
      </c>
      <c r="W1616">
        <v>13</v>
      </c>
      <c r="X1616">
        <v>13</v>
      </c>
      <c r="Y1616">
        <v>20</v>
      </c>
      <c r="Z1616">
        <v>2</v>
      </c>
      <c r="AA1616">
        <v>3</v>
      </c>
      <c r="AB1616">
        <v>0</v>
      </c>
      <c r="AC1616">
        <v>1</v>
      </c>
      <c r="AD1616">
        <v>19</v>
      </c>
      <c r="AE1616">
        <v>9</v>
      </c>
      <c r="AF1616">
        <v>11</v>
      </c>
      <c r="AG1616">
        <v>5</v>
      </c>
      <c r="AH1616">
        <v>0</v>
      </c>
      <c r="AI1616">
        <v>0</v>
      </c>
    </row>
    <row r="1617" spans="1:35" hidden="1" x14ac:dyDescent="0.25">
      <c r="A1617">
        <v>2020</v>
      </c>
      <c r="B1617" s="1">
        <v>44073</v>
      </c>
      <c r="C1617">
        <v>6</v>
      </c>
      <c r="D1617">
        <v>0</v>
      </c>
      <c r="E1617">
        <v>20120</v>
      </c>
      <c r="F1617" t="s">
        <v>419</v>
      </c>
      <c r="G1617" t="s">
        <v>77</v>
      </c>
      <c r="H1617" t="s">
        <v>71</v>
      </c>
      <c r="I1617" t="s">
        <v>430</v>
      </c>
      <c r="J1617">
        <v>7</v>
      </c>
      <c r="K1617">
        <v>16</v>
      </c>
      <c r="L1617">
        <v>21550000</v>
      </c>
      <c r="M1617">
        <v>70500000</v>
      </c>
      <c r="N1617" t="s">
        <v>209</v>
      </c>
      <c r="O1617" t="s">
        <v>41</v>
      </c>
      <c r="P1617">
        <v>0</v>
      </c>
      <c r="Q1617">
        <v>1</v>
      </c>
      <c r="R1617">
        <v>0</v>
      </c>
      <c r="S1617">
        <v>1</v>
      </c>
      <c r="T1617">
        <v>9</v>
      </c>
      <c r="U1617">
        <v>2</v>
      </c>
      <c r="V1617">
        <v>14</v>
      </c>
      <c r="W1617">
        <v>26</v>
      </c>
      <c r="X1617">
        <v>26</v>
      </c>
      <c r="Y1617">
        <v>12</v>
      </c>
      <c r="Z1617">
        <v>5</v>
      </c>
      <c r="AA1617">
        <v>5</v>
      </c>
      <c r="AB1617">
        <v>5</v>
      </c>
      <c r="AC1617">
        <v>1</v>
      </c>
      <c r="AD1617">
        <v>22</v>
      </c>
      <c r="AE1617">
        <v>10</v>
      </c>
      <c r="AF1617">
        <v>11</v>
      </c>
      <c r="AG1617">
        <v>4</v>
      </c>
      <c r="AH1617">
        <v>-1</v>
      </c>
      <c r="AI1617">
        <v>0</v>
      </c>
    </row>
    <row r="1618" spans="1:35" hidden="1" x14ac:dyDescent="0.25">
      <c r="A1618">
        <v>2020</v>
      </c>
      <c r="B1618" s="1">
        <v>44077</v>
      </c>
      <c r="C1618">
        <v>7</v>
      </c>
      <c r="D1618">
        <v>0</v>
      </c>
      <c r="E1618">
        <v>20120</v>
      </c>
      <c r="F1618" t="s">
        <v>419</v>
      </c>
      <c r="G1618" t="s">
        <v>82</v>
      </c>
      <c r="H1618" t="s">
        <v>71</v>
      </c>
      <c r="I1618" t="s">
        <v>426</v>
      </c>
      <c r="J1618">
        <v>12</v>
      </c>
      <c r="K1618">
        <v>3</v>
      </c>
      <c r="L1618">
        <v>22500000</v>
      </c>
      <c r="M1618">
        <v>11730000</v>
      </c>
      <c r="N1618" t="s">
        <v>114</v>
      </c>
      <c r="O1618" t="s">
        <v>149</v>
      </c>
      <c r="P1618">
        <v>2</v>
      </c>
      <c r="Q1618">
        <v>2</v>
      </c>
      <c r="R1618">
        <v>1</v>
      </c>
      <c r="S1618">
        <v>1</v>
      </c>
      <c r="T1618">
        <v>9</v>
      </c>
      <c r="U1618">
        <v>2</v>
      </c>
      <c r="V1618">
        <v>17</v>
      </c>
      <c r="W1618">
        <v>21</v>
      </c>
      <c r="X1618">
        <v>20</v>
      </c>
      <c r="Y1618">
        <v>16</v>
      </c>
      <c r="Z1618">
        <v>1</v>
      </c>
      <c r="AA1618">
        <v>3</v>
      </c>
      <c r="AB1618">
        <v>2</v>
      </c>
      <c r="AC1618">
        <v>1</v>
      </c>
      <c r="AD1618">
        <v>11</v>
      </c>
      <c r="AE1618">
        <v>9</v>
      </c>
      <c r="AF1618">
        <v>3</v>
      </c>
      <c r="AG1618">
        <v>3</v>
      </c>
      <c r="AH1618">
        <v>0</v>
      </c>
      <c r="AI1618">
        <v>0</v>
      </c>
    </row>
    <row r="1619" spans="1:35" hidden="1" x14ac:dyDescent="0.25">
      <c r="A1619">
        <v>2020</v>
      </c>
      <c r="B1619" s="1">
        <v>44084</v>
      </c>
      <c r="C1619">
        <v>9</v>
      </c>
      <c r="D1619">
        <v>0</v>
      </c>
      <c r="E1619">
        <v>20120</v>
      </c>
      <c r="F1619" t="s">
        <v>419</v>
      </c>
      <c r="G1619" t="s">
        <v>89</v>
      </c>
      <c r="H1619" t="s">
        <v>71</v>
      </c>
      <c r="I1619" t="s">
        <v>329</v>
      </c>
      <c r="J1619">
        <v>8</v>
      </c>
      <c r="K1619">
        <v>3</v>
      </c>
      <c r="L1619">
        <v>21700000</v>
      </c>
      <c r="M1619">
        <v>29500000</v>
      </c>
      <c r="N1619">
        <v>26</v>
      </c>
      <c r="O1619" t="s">
        <v>99</v>
      </c>
      <c r="P1619">
        <v>3</v>
      </c>
      <c r="Q1619">
        <v>1</v>
      </c>
      <c r="R1619">
        <v>2</v>
      </c>
      <c r="S1619">
        <v>1</v>
      </c>
      <c r="T1619">
        <v>4</v>
      </c>
      <c r="U1619">
        <v>5</v>
      </c>
      <c r="V1619">
        <v>11</v>
      </c>
      <c r="W1619">
        <v>15</v>
      </c>
      <c r="X1619">
        <v>15</v>
      </c>
      <c r="Y1619">
        <v>7</v>
      </c>
      <c r="Z1619">
        <v>3</v>
      </c>
      <c r="AA1619">
        <v>1</v>
      </c>
      <c r="AB1619">
        <v>4</v>
      </c>
      <c r="AC1619">
        <v>1</v>
      </c>
      <c r="AD1619">
        <v>8</v>
      </c>
      <c r="AE1619">
        <v>16</v>
      </c>
      <c r="AF1619">
        <v>3</v>
      </c>
      <c r="AG1619">
        <v>6</v>
      </c>
      <c r="AH1619">
        <v>2</v>
      </c>
      <c r="AI1619">
        <v>1</v>
      </c>
    </row>
    <row r="1620" spans="1:35" hidden="1" x14ac:dyDescent="0.25">
      <c r="A1620">
        <v>2020</v>
      </c>
      <c r="B1620" s="1">
        <v>44136</v>
      </c>
      <c r="C1620">
        <v>19</v>
      </c>
      <c r="D1620">
        <v>0</v>
      </c>
      <c r="E1620">
        <v>20120</v>
      </c>
      <c r="F1620" t="s">
        <v>419</v>
      </c>
      <c r="G1620" t="s">
        <v>38</v>
      </c>
      <c r="H1620" t="s">
        <v>71</v>
      </c>
      <c r="I1620" t="s">
        <v>240</v>
      </c>
      <c r="J1620">
        <v>6</v>
      </c>
      <c r="K1620">
        <v>11</v>
      </c>
      <c r="L1620">
        <v>36600000</v>
      </c>
      <c r="M1620">
        <v>9300000</v>
      </c>
      <c r="N1620" t="s">
        <v>217</v>
      </c>
      <c r="O1620" t="s">
        <v>98</v>
      </c>
      <c r="P1620">
        <v>3</v>
      </c>
      <c r="Q1620">
        <v>1</v>
      </c>
      <c r="R1620">
        <v>3</v>
      </c>
      <c r="S1620">
        <v>1</v>
      </c>
      <c r="T1620">
        <v>6</v>
      </c>
      <c r="U1620">
        <v>9</v>
      </c>
      <c r="V1620">
        <v>19</v>
      </c>
      <c r="W1620">
        <v>13</v>
      </c>
      <c r="X1620">
        <v>13</v>
      </c>
      <c r="Y1620">
        <v>19</v>
      </c>
      <c r="Z1620">
        <v>5</v>
      </c>
      <c r="AA1620">
        <v>3</v>
      </c>
      <c r="AB1620">
        <v>2</v>
      </c>
      <c r="AC1620">
        <v>3</v>
      </c>
      <c r="AD1620">
        <v>9</v>
      </c>
      <c r="AE1620">
        <v>21</v>
      </c>
      <c r="AF1620">
        <v>2</v>
      </c>
      <c r="AG1620">
        <v>7</v>
      </c>
      <c r="AH1620">
        <v>2</v>
      </c>
      <c r="AI1620">
        <v>1</v>
      </c>
    </row>
    <row r="1621" spans="1:35" hidden="1" x14ac:dyDescent="0.25">
      <c r="A1621">
        <v>2020</v>
      </c>
      <c r="B1621" s="1">
        <v>44192</v>
      </c>
      <c r="C1621">
        <v>27</v>
      </c>
      <c r="D1621">
        <v>0</v>
      </c>
      <c r="E1621">
        <v>20120</v>
      </c>
      <c r="F1621" t="s">
        <v>419</v>
      </c>
      <c r="G1621" t="s">
        <v>361</v>
      </c>
      <c r="H1621" t="s">
        <v>71</v>
      </c>
      <c r="I1621" t="s">
        <v>340</v>
      </c>
      <c r="J1621">
        <v>8</v>
      </c>
      <c r="K1621">
        <v>10</v>
      </c>
      <c r="L1621">
        <v>32650000</v>
      </c>
      <c r="M1621">
        <v>7850000</v>
      </c>
      <c r="N1621" t="s">
        <v>145</v>
      </c>
      <c r="O1621" t="s">
        <v>174</v>
      </c>
      <c r="P1621">
        <v>1</v>
      </c>
      <c r="Q1621">
        <v>1</v>
      </c>
      <c r="R1621">
        <v>1</v>
      </c>
      <c r="S1621">
        <v>1</v>
      </c>
      <c r="T1621">
        <v>11</v>
      </c>
      <c r="U1621">
        <v>2</v>
      </c>
      <c r="V1621">
        <v>15</v>
      </c>
      <c r="W1621">
        <v>24</v>
      </c>
      <c r="X1621">
        <v>24</v>
      </c>
      <c r="Y1621">
        <v>12</v>
      </c>
      <c r="Z1621">
        <v>3</v>
      </c>
      <c r="AA1621">
        <v>4</v>
      </c>
      <c r="AB1621">
        <v>2</v>
      </c>
      <c r="AC1621">
        <v>1</v>
      </c>
      <c r="AD1621">
        <v>11</v>
      </c>
      <c r="AE1621">
        <v>11</v>
      </c>
      <c r="AF1621">
        <v>2</v>
      </c>
      <c r="AG1621">
        <v>5</v>
      </c>
      <c r="AH1621">
        <v>0</v>
      </c>
      <c r="AI1621">
        <v>0</v>
      </c>
    </row>
    <row r="1622" spans="1:35" hidden="1" x14ac:dyDescent="0.25">
      <c r="A1622">
        <v>2020</v>
      </c>
      <c r="B1622" s="1">
        <v>44213</v>
      </c>
      <c r="C1622">
        <v>30</v>
      </c>
      <c r="D1622">
        <v>0</v>
      </c>
      <c r="E1622">
        <v>20120</v>
      </c>
      <c r="F1622" t="s">
        <v>419</v>
      </c>
      <c r="G1622" t="s">
        <v>51</v>
      </c>
      <c r="H1622" t="s">
        <v>71</v>
      </c>
      <c r="I1622" t="s">
        <v>367</v>
      </c>
      <c r="J1622">
        <v>8</v>
      </c>
      <c r="K1622">
        <v>19</v>
      </c>
      <c r="L1622">
        <v>31600000</v>
      </c>
      <c r="M1622">
        <v>8250000</v>
      </c>
      <c r="N1622" t="s">
        <v>221</v>
      </c>
      <c r="O1622" t="s">
        <v>339</v>
      </c>
      <c r="P1622">
        <v>2</v>
      </c>
      <c r="Q1622">
        <v>1</v>
      </c>
      <c r="R1622">
        <v>1</v>
      </c>
      <c r="S1622">
        <v>1</v>
      </c>
      <c r="T1622">
        <v>15</v>
      </c>
      <c r="U1622">
        <v>6</v>
      </c>
      <c r="V1622">
        <v>8</v>
      </c>
      <c r="W1622">
        <v>24</v>
      </c>
      <c r="X1622">
        <v>23</v>
      </c>
      <c r="Y1622">
        <v>8</v>
      </c>
      <c r="Z1622">
        <v>2</v>
      </c>
      <c r="AA1622">
        <v>3</v>
      </c>
      <c r="AB1622">
        <v>2</v>
      </c>
      <c r="AC1622">
        <v>3</v>
      </c>
      <c r="AD1622">
        <v>23</v>
      </c>
      <c r="AE1622">
        <v>6</v>
      </c>
      <c r="AF1622">
        <v>11</v>
      </c>
      <c r="AG1622">
        <v>2</v>
      </c>
      <c r="AH1622">
        <v>1</v>
      </c>
      <c r="AI1622">
        <v>1</v>
      </c>
    </row>
    <row r="1623" spans="1:35" hidden="1" x14ac:dyDescent="0.25">
      <c r="A1623">
        <v>2020</v>
      </c>
      <c r="B1623" s="1">
        <v>44248</v>
      </c>
      <c r="C1623">
        <v>37</v>
      </c>
      <c r="D1623">
        <v>0</v>
      </c>
      <c r="E1623">
        <v>20120</v>
      </c>
      <c r="F1623" t="s">
        <v>419</v>
      </c>
      <c r="G1623" t="s">
        <v>55</v>
      </c>
      <c r="H1623" t="s">
        <v>71</v>
      </c>
      <c r="I1623" t="s">
        <v>223</v>
      </c>
      <c r="J1623">
        <v>8</v>
      </c>
      <c r="K1623">
        <v>5</v>
      </c>
      <c r="L1623">
        <v>18300000</v>
      </c>
      <c r="M1623">
        <v>13900000</v>
      </c>
      <c r="N1623" t="s">
        <v>332</v>
      </c>
      <c r="O1623" t="s">
        <v>98</v>
      </c>
      <c r="P1623">
        <v>1</v>
      </c>
      <c r="Q1623">
        <v>1</v>
      </c>
      <c r="R1623">
        <v>0</v>
      </c>
      <c r="S1623">
        <v>1</v>
      </c>
      <c r="T1623">
        <v>4</v>
      </c>
      <c r="U1623">
        <v>4</v>
      </c>
      <c r="V1623">
        <v>20</v>
      </c>
      <c r="W1623">
        <v>19</v>
      </c>
      <c r="X1623">
        <v>17</v>
      </c>
      <c r="Y1623">
        <v>19</v>
      </c>
      <c r="Z1623">
        <v>2</v>
      </c>
      <c r="AA1623">
        <v>1</v>
      </c>
      <c r="AB1623">
        <v>1</v>
      </c>
      <c r="AC1623">
        <v>1</v>
      </c>
      <c r="AD1623">
        <v>8</v>
      </c>
      <c r="AE1623">
        <v>7</v>
      </c>
      <c r="AF1623">
        <v>5</v>
      </c>
      <c r="AG1623">
        <v>3</v>
      </c>
      <c r="AH1623">
        <v>0</v>
      </c>
      <c r="AI1623">
        <v>0</v>
      </c>
    </row>
    <row r="1624" spans="1:35" hidden="1" x14ac:dyDescent="0.25">
      <c r="A1624">
        <v>2020</v>
      </c>
      <c r="B1624" s="1">
        <v>44056</v>
      </c>
      <c r="C1624">
        <v>2</v>
      </c>
      <c r="D1624">
        <v>0</v>
      </c>
      <c r="E1624">
        <v>82238</v>
      </c>
      <c r="F1624" t="s">
        <v>55</v>
      </c>
      <c r="G1624" t="s">
        <v>95</v>
      </c>
      <c r="H1624" t="s">
        <v>328</v>
      </c>
      <c r="I1624" t="s">
        <v>317</v>
      </c>
      <c r="J1624">
        <v>17</v>
      </c>
      <c r="K1624">
        <v>9</v>
      </c>
      <c r="L1624">
        <v>12300000</v>
      </c>
      <c r="M1624">
        <v>30750000</v>
      </c>
      <c r="N1624" t="s">
        <v>123</v>
      </c>
      <c r="O1624" t="s">
        <v>66</v>
      </c>
      <c r="P1624">
        <v>1</v>
      </c>
      <c r="Q1624">
        <v>1</v>
      </c>
      <c r="R1624">
        <v>1</v>
      </c>
      <c r="S1624">
        <v>1</v>
      </c>
      <c r="T1624">
        <v>3</v>
      </c>
      <c r="U1624">
        <v>3</v>
      </c>
      <c r="V1624">
        <v>20</v>
      </c>
      <c r="W1624">
        <v>31</v>
      </c>
      <c r="X1624">
        <v>30</v>
      </c>
      <c r="Y1624">
        <v>18</v>
      </c>
      <c r="Z1624">
        <v>0</v>
      </c>
      <c r="AA1624">
        <v>0</v>
      </c>
      <c r="AB1624">
        <v>3</v>
      </c>
      <c r="AC1624">
        <v>0</v>
      </c>
      <c r="AD1624">
        <v>10</v>
      </c>
      <c r="AE1624">
        <v>9</v>
      </c>
      <c r="AF1624">
        <v>6</v>
      </c>
      <c r="AG1624">
        <v>5</v>
      </c>
      <c r="AH1624">
        <v>0</v>
      </c>
      <c r="AI1624">
        <v>0</v>
      </c>
    </row>
    <row r="1625" spans="1:35" hidden="1" x14ac:dyDescent="0.25">
      <c r="A1625">
        <v>2020</v>
      </c>
      <c r="B1625" s="1">
        <v>44059</v>
      </c>
      <c r="C1625">
        <v>3</v>
      </c>
      <c r="D1625">
        <v>0</v>
      </c>
      <c r="E1625">
        <v>82238</v>
      </c>
      <c r="F1625" t="s">
        <v>55</v>
      </c>
      <c r="G1625" t="s">
        <v>37</v>
      </c>
      <c r="H1625" t="s">
        <v>328</v>
      </c>
      <c r="I1625" t="s">
        <v>39</v>
      </c>
      <c r="J1625">
        <v>15</v>
      </c>
      <c r="K1625">
        <v>3</v>
      </c>
      <c r="L1625">
        <v>20780000</v>
      </c>
      <c r="M1625">
        <v>22000000</v>
      </c>
      <c r="N1625" t="s">
        <v>209</v>
      </c>
      <c r="O1625" t="s">
        <v>235</v>
      </c>
      <c r="P1625">
        <v>2</v>
      </c>
      <c r="Q1625">
        <v>1</v>
      </c>
      <c r="R1625">
        <v>1</v>
      </c>
      <c r="S1625">
        <v>1</v>
      </c>
      <c r="T1625">
        <v>1</v>
      </c>
      <c r="U1625">
        <v>4</v>
      </c>
      <c r="V1625">
        <v>13</v>
      </c>
      <c r="W1625">
        <v>24</v>
      </c>
      <c r="X1625">
        <v>23</v>
      </c>
      <c r="Y1625">
        <v>11</v>
      </c>
      <c r="Z1625">
        <v>1</v>
      </c>
      <c r="AA1625">
        <v>3</v>
      </c>
      <c r="AB1625">
        <v>1</v>
      </c>
      <c r="AC1625">
        <v>1</v>
      </c>
      <c r="AD1625">
        <v>10</v>
      </c>
      <c r="AE1625">
        <v>9</v>
      </c>
      <c r="AF1625">
        <v>2</v>
      </c>
      <c r="AG1625">
        <v>4</v>
      </c>
      <c r="AH1625">
        <v>1</v>
      </c>
      <c r="AI1625">
        <v>1</v>
      </c>
    </row>
    <row r="1626" spans="1:35" hidden="1" x14ac:dyDescent="0.25">
      <c r="A1626">
        <v>2020</v>
      </c>
      <c r="B1626" s="1">
        <v>44122</v>
      </c>
      <c r="C1626">
        <v>17</v>
      </c>
      <c r="D1626">
        <v>0</v>
      </c>
      <c r="E1626">
        <v>82238</v>
      </c>
      <c r="F1626" t="s">
        <v>55</v>
      </c>
      <c r="G1626" t="s">
        <v>361</v>
      </c>
      <c r="H1626" t="s">
        <v>328</v>
      </c>
      <c r="I1626" t="s">
        <v>340</v>
      </c>
      <c r="J1626">
        <v>5</v>
      </c>
      <c r="K1626">
        <v>13</v>
      </c>
      <c r="L1626">
        <v>12650000</v>
      </c>
      <c r="M1626">
        <v>6100000</v>
      </c>
      <c r="N1626" t="s">
        <v>111</v>
      </c>
      <c r="O1626" t="s">
        <v>174</v>
      </c>
      <c r="P1626">
        <v>2</v>
      </c>
      <c r="Q1626">
        <v>2</v>
      </c>
      <c r="R1626">
        <v>1</v>
      </c>
      <c r="S1626">
        <v>1</v>
      </c>
      <c r="T1626">
        <v>4</v>
      </c>
      <c r="U1626">
        <v>3</v>
      </c>
      <c r="V1626">
        <v>16</v>
      </c>
      <c r="W1626">
        <v>17</v>
      </c>
      <c r="X1626">
        <v>17</v>
      </c>
      <c r="Y1626">
        <v>15</v>
      </c>
      <c r="Z1626">
        <v>3</v>
      </c>
      <c r="AA1626">
        <v>1</v>
      </c>
      <c r="AB1626">
        <v>2</v>
      </c>
      <c r="AC1626">
        <v>2</v>
      </c>
      <c r="AD1626">
        <v>6</v>
      </c>
      <c r="AE1626">
        <v>17</v>
      </c>
      <c r="AF1626">
        <v>2</v>
      </c>
      <c r="AG1626">
        <v>7</v>
      </c>
      <c r="AH1626">
        <v>0</v>
      </c>
      <c r="AI1626">
        <v>0</v>
      </c>
    </row>
    <row r="1627" spans="1:35" hidden="1" x14ac:dyDescent="0.25">
      <c r="A1627">
        <v>2020</v>
      </c>
      <c r="B1627" s="1">
        <v>44129</v>
      </c>
      <c r="C1627">
        <v>18</v>
      </c>
      <c r="D1627">
        <v>0</v>
      </c>
      <c r="E1627">
        <v>82238</v>
      </c>
      <c r="F1627" t="s">
        <v>55</v>
      </c>
      <c r="G1627" t="s">
        <v>419</v>
      </c>
      <c r="H1627" t="s">
        <v>328</v>
      </c>
      <c r="I1627" t="s">
        <v>71</v>
      </c>
      <c r="J1627">
        <v>6</v>
      </c>
      <c r="K1627">
        <v>5</v>
      </c>
      <c r="L1627">
        <v>12050000</v>
      </c>
      <c r="M1627">
        <v>23900000</v>
      </c>
      <c r="N1627" t="s">
        <v>235</v>
      </c>
      <c r="O1627" t="s">
        <v>99</v>
      </c>
      <c r="P1627">
        <v>3</v>
      </c>
      <c r="Q1627">
        <v>1</v>
      </c>
      <c r="R1627">
        <v>1</v>
      </c>
      <c r="S1627">
        <v>1</v>
      </c>
      <c r="T1627">
        <v>10</v>
      </c>
      <c r="U1627">
        <v>8</v>
      </c>
      <c r="V1627">
        <v>13</v>
      </c>
      <c r="W1627">
        <v>18</v>
      </c>
      <c r="X1627">
        <v>18</v>
      </c>
      <c r="Y1627">
        <v>12</v>
      </c>
      <c r="Z1627">
        <v>1</v>
      </c>
      <c r="AA1627">
        <v>5</v>
      </c>
      <c r="AB1627">
        <v>2</v>
      </c>
      <c r="AC1627">
        <v>3</v>
      </c>
      <c r="AD1627">
        <v>19</v>
      </c>
      <c r="AE1627">
        <v>9</v>
      </c>
      <c r="AF1627">
        <v>5</v>
      </c>
      <c r="AG1627">
        <v>3</v>
      </c>
      <c r="AH1627">
        <v>2</v>
      </c>
      <c r="AI1627">
        <v>1</v>
      </c>
    </row>
    <row r="1628" spans="1:35" hidden="1" x14ac:dyDescent="0.25">
      <c r="A1628">
        <v>2020</v>
      </c>
      <c r="B1628" s="1">
        <v>44144</v>
      </c>
      <c r="C1628">
        <v>20</v>
      </c>
      <c r="D1628">
        <v>0</v>
      </c>
      <c r="E1628">
        <v>82238</v>
      </c>
      <c r="F1628" t="s">
        <v>55</v>
      </c>
      <c r="G1628" t="s">
        <v>83</v>
      </c>
      <c r="H1628" t="s">
        <v>328</v>
      </c>
      <c r="I1628" t="s">
        <v>85</v>
      </c>
      <c r="J1628">
        <v>5</v>
      </c>
      <c r="K1628">
        <v>7</v>
      </c>
      <c r="L1628">
        <v>12200000</v>
      </c>
      <c r="M1628">
        <v>49450000</v>
      </c>
      <c r="N1628" t="s">
        <v>66</v>
      </c>
      <c r="O1628" t="s">
        <v>149</v>
      </c>
      <c r="P1628">
        <v>0</v>
      </c>
      <c r="Q1628">
        <v>1</v>
      </c>
      <c r="R1628">
        <v>0</v>
      </c>
      <c r="S1628">
        <v>1</v>
      </c>
      <c r="T1628">
        <v>4</v>
      </c>
      <c r="U1628">
        <v>5</v>
      </c>
      <c r="V1628">
        <v>12</v>
      </c>
      <c r="W1628">
        <v>13</v>
      </c>
      <c r="X1628">
        <v>13</v>
      </c>
      <c r="Y1628">
        <v>11</v>
      </c>
      <c r="Z1628">
        <v>3</v>
      </c>
      <c r="AA1628">
        <v>4</v>
      </c>
      <c r="AB1628">
        <v>1</v>
      </c>
      <c r="AC1628">
        <v>2</v>
      </c>
      <c r="AD1628">
        <v>12</v>
      </c>
      <c r="AE1628">
        <v>13</v>
      </c>
      <c r="AF1628">
        <v>3</v>
      </c>
      <c r="AG1628">
        <v>7</v>
      </c>
      <c r="AH1628">
        <v>-1</v>
      </c>
      <c r="AI1628">
        <v>0</v>
      </c>
    </row>
    <row r="1629" spans="1:35" hidden="1" x14ac:dyDescent="0.25">
      <c r="A1629">
        <v>2020</v>
      </c>
      <c r="B1629" s="1">
        <v>44170</v>
      </c>
      <c r="C1629">
        <v>24</v>
      </c>
      <c r="D1629">
        <v>0</v>
      </c>
      <c r="E1629">
        <v>82238</v>
      </c>
      <c r="F1629" t="s">
        <v>55</v>
      </c>
      <c r="G1629" t="s">
        <v>69</v>
      </c>
      <c r="H1629" t="s">
        <v>328</v>
      </c>
      <c r="I1629" t="s">
        <v>334</v>
      </c>
      <c r="J1629">
        <v>8</v>
      </c>
      <c r="K1629">
        <v>12</v>
      </c>
      <c r="L1629">
        <v>17550000</v>
      </c>
      <c r="M1629">
        <v>21000000</v>
      </c>
      <c r="N1629" t="s">
        <v>135</v>
      </c>
      <c r="O1629" t="s">
        <v>104</v>
      </c>
      <c r="P1629">
        <v>3</v>
      </c>
      <c r="Q1629">
        <v>1</v>
      </c>
      <c r="R1629">
        <v>1</v>
      </c>
      <c r="S1629">
        <v>1</v>
      </c>
      <c r="T1629">
        <v>15</v>
      </c>
      <c r="U1629">
        <v>2</v>
      </c>
      <c r="V1629">
        <v>16</v>
      </c>
      <c r="W1629">
        <v>18</v>
      </c>
      <c r="X1629">
        <v>17</v>
      </c>
      <c r="Y1629">
        <v>15</v>
      </c>
      <c r="Z1629">
        <v>0</v>
      </c>
      <c r="AA1629">
        <v>9</v>
      </c>
      <c r="AB1629">
        <v>2</v>
      </c>
      <c r="AC1629">
        <v>0</v>
      </c>
      <c r="AD1629">
        <v>27</v>
      </c>
      <c r="AE1629">
        <v>5</v>
      </c>
      <c r="AF1629">
        <v>8</v>
      </c>
      <c r="AG1629">
        <v>2</v>
      </c>
      <c r="AH1629">
        <v>2</v>
      </c>
      <c r="AI1629">
        <v>1</v>
      </c>
    </row>
    <row r="1630" spans="1:35" hidden="1" x14ac:dyDescent="0.25">
      <c r="A1630">
        <v>2020</v>
      </c>
      <c r="B1630" s="1">
        <v>44192</v>
      </c>
      <c r="C1630">
        <v>27</v>
      </c>
      <c r="D1630">
        <v>0</v>
      </c>
      <c r="E1630">
        <v>82238</v>
      </c>
      <c r="F1630" t="s">
        <v>55</v>
      </c>
      <c r="G1630" t="s">
        <v>62</v>
      </c>
      <c r="H1630" t="s">
        <v>223</v>
      </c>
      <c r="I1630" t="s">
        <v>57</v>
      </c>
      <c r="J1630">
        <v>7</v>
      </c>
      <c r="K1630">
        <v>1</v>
      </c>
      <c r="L1630">
        <v>20350000</v>
      </c>
      <c r="M1630">
        <v>30100000</v>
      </c>
      <c r="N1630" t="s">
        <v>117</v>
      </c>
      <c r="O1630" t="s">
        <v>117</v>
      </c>
      <c r="P1630">
        <v>1</v>
      </c>
      <c r="Q1630">
        <v>2</v>
      </c>
      <c r="R1630">
        <v>0</v>
      </c>
      <c r="S1630">
        <v>1</v>
      </c>
      <c r="T1630">
        <v>0</v>
      </c>
      <c r="U1630">
        <v>2</v>
      </c>
      <c r="V1630">
        <v>17</v>
      </c>
      <c r="W1630">
        <v>22</v>
      </c>
      <c r="X1630">
        <v>20</v>
      </c>
      <c r="Y1630">
        <v>15</v>
      </c>
      <c r="Z1630">
        <v>3</v>
      </c>
      <c r="AA1630">
        <v>0</v>
      </c>
      <c r="AB1630">
        <v>0</v>
      </c>
      <c r="AC1630">
        <v>0</v>
      </c>
      <c r="AD1630">
        <v>9</v>
      </c>
      <c r="AE1630">
        <v>12</v>
      </c>
      <c r="AF1630">
        <v>8</v>
      </c>
      <c r="AG1630">
        <v>1</v>
      </c>
      <c r="AH1630">
        <v>-1</v>
      </c>
      <c r="AI1630">
        <v>0</v>
      </c>
    </row>
    <row r="1631" spans="1:35" hidden="1" x14ac:dyDescent="0.25">
      <c r="A1631">
        <v>2020</v>
      </c>
      <c r="B1631" s="1">
        <v>44064</v>
      </c>
      <c r="C1631">
        <v>4</v>
      </c>
      <c r="D1631">
        <v>0</v>
      </c>
      <c r="E1631">
        <v>67428</v>
      </c>
      <c r="F1631" t="s">
        <v>62</v>
      </c>
      <c r="G1631" t="s">
        <v>38</v>
      </c>
      <c r="H1631" t="s">
        <v>57</v>
      </c>
      <c r="I1631" t="s">
        <v>46</v>
      </c>
      <c r="J1631">
        <v>4</v>
      </c>
      <c r="K1631">
        <v>2</v>
      </c>
      <c r="L1631">
        <v>28200000</v>
      </c>
      <c r="M1631">
        <v>11980000</v>
      </c>
      <c r="N1631" t="s">
        <v>98</v>
      </c>
      <c r="O1631" t="s">
        <v>128</v>
      </c>
      <c r="P1631">
        <v>1</v>
      </c>
      <c r="Q1631">
        <v>1</v>
      </c>
      <c r="R1631">
        <v>0</v>
      </c>
      <c r="S1631">
        <v>1</v>
      </c>
      <c r="T1631">
        <v>5</v>
      </c>
      <c r="U1631">
        <v>6</v>
      </c>
      <c r="V1631">
        <v>14</v>
      </c>
      <c r="W1631">
        <v>16</v>
      </c>
      <c r="X1631">
        <v>16</v>
      </c>
      <c r="Y1631">
        <v>14</v>
      </c>
      <c r="Z1631">
        <v>3</v>
      </c>
      <c r="AA1631">
        <v>4</v>
      </c>
      <c r="AB1631">
        <v>4</v>
      </c>
      <c r="AC1631">
        <v>1</v>
      </c>
      <c r="AD1631">
        <v>24</v>
      </c>
      <c r="AE1631">
        <v>8</v>
      </c>
      <c r="AF1631">
        <v>12</v>
      </c>
      <c r="AG1631">
        <v>2</v>
      </c>
      <c r="AH1631">
        <v>0</v>
      </c>
      <c r="AI1631">
        <v>0</v>
      </c>
    </row>
    <row r="1632" spans="1:35" hidden="1" x14ac:dyDescent="0.25">
      <c r="A1632">
        <v>2020</v>
      </c>
      <c r="B1632" s="1">
        <v>44073</v>
      </c>
      <c r="C1632">
        <v>6</v>
      </c>
      <c r="D1632">
        <v>0</v>
      </c>
      <c r="E1632">
        <v>67428</v>
      </c>
      <c r="F1632" t="s">
        <v>62</v>
      </c>
      <c r="G1632" t="s">
        <v>88</v>
      </c>
      <c r="H1632" t="s">
        <v>57</v>
      </c>
      <c r="I1632" t="s">
        <v>333</v>
      </c>
      <c r="J1632">
        <v>3</v>
      </c>
      <c r="K1632">
        <v>11</v>
      </c>
      <c r="L1632">
        <v>17400000</v>
      </c>
      <c r="M1632">
        <v>29050000</v>
      </c>
      <c r="N1632" t="s">
        <v>252</v>
      </c>
      <c r="O1632" t="s">
        <v>137</v>
      </c>
      <c r="P1632">
        <v>2</v>
      </c>
      <c r="Q1632">
        <v>1</v>
      </c>
      <c r="R1632">
        <v>1</v>
      </c>
      <c r="S1632">
        <v>1</v>
      </c>
      <c r="T1632">
        <v>7</v>
      </c>
      <c r="U1632">
        <v>4</v>
      </c>
      <c r="V1632">
        <v>16</v>
      </c>
      <c r="W1632">
        <v>22</v>
      </c>
      <c r="X1632">
        <v>22</v>
      </c>
      <c r="Y1632">
        <v>16</v>
      </c>
      <c r="Z1632">
        <v>4</v>
      </c>
      <c r="AA1632">
        <v>3</v>
      </c>
      <c r="AB1632">
        <v>2</v>
      </c>
      <c r="AC1632">
        <v>1</v>
      </c>
      <c r="AD1632">
        <v>14</v>
      </c>
      <c r="AE1632">
        <v>7</v>
      </c>
      <c r="AF1632">
        <v>7</v>
      </c>
      <c r="AG1632">
        <v>2</v>
      </c>
      <c r="AH1632">
        <v>1</v>
      </c>
      <c r="AI1632">
        <v>1</v>
      </c>
    </row>
    <row r="1633" spans="1:35" hidden="1" x14ac:dyDescent="0.25">
      <c r="A1633">
        <v>2020</v>
      </c>
      <c r="B1633" s="1">
        <v>44080</v>
      </c>
      <c r="C1633">
        <v>8</v>
      </c>
      <c r="D1633">
        <v>0</v>
      </c>
      <c r="E1633">
        <v>67428</v>
      </c>
      <c r="F1633" t="s">
        <v>62</v>
      </c>
      <c r="G1633" t="s">
        <v>55</v>
      </c>
      <c r="H1633" t="s">
        <v>57</v>
      </c>
      <c r="I1633" t="s">
        <v>328</v>
      </c>
      <c r="J1633">
        <v>2</v>
      </c>
      <c r="K1633">
        <v>5</v>
      </c>
      <c r="L1633">
        <v>16000000</v>
      </c>
      <c r="M1633">
        <v>16230000</v>
      </c>
      <c r="N1633" t="s">
        <v>149</v>
      </c>
      <c r="O1633" t="s">
        <v>149</v>
      </c>
      <c r="P1633">
        <v>3</v>
      </c>
      <c r="Q1633">
        <v>1</v>
      </c>
      <c r="R1633">
        <v>0</v>
      </c>
      <c r="S1633">
        <v>1</v>
      </c>
      <c r="T1633">
        <v>3</v>
      </c>
      <c r="U1633">
        <v>2</v>
      </c>
      <c r="V1633">
        <v>20</v>
      </c>
      <c r="W1633">
        <v>13</v>
      </c>
      <c r="X1633">
        <v>12</v>
      </c>
      <c r="Y1633">
        <v>19</v>
      </c>
      <c r="Z1633">
        <v>3</v>
      </c>
      <c r="AA1633">
        <v>0</v>
      </c>
      <c r="AB1633">
        <v>0</v>
      </c>
      <c r="AC1633">
        <v>2</v>
      </c>
      <c r="AD1633">
        <v>14</v>
      </c>
      <c r="AE1633">
        <v>12</v>
      </c>
      <c r="AF1633">
        <v>9</v>
      </c>
      <c r="AG1633">
        <v>4</v>
      </c>
      <c r="AH1633">
        <v>2</v>
      </c>
      <c r="AI1633">
        <v>1</v>
      </c>
    </row>
    <row r="1634" spans="1:35" hidden="1" x14ac:dyDescent="0.25">
      <c r="A1634">
        <v>2020</v>
      </c>
      <c r="B1634" s="1">
        <v>44142</v>
      </c>
      <c r="C1634">
        <v>20</v>
      </c>
      <c r="D1634">
        <v>0</v>
      </c>
      <c r="E1634">
        <v>67428</v>
      </c>
      <c r="F1634" t="s">
        <v>62</v>
      </c>
      <c r="G1634" t="s">
        <v>416</v>
      </c>
      <c r="H1634" t="s">
        <v>57</v>
      </c>
      <c r="I1634" t="s">
        <v>420</v>
      </c>
      <c r="J1634">
        <v>1</v>
      </c>
      <c r="K1634">
        <v>20</v>
      </c>
      <c r="L1634">
        <v>28200000</v>
      </c>
      <c r="M1634">
        <v>7250000</v>
      </c>
      <c r="N1634" t="s">
        <v>99</v>
      </c>
      <c r="O1634" t="s">
        <v>41</v>
      </c>
      <c r="P1634">
        <v>2</v>
      </c>
      <c r="Q1634">
        <v>1</v>
      </c>
      <c r="R1634">
        <v>1</v>
      </c>
      <c r="S1634">
        <v>1</v>
      </c>
      <c r="T1634">
        <v>10</v>
      </c>
      <c r="U1634">
        <v>2</v>
      </c>
      <c r="V1634">
        <v>9</v>
      </c>
      <c r="W1634">
        <v>19</v>
      </c>
      <c r="X1634">
        <v>18</v>
      </c>
      <c r="Y1634">
        <v>8</v>
      </c>
      <c r="Z1634">
        <v>2</v>
      </c>
      <c r="AA1634">
        <v>7</v>
      </c>
      <c r="AB1634">
        <v>1</v>
      </c>
      <c r="AC1634">
        <v>1</v>
      </c>
      <c r="AD1634">
        <v>20</v>
      </c>
      <c r="AE1634">
        <v>8</v>
      </c>
      <c r="AF1634">
        <v>6</v>
      </c>
      <c r="AG1634">
        <v>3</v>
      </c>
      <c r="AH1634">
        <v>1</v>
      </c>
      <c r="AI1634">
        <v>1</v>
      </c>
    </row>
    <row r="1635" spans="1:35" hidden="1" x14ac:dyDescent="0.25">
      <c r="A1635">
        <v>2020</v>
      </c>
      <c r="B1635" s="1">
        <v>44157</v>
      </c>
      <c r="C1635">
        <v>22</v>
      </c>
      <c r="D1635">
        <v>0</v>
      </c>
      <c r="E1635">
        <v>67428</v>
      </c>
      <c r="F1635" t="s">
        <v>62</v>
      </c>
      <c r="G1635" t="s">
        <v>82</v>
      </c>
      <c r="H1635" t="s">
        <v>57</v>
      </c>
      <c r="I1635" t="s">
        <v>417</v>
      </c>
      <c r="J1635">
        <v>1</v>
      </c>
      <c r="K1635">
        <v>15</v>
      </c>
      <c r="L1635">
        <v>28300000</v>
      </c>
      <c r="M1635">
        <v>12780000</v>
      </c>
      <c r="N1635" t="s">
        <v>120</v>
      </c>
      <c r="O1635" t="s">
        <v>189</v>
      </c>
      <c r="P1635">
        <v>1</v>
      </c>
      <c r="Q1635">
        <v>1</v>
      </c>
      <c r="R1635">
        <v>1</v>
      </c>
      <c r="S1635">
        <v>1</v>
      </c>
      <c r="T1635">
        <v>7</v>
      </c>
      <c r="U1635">
        <v>4</v>
      </c>
      <c r="V1635">
        <v>7</v>
      </c>
      <c r="W1635">
        <v>19</v>
      </c>
      <c r="X1635">
        <v>18</v>
      </c>
      <c r="Y1635">
        <v>5</v>
      </c>
      <c r="Z1635">
        <v>2</v>
      </c>
      <c r="AA1635">
        <v>4</v>
      </c>
      <c r="AB1635">
        <v>2</v>
      </c>
      <c r="AC1635">
        <v>2</v>
      </c>
      <c r="AD1635">
        <v>17</v>
      </c>
      <c r="AE1635">
        <v>6</v>
      </c>
      <c r="AF1635">
        <v>8</v>
      </c>
      <c r="AG1635">
        <v>2</v>
      </c>
      <c r="AH1635">
        <v>0</v>
      </c>
      <c r="AI1635">
        <v>0</v>
      </c>
    </row>
    <row r="1636" spans="1:35" hidden="1" x14ac:dyDescent="0.25">
      <c r="A1636">
        <v>2020</v>
      </c>
      <c r="B1636" s="1">
        <v>44063</v>
      </c>
      <c r="C1636">
        <v>4</v>
      </c>
      <c r="D1636">
        <v>0</v>
      </c>
      <c r="E1636">
        <v>49205</v>
      </c>
      <c r="F1636" t="s">
        <v>88</v>
      </c>
      <c r="G1636" t="s">
        <v>321</v>
      </c>
      <c r="H1636" t="s">
        <v>333</v>
      </c>
      <c r="I1636" t="s">
        <v>367</v>
      </c>
      <c r="J1636">
        <v>15</v>
      </c>
      <c r="K1636">
        <v>20</v>
      </c>
      <c r="L1636">
        <v>29950000</v>
      </c>
      <c r="M1636">
        <v>8250000</v>
      </c>
      <c r="N1636">
        <v>29</v>
      </c>
      <c r="O1636" t="s">
        <v>107</v>
      </c>
      <c r="P1636">
        <v>3</v>
      </c>
      <c r="Q1636">
        <v>1</v>
      </c>
      <c r="R1636">
        <v>1</v>
      </c>
      <c r="S1636">
        <v>1</v>
      </c>
      <c r="T1636">
        <v>10</v>
      </c>
      <c r="U1636">
        <v>0</v>
      </c>
      <c r="V1636">
        <v>15</v>
      </c>
      <c r="W1636">
        <v>7</v>
      </c>
      <c r="X1636">
        <v>6</v>
      </c>
      <c r="Y1636">
        <v>15</v>
      </c>
      <c r="Z1636">
        <v>3</v>
      </c>
      <c r="AA1636">
        <v>9</v>
      </c>
      <c r="AB1636">
        <v>0</v>
      </c>
      <c r="AC1636">
        <v>3</v>
      </c>
      <c r="AD1636">
        <v>23</v>
      </c>
      <c r="AE1636">
        <v>9</v>
      </c>
      <c r="AF1636">
        <v>6</v>
      </c>
      <c r="AG1636">
        <v>3</v>
      </c>
      <c r="AH1636">
        <v>2</v>
      </c>
      <c r="AI1636">
        <v>1</v>
      </c>
    </row>
    <row r="1637" spans="1:35" hidden="1" x14ac:dyDescent="0.25">
      <c r="A1637">
        <v>2020</v>
      </c>
      <c r="B1637" s="1">
        <v>44080</v>
      </c>
      <c r="C1637">
        <v>8</v>
      </c>
      <c r="D1637">
        <v>0</v>
      </c>
      <c r="E1637">
        <v>49205</v>
      </c>
      <c r="F1637" t="s">
        <v>88</v>
      </c>
      <c r="G1637" t="s">
        <v>51</v>
      </c>
      <c r="H1637" t="s">
        <v>333</v>
      </c>
      <c r="I1637" t="s">
        <v>334</v>
      </c>
      <c r="J1637">
        <v>12</v>
      </c>
      <c r="K1637">
        <v>17</v>
      </c>
      <c r="L1637">
        <v>24580000</v>
      </c>
      <c r="M1637">
        <v>7750000</v>
      </c>
      <c r="N1637" t="s">
        <v>129</v>
      </c>
      <c r="O1637" t="s">
        <v>98</v>
      </c>
      <c r="P1637">
        <v>2</v>
      </c>
      <c r="Q1637">
        <v>2</v>
      </c>
      <c r="R1637">
        <v>1</v>
      </c>
      <c r="S1637">
        <v>1</v>
      </c>
      <c r="T1637">
        <v>12</v>
      </c>
      <c r="U1637">
        <v>6</v>
      </c>
      <c r="V1637">
        <v>18</v>
      </c>
      <c r="W1637">
        <v>10</v>
      </c>
      <c r="X1637">
        <v>9</v>
      </c>
      <c r="Y1637">
        <v>17</v>
      </c>
      <c r="Z1637">
        <v>1</v>
      </c>
      <c r="AA1637">
        <v>4</v>
      </c>
      <c r="AB1637">
        <v>1</v>
      </c>
      <c r="AC1637">
        <v>2</v>
      </c>
      <c r="AD1637">
        <v>14</v>
      </c>
      <c r="AE1637">
        <v>13</v>
      </c>
      <c r="AF1637">
        <v>4</v>
      </c>
      <c r="AG1637">
        <v>8</v>
      </c>
      <c r="AH1637">
        <v>0</v>
      </c>
      <c r="AI1637">
        <v>0</v>
      </c>
    </row>
    <row r="1638" spans="1:35" hidden="1" x14ac:dyDescent="0.25">
      <c r="A1638">
        <v>2020</v>
      </c>
      <c r="B1638" s="1">
        <v>44085</v>
      </c>
      <c r="C1638">
        <v>9</v>
      </c>
      <c r="D1638">
        <v>0</v>
      </c>
      <c r="E1638">
        <v>49205</v>
      </c>
      <c r="F1638" t="s">
        <v>88</v>
      </c>
      <c r="G1638" t="s">
        <v>95</v>
      </c>
      <c r="H1638" t="s">
        <v>333</v>
      </c>
      <c r="I1638" t="s">
        <v>317</v>
      </c>
      <c r="J1638">
        <v>14</v>
      </c>
      <c r="K1638">
        <v>6</v>
      </c>
      <c r="L1638">
        <v>29700000</v>
      </c>
      <c r="M1638">
        <v>48600000</v>
      </c>
      <c r="N1638" t="s">
        <v>100</v>
      </c>
      <c r="O1638" t="s">
        <v>122</v>
      </c>
      <c r="P1638">
        <v>0</v>
      </c>
      <c r="Q1638">
        <v>2</v>
      </c>
      <c r="R1638">
        <v>0</v>
      </c>
      <c r="S1638">
        <v>1</v>
      </c>
      <c r="T1638">
        <v>5</v>
      </c>
      <c r="U1638">
        <v>6</v>
      </c>
      <c r="V1638">
        <v>13</v>
      </c>
      <c r="W1638">
        <v>16</v>
      </c>
      <c r="X1638">
        <v>15</v>
      </c>
      <c r="Y1638">
        <v>12</v>
      </c>
      <c r="Z1638">
        <v>6</v>
      </c>
      <c r="AA1638">
        <v>4</v>
      </c>
      <c r="AB1638">
        <v>1</v>
      </c>
      <c r="AC1638">
        <v>2</v>
      </c>
      <c r="AD1638">
        <v>10</v>
      </c>
      <c r="AE1638">
        <v>21</v>
      </c>
      <c r="AF1638">
        <v>4</v>
      </c>
      <c r="AG1638">
        <v>8</v>
      </c>
      <c r="AH1638">
        <v>-2</v>
      </c>
      <c r="AI1638">
        <v>0</v>
      </c>
    </row>
    <row r="1639" spans="1:35" hidden="1" x14ac:dyDescent="0.25">
      <c r="A1639">
        <v>2020</v>
      </c>
      <c r="B1639" s="1">
        <v>44091</v>
      </c>
      <c r="C1639">
        <v>11</v>
      </c>
      <c r="D1639">
        <v>0</v>
      </c>
      <c r="E1639">
        <v>49205</v>
      </c>
      <c r="F1639" t="s">
        <v>88</v>
      </c>
      <c r="G1639" t="s">
        <v>38</v>
      </c>
      <c r="H1639" t="s">
        <v>436</v>
      </c>
      <c r="I1639" t="s">
        <v>240</v>
      </c>
      <c r="J1639">
        <v>16</v>
      </c>
      <c r="K1639">
        <v>14</v>
      </c>
      <c r="L1639">
        <v>25500000</v>
      </c>
      <c r="M1639">
        <v>11350000</v>
      </c>
      <c r="N1639" t="s">
        <v>122</v>
      </c>
      <c r="O1639" t="s">
        <v>74</v>
      </c>
      <c r="P1639">
        <v>3</v>
      </c>
      <c r="Q1639">
        <v>2</v>
      </c>
      <c r="R1639">
        <v>2</v>
      </c>
      <c r="S1639">
        <v>1</v>
      </c>
      <c r="T1639">
        <v>4</v>
      </c>
      <c r="U1639">
        <v>11</v>
      </c>
      <c r="V1639">
        <v>15</v>
      </c>
      <c r="W1639">
        <v>13</v>
      </c>
      <c r="X1639">
        <v>12</v>
      </c>
      <c r="Y1639">
        <v>15</v>
      </c>
      <c r="Z1639">
        <v>3</v>
      </c>
      <c r="AA1639">
        <v>2</v>
      </c>
      <c r="AB1639">
        <v>1</v>
      </c>
      <c r="AC1639">
        <v>5</v>
      </c>
      <c r="AD1639">
        <v>11</v>
      </c>
      <c r="AE1639">
        <v>24</v>
      </c>
      <c r="AF1639">
        <v>4</v>
      </c>
      <c r="AG1639">
        <v>13</v>
      </c>
      <c r="AH1639">
        <v>1</v>
      </c>
      <c r="AI1639">
        <v>1</v>
      </c>
    </row>
    <row r="1640" spans="1:35" hidden="1" x14ac:dyDescent="0.25">
      <c r="A1640">
        <v>2020</v>
      </c>
      <c r="B1640" s="1">
        <v>44112</v>
      </c>
      <c r="C1640">
        <v>14</v>
      </c>
      <c r="D1640">
        <v>0</v>
      </c>
      <c r="E1640">
        <v>49205</v>
      </c>
      <c r="F1640" t="s">
        <v>88</v>
      </c>
      <c r="G1640" t="s">
        <v>419</v>
      </c>
      <c r="H1640" t="s">
        <v>436</v>
      </c>
      <c r="I1640" t="s">
        <v>71</v>
      </c>
      <c r="J1640">
        <v>15</v>
      </c>
      <c r="K1640">
        <v>7</v>
      </c>
      <c r="L1640">
        <v>32800000</v>
      </c>
      <c r="M1640">
        <v>24200000</v>
      </c>
      <c r="N1640" t="s">
        <v>41</v>
      </c>
      <c r="O1640" t="s">
        <v>99</v>
      </c>
      <c r="P1640">
        <v>1</v>
      </c>
      <c r="Q1640">
        <v>1</v>
      </c>
      <c r="R1640">
        <v>1</v>
      </c>
      <c r="S1640">
        <v>1</v>
      </c>
      <c r="T1640">
        <v>6</v>
      </c>
      <c r="U1640">
        <v>3</v>
      </c>
      <c r="V1640">
        <v>19</v>
      </c>
      <c r="W1640">
        <v>16</v>
      </c>
      <c r="X1640">
        <v>16</v>
      </c>
      <c r="Y1640">
        <v>19</v>
      </c>
      <c r="Z1640">
        <v>1</v>
      </c>
      <c r="AA1640">
        <v>3</v>
      </c>
      <c r="AB1640">
        <v>0</v>
      </c>
      <c r="AC1640">
        <v>0</v>
      </c>
      <c r="AD1640">
        <v>13</v>
      </c>
      <c r="AE1640">
        <v>7</v>
      </c>
      <c r="AF1640">
        <v>6</v>
      </c>
      <c r="AG1640">
        <v>3</v>
      </c>
      <c r="AH1640">
        <v>0</v>
      </c>
      <c r="AI1640">
        <v>0</v>
      </c>
    </row>
    <row r="1641" spans="1:35" hidden="1" x14ac:dyDescent="0.25">
      <c r="A1641">
        <v>2020</v>
      </c>
      <c r="B1641" s="1">
        <v>44122</v>
      </c>
      <c r="C1641">
        <v>17</v>
      </c>
      <c r="D1641">
        <v>0</v>
      </c>
      <c r="E1641">
        <v>49205</v>
      </c>
      <c r="F1641" t="s">
        <v>88</v>
      </c>
      <c r="G1641" t="s">
        <v>77</v>
      </c>
      <c r="H1641" t="s">
        <v>429</v>
      </c>
      <c r="I1641" t="s">
        <v>430</v>
      </c>
      <c r="J1641">
        <v>15</v>
      </c>
      <c r="K1641">
        <v>3</v>
      </c>
      <c r="L1641">
        <v>25600000</v>
      </c>
      <c r="M1641">
        <v>51250000</v>
      </c>
      <c r="N1641" t="s">
        <v>107</v>
      </c>
      <c r="O1641" t="s">
        <v>116</v>
      </c>
      <c r="P1641">
        <v>1</v>
      </c>
      <c r="Q1641">
        <v>5</v>
      </c>
      <c r="R1641">
        <v>0</v>
      </c>
      <c r="S1641">
        <v>1</v>
      </c>
      <c r="T1641">
        <v>10</v>
      </c>
      <c r="U1641">
        <v>3</v>
      </c>
      <c r="V1641">
        <v>14</v>
      </c>
      <c r="W1641">
        <v>13</v>
      </c>
      <c r="X1641">
        <v>13</v>
      </c>
      <c r="Y1641">
        <v>14</v>
      </c>
      <c r="Z1641">
        <v>1</v>
      </c>
      <c r="AA1641">
        <v>6</v>
      </c>
      <c r="AB1641">
        <v>1</v>
      </c>
      <c r="AC1641">
        <v>2</v>
      </c>
      <c r="AD1641">
        <v>19</v>
      </c>
      <c r="AE1641">
        <v>9</v>
      </c>
      <c r="AF1641">
        <v>8</v>
      </c>
      <c r="AG1641">
        <v>1</v>
      </c>
      <c r="AH1641">
        <v>-4</v>
      </c>
      <c r="AI1641">
        <v>0</v>
      </c>
    </row>
    <row r="1642" spans="1:35" hidden="1" x14ac:dyDescent="0.25">
      <c r="A1642">
        <v>2020</v>
      </c>
      <c r="B1642" s="1">
        <v>44186</v>
      </c>
      <c r="C1642">
        <v>26</v>
      </c>
      <c r="D1642">
        <v>0</v>
      </c>
      <c r="E1642">
        <v>49205</v>
      </c>
      <c r="F1642" t="s">
        <v>88</v>
      </c>
      <c r="G1642" t="s">
        <v>416</v>
      </c>
      <c r="H1642" t="s">
        <v>429</v>
      </c>
      <c r="I1642" t="s">
        <v>380</v>
      </c>
      <c r="J1642">
        <v>9</v>
      </c>
      <c r="K1642">
        <v>19</v>
      </c>
      <c r="L1642">
        <v>28500000</v>
      </c>
      <c r="M1642">
        <v>5430000</v>
      </c>
      <c r="N1642" t="s">
        <v>296</v>
      </c>
      <c r="O1642" t="s">
        <v>221</v>
      </c>
      <c r="P1642">
        <v>2</v>
      </c>
      <c r="Q1642">
        <v>1</v>
      </c>
      <c r="R1642">
        <v>1</v>
      </c>
      <c r="S1642">
        <v>1</v>
      </c>
      <c r="T1642">
        <v>12</v>
      </c>
      <c r="U1642">
        <v>4</v>
      </c>
      <c r="V1642">
        <v>11</v>
      </c>
      <c r="W1642">
        <v>15</v>
      </c>
      <c r="X1642">
        <v>14</v>
      </c>
      <c r="Y1642">
        <v>11</v>
      </c>
      <c r="Z1642">
        <v>6</v>
      </c>
      <c r="AA1642">
        <v>4</v>
      </c>
      <c r="AB1642">
        <v>5</v>
      </c>
      <c r="AC1642">
        <v>2</v>
      </c>
      <c r="AD1642">
        <v>19</v>
      </c>
      <c r="AE1642">
        <v>17</v>
      </c>
      <c r="AF1642">
        <v>10</v>
      </c>
      <c r="AG1642">
        <v>6</v>
      </c>
      <c r="AH1642">
        <v>1</v>
      </c>
      <c r="AI1642">
        <v>1</v>
      </c>
    </row>
    <row r="1643" spans="1:35" hidden="1" x14ac:dyDescent="0.25">
      <c r="A1643">
        <v>2020</v>
      </c>
      <c r="B1643" s="1">
        <v>44231</v>
      </c>
      <c r="C1643">
        <v>34</v>
      </c>
      <c r="D1643">
        <v>0</v>
      </c>
      <c r="E1643">
        <v>49205</v>
      </c>
      <c r="F1643" t="s">
        <v>88</v>
      </c>
      <c r="G1643" t="s">
        <v>361</v>
      </c>
      <c r="H1643" t="s">
        <v>429</v>
      </c>
      <c r="I1643" t="s">
        <v>340</v>
      </c>
      <c r="J1643">
        <v>11</v>
      </c>
      <c r="K1643">
        <v>10</v>
      </c>
      <c r="L1643">
        <v>29100000</v>
      </c>
      <c r="M1643">
        <v>6750000</v>
      </c>
      <c r="N1643" t="s">
        <v>66</v>
      </c>
      <c r="O1643" t="s">
        <v>73</v>
      </c>
      <c r="P1643">
        <v>2</v>
      </c>
      <c r="Q1643">
        <v>1</v>
      </c>
      <c r="R1643">
        <v>2</v>
      </c>
      <c r="S1643">
        <v>1</v>
      </c>
      <c r="T1643">
        <v>8</v>
      </c>
      <c r="U1643">
        <v>3</v>
      </c>
      <c r="V1643">
        <v>18</v>
      </c>
      <c r="W1643">
        <v>14</v>
      </c>
      <c r="X1643">
        <v>13</v>
      </c>
      <c r="Y1643">
        <v>18</v>
      </c>
      <c r="Z1643">
        <v>0</v>
      </c>
      <c r="AA1643">
        <v>5</v>
      </c>
      <c r="AB1643">
        <v>2</v>
      </c>
      <c r="AC1643">
        <v>2</v>
      </c>
      <c r="AD1643">
        <v>18</v>
      </c>
      <c r="AE1643">
        <v>7</v>
      </c>
      <c r="AF1643">
        <v>6</v>
      </c>
      <c r="AG1643">
        <v>4</v>
      </c>
      <c r="AH1643">
        <v>1</v>
      </c>
      <c r="AI1643">
        <v>1</v>
      </c>
    </row>
    <row r="1644" spans="1:35" hidden="1" x14ac:dyDescent="0.25">
      <c r="A1644">
        <v>2020</v>
      </c>
      <c r="B1644" s="1">
        <v>44059</v>
      </c>
      <c r="C1644">
        <v>3</v>
      </c>
      <c r="D1644">
        <v>0</v>
      </c>
      <c r="E1644">
        <v>37182</v>
      </c>
      <c r="F1644" t="s">
        <v>321</v>
      </c>
      <c r="G1644" t="s">
        <v>77</v>
      </c>
      <c r="H1644" t="s">
        <v>367</v>
      </c>
      <c r="I1644" t="s">
        <v>430</v>
      </c>
      <c r="J1644">
        <v>17</v>
      </c>
      <c r="K1644">
        <v>20</v>
      </c>
      <c r="L1644">
        <v>6630000</v>
      </c>
      <c r="M1644">
        <v>71500000</v>
      </c>
      <c r="N1644" t="s">
        <v>135</v>
      </c>
      <c r="O1644" t="s">
        <v>209</v>
      </c>
      <c r="P1644">
        <v>0</v>
      </c>
      <c r="Q1644">
        <v>1</v>
      </c>
      <c r="R1644">
        <v>0</v>
      </c>
      <c r="S1644">
        <v>1</v>
      </c>
      <c r="T1644">
        <v>4</v>
      </c>
      <c r="U1644">
        <v>5</v>
      </c>
      <c r="V1644">
        <v>25</v>
      </c>
      <c r="W1644">
        <v>16</v>
      </c>
      <c r="X1644">
        <v>16</v>
      </c>
      <c r="Y1644">
        <v>24</v>
      </c>
      <c r="Z1644">
        <v>6</v>
      </c>
      <c r="AA1644">
        <v>3</v>
      </c>
      <c r="AB1644">
        <v>2</v>
      </c>
      <c r="AC1644">
        <v>1</v>
      </c>
      <c r="AD1644">
        <v>8</v>
      </c>
      <c r="AE1644">
        <v>18</v>
      </c>
      <c r="AF1644">
        <v>2</v>
      </c>
      <c r="AG1644">
        <v>5</v>
      </c>
      <c r="AH1644">
        <v>-1</v>
      </c>
      <c r="AI1644">
        <v>0</v>
      </c>
    </row>
    <row r="1645" spans="1:35" hidden="1" x14ac:dyDescent="0.25">
      <c r="A1645">
        <v>2020</v>
      </c>
      <c r="B1645" s="1">
        <v>44081</v>
      </c>
      <c r="C1645">
        <v>8</v>
      </c>
      <c r="D1645">
        <v>0</v>
      </c>
      <c r="E1645">
        <v>37182</v>
      </c>
      <c r="F1645" t="s">
        <v>321</v>
      </c>
      <c r="G1645" t="s">
        <v>89</v>
      </c>
      <c r="J1645">
        <v>16</v>
      </c>
      <c r="K1645">
        <v>3</v>
      </c>
      <c r="P1645">
        <v>0</v>
      </c>
      <c r="Q1645">
        <v>1</v>
      </c>
      <c r="R1645">
        <v>0</v>
      </c>
      <c r="S1645">
        <v>1</v>
      </c>
      <c r="T1645">
        <v>4</v>
      </c>
      <c r="U1645">
        <v>4</v>
      </c>
      <c r="V1645">
        <v>14</v>
      </c>
      <c r="W1645">
        <v>19</v>
      </c>
      <c r="X1645">
        <v>16</v>
      </c>
      <c r="Y1645">
        <v>13</v>
      </c>
      <c r="Z1645">
        <v>1</v>
      </c>
      <c r="AA1645">
        <v>3</v>
      </c>
      <c r="AB1645">
        <v>0</v>
      </c>
      <c r="AC1645">
        <v>2</v>
      </c>
      <c r="AD1645">
        <v>13</v>
      </c>
      <c r="AE1645">
        <v>19</v>
      </c>
      <c r="AF1645">
        <v>5</v>
      </c>
      <c r="AG1645">
        <v>12</v>
      </c>
      <c r="AH1645">
        <v>-1</v>
      </c>
      <c r="AI1645">
        <v>0</v>
      </c>
    </row>
    <row r="1646" spans="1:35" hidden="1" x14ac:dyDescent="0.25">
      <c r="A1646">
        <v>2020</v>
      </c>
      <c r="B1646" s="1">
        <v>44149</v>
      </c>
      <c r="C1646">
        <v>21</v>
      </c>
      <c r="D1646">
        <v>0</v>
      </c>
      <c r="E1646">
        <v>37182</v>
      </c>
      <c r="F1646" t="s">
        <v>321</v>
      </c>
      <c r="G1646" t="s">
        <v>38</v>
      </c>
      <c r="H1646" t="s">
        <v>431</v>
      </c>
      <c r="I1646" t="s">
        <v>240</v>
      </c>
      <c r="J1646">
        <v>17</v>
      </c>
      <c r="K1646">
        <v>9</v>
      </c>
      <c r="L1646">
        <v>9150000</v>
      </c>
      <c r="M1646">
        <v>8050000</v>
      </c>
      <c r="N1646" t="s">
        <v>120</v>
      </c>
      <c r="O1646" t="s">
        <v>134</v>
      </c>
      <c r="P1646">
        <v>1</v>
      </c>
      <c r="Q1646">
        <v>2</v>
      </c>
      <c r="R1646">
        <v>1</v>
      </c>
      <c r="S1646">
        <v>1</v>
      </c>
      <c r="T1646">
        <v>7</v>
      </c>
      <c r="U1646">
        <v>5</v>
      </c>
      <c r="V1646">
        <v>12</v>
      </c>
      <c r="W1646">
        <v>12</v>
      </c>
      <c r="X1646">
        <v>11</v>
      </c>
      <c r="Y1646">
        <v>10</v>
      </c>
      <c r="Z1646">
        <v>3</v>
      </c>
      <c r="AA1646">
        <v>1</v>
      </c>
      <c r="AB1646">
        <v>1</v>
      </c>
      <c r="AC1646">
        <v>1</v>
      </c>
      <c r="AD1646">
        <v>16</v>
      </c>
      <c r="AE1646">
        <v>15</v>
      </c>
      <c r="AF1646">
        <v>8</v>
      </c>
      <c r="AG1646">
        <v>6</v>
      </c>
      <c r="AH1646">
        <v>-1</v>
      </c>
      <c r="AI1646">
        <v>0</v>
      </c>
    </row>
    <row r="1647" spans="1:35" hidden="1" x14ac:dyDescent="0.25">
      <c r="A1647">
        <v>2020</v>
      </c>
      <c r="B1647" s="1">
        <v>44161</v>
      </c>
      <c r="C1647">
        <v>23</v>
      </c>
      <c r="D1647">
        <v>0</v>
      </c>
      <c r="E1647">
        <v>37182</v>
      </c>
      <c r="F1647" t="s">
        <v>321</v>
      </c>
      <c r="G1647" t="s">
        <v>88</v>
      </c>
      <c r="H1647" t="s">
        <v>431</v>
      </c>
      <c r="I1647" t="s">
        <v>429</v>
      </c>
      <c r="J1647">
        <v>18</v>
      </c>
      <c r="K1647">
        <v>15</v>
      </c>
      <c r="L1647">
        <v>8650000</v>
      </c>
      <c r="M1647">
        <v>33000000</v>
      </c>
      <c r="N1647" t="s">
        <v>74</v>
      </c>
      <c r="O1647" t="s">
        <v>135</v>
      </c>
      <c r="P1647">
        <v>0</v>
      </c>
      <c r="Q1647">
        <v>1</v>
      </c>
      <c r="R1647">
        <v>0</v>
      </c>
      <c r="S1647">
        <v>1</v>
      </c>
      <c r="T1647">
        <v>4</v>
      </c>
      <c r="U1647">
        <v>3</v>
      </c>
      <c r="V1647">
        <v>13</v>
      </c>
      <c r="W1647">
        <v>25</v>
      </c>
      <c r="X1647">
        <v>24</v>
      </c>
      <c r="Y1647">
        <v>10</v>
      </c>
      <c r="Z1647">
        <v>1</v>
      </c>
      <c r="AA1647">
        <v>3</v>
      </c>
      <c r="AB1647">
        <v>1</v>
      </c>
      <c r="AC1647">
        <v>2</v>
      </c>
      <c r="AD1647">
        <v>11</v>
      </c>
      <c r="AE1647">
        <v>11</v>
      </c>
      <c r="AF1647">
        <v>6</v>
      </c>
      <c r="AG1647">
        <v>5</v>
      </c>
      <c r="AH1647">
        <v>-1</v>
      </c>
      <c r="AI1647">
        <v>0</v>
      </c>
    </row>
    <row r="1648" spans="1:35" hidden="1" x14ac:dyDescent="0.25">
      <c r="A1648">
        <v>2020</v>
      </c>
      <c r="B1648" s="1">
        <v>44227</v>
      </c>
      <c r="C1648">
        <v>33</v>
      </c>
      <c r="D1648">
        <v>0</v>
      </c>
      <c r="E1648">
        <v>37182</v>
      </c>
      <c r="F1648" t="s">
        <v>321</v>
      </c>
      <c r="G1648" t="s">
        <v>83</v>
      </c>
      <c r="H1648" t="s">
        <v>358</v>
      </c>
      <c r="I1648" t="s">
        <v>85</v>
      </c>
      <c r="J1648">
        <v>19</v>
      </c>
      <c r="K1648">
        <v>6</v>
      </c>
      <c r="L1648">
        <v>6480000</v>
      </c>
      <c r="M1648">
        <v>23250000</v>
      </c>
      <c r="N1648" t="s">
        <v>233</v>
      </c>
      <c r="O1648" t="s">
        <v>168</v>
      </c>
      <c r="P1648">
        <v>1</v>
      </c>
      <c r="Q1648">
        <v>1</v>
      </c>
      <c r="R1648">
        <v>0</v>
      </c>
      <c r="S1648">
        <v>1</v>
      </c>
      <c r="T1648">
        <v>2</v>
      </c>
      <c r="U1648">
        <v>3</v>
      </c>
      <c r="V1648">
        <v>26</v>
      </c>
      <c r="W1648">
        <v>12</v>
      </c>
      <c r="X1648">
        <v>11</v>
      </c>
      <c r="Y1648">
        <v>26</v>
      </c>
      <c r="Z1648">
        <v>2</v>
      </c>
      <c r="AA1648">
        <v>1</v>
      </c>
      <c r="AB1648">
        <v>0</v>
      </c>
      <c r="AC1648">
        <v>2</v>
      </c>
      <c r="AD1648">
        <v>8</v>
      </c>
      <c r="AE1648">
        <v>20</v>
      </c>
      <c r="AF1648">
        <v>4</v>
      </c>
      <c r="AG1648">
        <v>13</v>
      </c>
      <c r="AH1648">
        <v>0</v>
      </c>
      <c r="AI1648">
        <v>0</v>
      </c>
    </row>
    <row r="1649" spans="1:35" hidden="1" x14ac:dyDescent="0.25">
      <c r="A1649">
        <v>2020</v>
      </c>
      <c r="B1649" s="1">
        <v>44055</v>
      </c>
      <c r="C1649">
        <v>2</v>
      </c>
      <c r="D1649">
        <v>0</v>
      </c>
      <c r="E1649">
        <v>42372</v>
      </c>
      <c r="F1649" t="s">
        <v>69</v>
      </c>
      <c r="G1649" t="s">
        <v>416</v>
      </c>
      <c r="H1649" t="s">
        <v>315</v>
      </c>
      <c r="I1649" t="s">
        <v>441</v>
      </c>
      <c r="J1649">
        <v>2</v>
      </c>
      <c r="K1649">
        <v>20</v>
      </c>
      <c r="L1649">
        <v>14230000</v>
      </c>
      <c r="M1649">
        <v>7400000</v>
      </c>
      <c r="N1649" t="s">
        <v>116</v>
      </c>
      <c r="O1649" t="s">
        <v>221</v>
      </c>
      <c r="P1649">
        <v>2</v>
      </c>
      <c r="Q1649">
        <v>1</v>
      </c>
      <c r="R1649">
        <v>1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</v>
      </c>
      <c r="AE1649">
        <v>1</v>
      </c>
      <c r="AF1649">
        <v>0</v>
      </c>
      <c r="AG1649">
        <v>0</v>
      </c>
      <c r="AH1649">
        <v>1</v>
      </c>
      <c r="AI1649">
        <v>1</v>
      </c>
    </row>
    <row r="1650" spans="1:35" hidden="1" x14ac:dyDescent="0.25">
      <c r="A1650">
        <v>2020</v>
      </c>
      <c r="B1650" s="1">
        <v>44065</v>
      </c>
      <c r="C1650">
        <v>5</v>
      </c>
      <c r="D1650">
        <v>0</v>
      </c>
      <c r="E1650">
        <v>42372</v>
      </c>
      <c r="F1650" t="s">
        <v>69</v>
      </c>
      <c r="G1650" t="s">
        <v>55</v>
      </c>
      <c r="H1650" t="s">
        <v>315</v>
      </c>
      <c r="I1650" t="s">
        <v>328</v>
      </c>
      <c r="J1650">
        <v>7</v>
      </c>
      <c r="K1650">
        <v>14</v>
      </c>
      <c r="L1650">
        <v>14150000</v>
      </c>
      <c r="M1650">
        <v>15900000</v>
      </c>
      <c r="N1650" t="s">
        <v>122</v>
      </c>
      <c r="O1650" t="s">
        <v>122</v>
      </c>
      <c r="P1650">
        <v>0</v>
      </c>
      <c r="Q1650">
        <v>1</v>
      </c>
      <c r="R1650">
        <v>0</v>
      </c>
      <c r="S1650">
        <v>1</v>
      </c>
      <c r="T1650">
        <v>7</v>
      </c>
      <c r="U1650">
        <v>2</v>
      </c>
      <c r="V1650">
        <v>21</v>
      </c>
      <c r="W1650">
        <v>12</v>
      </c>
      <c r="X1650">
        <v>11</v>
      </c>
      <c r="Y1650">
        <v>21</v>
      </c>
      <c r="Z1650">
        <v>2</v>
      </c>
      <c r="AA1650">
        <v>5</v>
      </c>
      <c r="AB1650">
        <v>1</v>
      </c>
      <c r="AC1650">
        <v>2</v>
      </c>
      <c r="AD1650">
        <v>14</v>
      </c>
      <c r="AE1650">
        <v>9</v>
      </c>
      <c r="AF1650">
        <v>6</v>
      </c>
      <c r="AG1650">
        <v>3</v>
      </c>
      <c r="AH1650">
        <v>-1</v>
      </c>
      <c r="AI1650">
        <v>0</v>
      </c>
    </row>
    <row r="1651" spans="1:35" hidden="1" x14ac:dyDescent="0.25">
      <c r="A1651">
        <v>2020</v>
      </c>
      <c r="B1651" s="1">
        <v>44077</v>
      </c>
      <c r="C1651">
        <v>7</v>
      </c>
      <c r="D1651">
        <v>0</v>
      </c>
      <c r="E1651">
        <v>42372</v>
      </c>
      <c r="F1651" t="s">
        <v>69</v>
      </c>
      <c r="G1651" t="s">
        <v>56</v>
      </c>
      <c r="H1651" t="s">
        <v>286</v>
      </c>
      <c r="I1651" t="s">
        <v>388</v>
      </c>
      <c r="J1651">
        <v>8</v>
      </c>
      <c r="K1651">
        <v>17</v>
      </c>
      <c r="L1651">
        <v>13580000</v>
      </c>
      <c r="M1651">
        <v>15750000</v>
      </c>
      <c r="N1651" t="s">
        <v>278</v>
      </c>
      <c r="O1651" t="s">
        <v>171</v>
      </c>
      <c r="P1651">
        <v>1</v>
      </c>
      <c r="Q1651">
        <v>1</v>
      </c>
      <c r="R1651">
        <v>1</v>
      </c>
      <c r="S1651">
        <v>1</v>
      </c>
      <c r="T1651">
        <v>2</v>
      </c>
      <c r="U1651">
        <v>8</v>
      </c>
      <c r="V1651">
        <v>15</v>
      </c>
      <c r="W1651">
        <v>12</v>
      </c>
      <c r="X1651">
        <v>11</v>
      </c>
      <c r="Y1651">
        <v>13</v>
      </c>
      <c r="Z1651">
        <v>2</v>
      </c>
      <c r="AA1651">
        <v>4</v>
      </c>
      <c r="AB1651">
        <v>1</v>
      </c>
      <c r="AC1651">
        <v>0</v>
      </c>
      <c r="AD1651">
        <v>11</v>
      </c>
      <c r="AE1651">
        <v>18</v>
      </c>
      <c r="AF1651">
        <v>3</v>
      </c>
      <c r="AG1651">
        <v>8</v>
      </c>
      <c r="AH1651">
        <v>0</v>
      </c>
      <c r="AI1651">
        <v>0</v>
      </c>
    </row>
    <row r="1652" spans="1:35" hidden="1" x14ac:dyDescent="0.25">
      <c r="A1652">
        <v>2020</v>
      </c>
      <c r="B1652" s="1">
        <v>44142</v>
      </c>
      <c r="C1652">
        <v>20</v>
      </c>
      <c r="D1652">
        <v>0</v>
      </c>
      <c r="E1652">
        <v>42372</v>
      </c>
      <c r="F1652" t="s">
        <v>69</v>
      </c>
      <c r="G1652" t="s">
        <v>63</v>
      </c>
      <c r="H1652" t="s">
        <v>334</v>
      </c>
      <c r="I1652" t="s">
        <v>40</v>
      </c>
      <c r="J1652">
        <v>17</v>
      </c>
      <c r="K1652">
        <v>9</v>
      </c>
      <c r="L1652">
        <v>18800000</v>
      </c>
      <c r="M1652">
        <v>8200000</v>
      </c>
      <c r="N1652" t="s">
        <v>117</v>
      </c>
      <c r="O1652" t="s">
        <v>200</v>
      </c>
      <c r="P1652">
        <v>2</v>
      </c>
      <c r="Q1652">
        <v>1</v>
      </c>
      <c r="R1652">
        <v>0</v>
      </c>
      <c r="S1652">
        <v>1</v>
      </c>
      <c r="T1652">
        <v>10</v>
      </c>
      <c r="U1652">
        <v>3</v>
      </c>
      <c r="V1652">
        <v>20</v>
      </c>
      <c r="W1652">
        <v>14</v>
      </c>
      <c r="X1652">
        <v>14</v>
      </c>
      <c r="Y1652">
        <v>20</v>
      </c>
      <c r="Z1652">
        <v>2</v>
      </c>
      <c r="AA1652">
        <v>4</v>
      </c>
      <c r="AB1652">
        <v>3</v>
      </c>
      <c r="AC1652">
        <v>4</v>
      </c>
      <c r="AD1652">
        <v>21</v>
      </c>
      <c r="AE1652">
        <v>11</v>
      </c>
      <c r="AF1652">
        <v>7</v>
      </c>
      <c r="AG1652">
        <v>4</v>
      </c>
      <c r="AH1652">
        <v>1</v>
      </c>
      <c r="AI1652">
        <v>1</v>
      </c>
    </row>
    <row r="1653" spans="1:35" hidden="1" x14ac:dyDescent="0.25">
      <c r="A1653">
        <v>2020</v>
      </c>
      <c r="B1653" s="1">
        <v>44177</v>
      </c>
      <c r="C1653">
        <v>25</v>
      </c>
      <c r="D1653">
        <v>0</v>
      </c>
      <c r="E1653">
        <v>42372</v>
      </c>
      <c r="F1653" t="s">
        <v>69</v>
      </c>
      <c r="G1653" t="s">
        <v>89</v>
      </c>
      <c r="H1653" t="s">
        <v>334</v>
      </c>
      <c r="I1653" t="s">
        <v>329</v>
      </c>
      <c r="J1653">
        <v>12</v>
      </c>
      <c r="K1653">
        <v>3</v>
      </c>
      <c r="L1653">
        <v>21300000</v>
      </c>
      <c r="M1653">
        <v>43600000</v>
      </c>
      <c r="N1653">
        <v>25</v>
      </c>
      <c r="O1653" t="s">
        <v>149</v>
      </c>
      <c r="P1653">
        <v>0</v>
      </c>
      <c r="Q1653">
        <v>1</v>
      </c>
      <c r="R1653">
        <v>0</v>
      </c>
      <c r="S1653">
        <v>1</v>
      </c>
      <c r="T1653">
        <v>5</v>
      </c>
      <c r="U1653">
        <v>3</v>
      </c>
      <c r="V1653">
        <v>20</v>
      </c>
      <c r="W1653">
        <v>13</v>
      </c>
      <c r="X1653">
        <v>12</v>
      </c>
      <c r="Y1653">
        <v>19</v>
      </c>
      <c r="Z1653">
        <v>2</v>
      </c>
      <c r="AA1653">
        <v>5</v>
      </c>
      <c r="AB1653">
        <v>4</v>
      </c>
      <c r="AC1653">
        <v>4</v>
      </c>
      <c r="AD1653">
        <v>16</v>
      </c>
      <c r="AE1653">
        <v>10</v>
      </c>
      <c r="AF1653">
        <v>8</v>
      </c>
      <c r="AG1653">
        <v>5</v>
      </c>
      <c r="AH1653">
        <v>-1</v>
      </c>
      <c r="AI1653">
        <v>0</v>
      </c>
    </row>
    <row r="1654" spans="1:35" hidden="1" x14ac:dyDescent="0.25">
      <c r="A1654">
        <v>2020</v>
      </c>
      <c r="B1654" s="1">
        <v>44220</v>
      </c>
      <c r="C1654">
        <v>32</v>
      </c>
      <c r="D1654">
        <v>0</v>
      </c>
      <c r="E1654">
        <v>42372</v>
      </c>
      <c r="F1654" t="s">
        <v>69</v>
      </c>
      <c r="G1654" t="s">
        <v>77</v>
      </c>
      <c r="H1654" t="s">
        <v>334</v>
      </c>
      <c r="I1654" t="s">
        <v>40</v>
      </c>
      <c r="J1654">
        <v>12</v>
      </c>
      <c r="K1654">
        <v>2</v>
      </c>
      <c r="L1654">
        <v>20600000</v>
      </c>
      <c r="M1654">
        <v>72850000</v>
      </c>
      <c r="N1654" t="s">
        <v>163</v>
      </c>
      <c r="O1654" t="s">
        <v>100</v>
      </c>
      <c r="P1654">
        <v>2</v>
      </c>
      <c r="Q1654">
        <v>1</v>
      </c>
      <c r="R1654">
        <v>1</v>
      </c>
      <c r="S1654">
        <v>1</v>
      </c>
      <c r="T1654">
        <v>3</v>
      </c>
      <c r="U1654">
        <v>3</v>
      </c>
      <c r="V1654">
        <v>20</v>
      </c>
      <c r="W1654">
        <v>11</v>
      </c>
      <c r="X1654">
        <v>9</v>
      </c>
      <c r="Y1654">
        <v>20</v>
      </c>
      <c r="Z1654">
        <v>1</v>
      </c>
      <c r="AA1654">
        <v>6</v>
      </c>
      <c r="AB1654">
        <v>4</v>
      </c>
      <c r="AC1654">
        <v>1</v>
      </c>
      <c r="AD1654">
        <v>11</v>
      </c>
      <c r="AE1654">
        <v>12</v>
      </c>
      <c r="AF1654">
        <v>1</v>
      </c>
      <c r="AG1654">
        <v>4</v>
      </c>
      <c r="AH1654">
        <v>1</v>
      </c>
      <c r="AI1654">
        <v>1</v>
      </c>
    </row>
    <row r="1655" spans="1:35" hidden="1" x14ac:dyDescent="0.25">
      <c r="A1655">
        <v>2020</v>
      </c>
      <c r="B1655" s="1">
        <v>44081</v>
      </c>
      <c r="C1655">
        <v>8</v>
      </c>
      <c r="D1655">
        <v>0</v>
      </c>
      <c r="E1655">
        <v>13000</v>
      </c>
      <c r="F1655" t="s">
        <v>76</v>
      </c>
      <c r="G1655" t="s">
        <v>83</v>
      </c>
      <c r="H1655" t="s">
        <v>429</v>
      </c>
      <c r="I1655" t="s">
        <v>85</v>
      </c>
      <c r="J1655">
        <v>19</v>
      </c>
      <c r="K1655">
        <v>11</v>
      </c>
      <c r="L1655">
        <v>7100000</v>
      </c>
      <c r="M1655">
        <v>37100000</v>
      </c>
      <c r="N1655" t="s">
        <v>145</v>
      </c>
      <c r="O1655" t="s">
        <v>166</v>
      </c>
      <c r="P1655">
        <v>1</v>
      </c>
      <c r="Q1655">
        <v>1</v>
      </c>
      <c r="R1655">
        <v>1</v>
      </c>
      <c r="S1655">
        <v>1</v>
      </c>
      <c r="T1655">
        <v>3</v>
      </c>
      <c r="U1655">
        <v>3</v>
      </c>
      <c r="V1655">
        <v>16</v>
      </c>
      <c r="W1655">
        <v>13</v>
      </c>
      <c r="X1655">
        <v>12</v>
      </c>
      <c r="Y1655">
        <v>16</v>
      </c>
      <c r="Z1655">
        <v>1</v>
      </c>
      <c r="AA1655">
        <v>1</v>
      </c>
      <c r="AB1655">
        <v>0</v>
      </c>
      <c r="AC1655">
        <v>1</v>
      </c>
      <c r="AD1655">
        <v>8</v>
      </c>
      <c r="AE1655">
        <v>6</v>
      </c>
      <c r="AF1655">
        <v>6</v>
      </c>
      <c r="AG1655">
        <v>4</v>
      </c>
      <c r="AH1655">
        <v>0</v>
      </c>
      <c r="AI1655">
        <v>0</v>
      </c>
    </row>
    <row r="1656" spans="1:35" hidden="1" x14ac:dyDescent="0.25">
      <c r="A1656">
        <v>2020</v>
      </c>
      <c r="B1656" s="1">
        <v>44101</v>
      </c>
      <c r="C1656">
        <v>12</v>
      </c>
      <c r="D1656">
        <v>0</v>
      </c>
      <c r="E1656">
        <v>13000</v>
      </c>
      <c r="F1656" t="s">
        <v>76</v>
      </c>
      <c r="G1656" t="s">
        <v>51</v>
      </c>
      <c r="H1656" t="s">
        <v>429</v>
      </c>
      <c r="I1656" t="s">
        <v>334</v>
      </c>
      <c r="J1656">
        <v>15</v>
      </c>
      <c r="K1656">
        <v>19</v>
      </c>
      <c r="L1656">
        <v>9600000</v>
      </c>
      <c r="M1656">
        <v>8200000</v>
      </c>
      <c r="N1656" t="s">
        <v>239</v>
      </c>
      <c r="O1656" t="s">
        <v>189</v>
      </c>
      <c r="P1656">
        <v>1</v>
      </c>
      <c r="Q1656">
        <v>1</v>
      </c>
      <c r="R1656">
        <v>0</v>
      </c>
      <c r="S1656">
        <v>1</v>
      </c>
      <c r="T1656">
        <v>7</v>
      </c>
      <c r="U1656">
        <v>5</v>
      </c>
      <c r="V1656">
        <v>16</v>
      </c>
      <c r="W1656">
        <v>12</v>
      </c>
      <c r="X1656">
        <v>11</v>
      </c>
      <c r="Y1656">
        <v>14</v>
      </c>
      <c r="Z1656">
        <v>4</v>
      </c>
      <c r="AA1656">
        <v>1</v>
      </c>
      <c r="AB1656">
        <v>2</v>
      </c>
      <c r="AC1656">
        <v>0</v>
      </c>
      <c r="AD1656">
        <v>10</v>
      </c>
      <c r="AE1656">
        <v>16</v>
      </c>
      <c r="AF1656">
        <v>5</v>
      </c>
      <c r="AG1656">
        <v>6</v>
      </c>
      <c r="AH1656">
        <v>0</v>
      </c>
      <c r="AI1656">
        <v>0</v>
      </c>
    </row>
    <row r="1657" spans="1:35" hidden="1" x14ac:dyDescent="0.25">
      <c r="A1657">
        <v>2020</v>
      </c>
      <c r="B1657" s="1">
        <v>44115</v>
      </c>
      <c r="C1657">
        <v>15</v>
      </c>
      <c r="D1657">
        <v>0</v>
      </c>
      <c r="E1657">
        <v>13000</v>
      </c>
      <c r="F1657" t="s">
        <v>76</v>
      </c>
      <c r="G1657" t="s">
        <v>56</v>
      </c>
      <c r="H1657" t="s">
        <v>429</v>
      </c>
      <c r="I1657" t="s">
        <v>341</v>
      </c>
      <c r="J1657">
        <v>16</v>
      </c>
      <c r="K1657">
        <v>19</v>
      </c>
      <c r="L1657">
        <v>8800000</v>
      </c>
      <c r="M1657">
        <v>7350000</v>
      </c>
      <c r="N1657" t="s">
        <v>270</v>
      </c>
      <c r="O1657" t="s">
        <v>129</v>
      </c>
      <c r="P1657">
        <v>2</v>
      </c>
      <c r="Q1657">
        <v>1</v>
      </c>
      <c r="R1657">
        <v>1</v>
      </c>
      <c r="S1657">
        <v>1</v>
      </c>
      <c r="T1657">
        <v>7</v>
      </c>
      <c r="U1657">
        <v>11</v>
      </c>
      <c r="V1657">
        <v>17</v>
      </c>
      <c r="W1657">
        <v>18</v>
      </c>
      <c r="X1657">
        <v>16</v>
      </c>
      <c r="Y1657">
        <v>16</v>
      </c>
      <c r="Z1657">
        <v>4</v>
      </c>
      <c r="AA1657">
        <v>6</v>
      </c>
      <c r="AB1657">
        <v>0</v>
      </c>
      <c r="AC1657">
        <v>2</v>
      </c>
      <c r="AD1657">
        <v>24</v>
      </c>
      <c r="AE1657">
        <v>19</v>
      </c>
      <c r="AF1657">
        <v>13</v>
      </c>
      <c r="AG1657">
        <v>8</v>
      </c>
      <c r="AH1657">
        <v>1</v>
      </c>
      <c r="AI1657">
        <v>1</v>
      </c>
    </row>
    <row r="1658" spans="1:35" hidden="1" x14ac:dyDescent="0.25">
      <c r="A1658">
        <v>2020</v>
      </c>
      <c r="B1658" s="1">
        <v>44129</v>
      </c>
      <c r="C1658">
        <v>18</v>
      </c>
      <c r="D1658">
        <v>0</v>
      </c>
      <c r="E1658">
        <v>13000</v>
      </c>
      <c r="F1658" t="s">
        <v>76</v>
      </c>
      <c r="G1658" t="s">
        <v>95</v>
      </c>
      <c r="H1658" t="s">
        <v>375</v>
      </c>
      <c r="I1658" t="s">
        <v>432</v>
      </c>
      <c r="J1658">
        <v>10</v>
      </c>
      <c r="K1658">
        <v>9</v>
      </c>
      <c r="L1658">
        <v>7900000</v>
      </c>
      <c r="M1658">
        <v>44750000</v>
      </c>
      <c r="N1658" t="s">
        <v>171</v>
      </c>
      <c r="O1658" t="s">
        <v>117</v>
      </c>
      <c r="P1658">
        <v>0</v>
      </c>
      <c r="Q1658">
        <v>3</v>
      </c>
      <c r="R1658">
        <v>0</v>
      </c>
      <c r="S1658">
        <v>1</v>
      </c>
      <c r="T1658">
        <v>6</v>
      </c>
      <c r="U1658">
        <v>3</v>
      </c>
      <c r="V1658">
        <v>15</v>
      </c>
      <c r="W1658">
        <v>17</v>
      </c>
      <c r="X1658">
        <v>17</v>
      </c>
      <c r="Y1658">
        <v>13</v>
      </c>
      <c r="Z1658">
        <v>1</v>
      </c>
      <c r="AA1658">
        <v>5</v>
      </c>
      <c r="AB1658">
        <v>0</v>
      </c>
      <c r="AC1658">
        <v>2</v>
      </c>
      <c r="AD1658">
        <v>20</v>
      </c>
      <c r="AE1658">
        <v>12</v>
      </c>
      <c r="AF1658">
        <v>9</v>
      </c>
      <c r="AG1658">
        <v>6</v>
      </c>
      <c r="AH1658">
        <v>-3</v>
      </c>
      <c r="AI1658">
        <v>0</v>
      </c>
    </row>
    <row r="1659" spans="1:35" hidden="1" x14ac:dyDescent="0.25">
      <c r="A1659">
        <v>2020</v>
      </c>
      <c r="B1659" s="1">
        <v>44172</v>
      </c>
      <c r="C1659">
        <v>24</v>
      </c>
      <c r="D1659">
        <v>0</v>
      </c>
      <c r="E1659">
        <v>13000</v>
      </c>
      <c r="F1659" t="s">
        <v>76</v>
      </c>
      <c r="G1659" t="s">
        <v>416</v>
      </c>
      <c r="H1659" t="s">
        <v>408</v>
      </c>
      <c r="I1659" t="s">
        <v>380</v>
      </c>
      <c r="J1659">
        <v>14</v>
      </c>
      <c r="K1659">
        <v>20</v>
      </c>
      <c r="L1659">
        <v>7800000</v>
      </c>
      <c r="M1659">
        <v>6330000</v>
      </c>
      <c r="N1659" t="s">
        <v>145</v>
      </c>
      <c r="O1659" t="s">
        <v>163</v>
      </c>
      <c r="P1659">
        <v>0</v>
      </c>
      <c r="Q1659">
        <v>1</v>
      </c>
      <c r="R1659">
        <v>0</v>
      </c>
      <c r="S1659">
        <v>1</v>
      </c>
      <c r="T1659">
        <v>15</v>
      </c>
      <c r="U1659">
        <v>1</v>
      </c>
      <c r="V1659">
        <v>17</v>
      </c>
      <c r="W1659">
        <v>21</v>
      </c>
      <c r="X1659">
        <v>21</v>
      </c>
      <c r="Y1659">
        <v>16</v>
      </c>
      <c r="Z1659">
        <v>1</v>
      </c>
      <c r="AA1659">
        <v>3</v>
      </c>
      <c r="AB1659">
        <v>4</v>
      </c>
      <c r="AC1659">
        <v>2</v>
      </c>
      <c r="AD1659">
        <v>12</v>
      </c>
      <c r="AE1659">
        <v>10</v>
      </c>
      <c r="AF1659">
        <v>4</v>
      </c>
      <c r="AG1659">
        <v>7</v>
      </c>
      <c r="AH1659">
        <v>-1</v>
      </c>
      <c r="AI1659">
        <v>0</v>
      </c>
    </row>
    <row r="1660" spans="1:35" hidden="1" x14ac:dyDescent="0.25">
      <c r="A1660">
        <v>2020</v>
      </c>
      <c r="B1660" s="1">
        <v>44227</v>
      </c>
      <c r="C1660">
        <v>33</v>
      </c>
      <c r="D1660">
        <v>0</v>
      </c>
      <c r="E1660">
        <v>13000</v>
      </c>
      <c r="F1660" t="s">
        <v>76</v>
      </c>
      <c r="G1660" t="s">
        <v>62</v>
      </c>
      <c r="H1660" t="s">
        <v>408</v>
      </c>
      <c r="I1660" t="s">
        <v>57</v>
      </c>
      <c r="J1660">
        <v>13</v>
      </c>
      <c r="K1660">
        <v>3</v>
      </c>
      <c r="L1660">
        <v>9200000</v>
      </c>
      <c r="M1660">
        <v>28100000</v>
      </c>
      <c r="N1660" t="s">
        <v>217</v>
      </c>
      <c r="O1660">
        <v>28</v>
      </c>
      <c r="P1660">
        <v>2</v>
      </c>
      <c r="Q1660">
        <v>1</v>
      </c>
      <c r="R1660">
        <v>1</v>
      </c>
      <c r="S1660">
        <v>1</v>
      </c>
      <c r="T1660">
        <v>8</v>
      </c>
      <c r="U1660">
        <v>5</v>
      </c>
      <c r="V1660">
        <v>13</v>
      </c>
      <c r="W1660">
        <v>9</v>
      </c>
      <c r="X1660">
        <v>8</v>
      </c>
      <c r="Y1660">
        <v>13</v>
      </c>
      <c r="Z1660">
        <v>2</v>
      </c>
      <c r="AA1660">
        <v>1</v>
      </c>
      <c r="AB1660">
        <v>1</v>
      </c>
      <c r="AC1660">
        <v>1</v>
      </c>
      <c r="AD1660">
        <v>11</v>
      </c>
      <c r="AE1660">
        <v>13</v>
      </c>
      <c r="AF1660">
        <v>4</v>
      </c>
      <c r="AG1660">
        <v>7</v>
      </c>
      <c r="AH1660">
        <v>1</v>
      </c>
      <c r="AI1660">
        <v>1</v>
      </c>
    </row>
    <row r="1661" spans="1:35" hidden="1" x14ac:dyDescent="0.25">
      <c r="A1661">
        <v>2020</v>
      </c>
      <c r="B1661" s="1">
        <v>44119</v>
      </c>
      <c r="C1661">
        <v>16</v>
      </c>
      <c r="D1661">
        <v>0</v>
      </c>
      <c r="E1661">
        <v>57000</v>
      </c>
      <c r="F1661" t="s">
        <v>89</v>
      </c>
      <c r="G1661" t="s">
        <v>55</v>
      </c>
      <c r="H1661" t="s">
        <v>329</v>
      </c>
      <c r="I1661" t="s">
        <v>328</v>
      </c>
      <c r="J1661">
        <v>1</v>
      </c>
      <c r="K1661">
        <v>5</v>
      </c>
      <c r="L1661">
        <v>28600000</v>
      </c>
      <c r="M1661">
        <v>12750000</v>
      </c>
      <c r="N1661" t="s">
        <v>80</v>
      </c>
      <c r="O1661" t="s">
        <v>116</v>
      </c>
      <c r="P1661">
        <v>1</v>
      </c>
      <c r="Q1661">
        <v>1</v>
      </c>
      <c r="R1661">
        <v>0</v>
      </c>
      <c r="S1661">
        <v>1</v>
      </c>
      <c r="T1661">
        <v>9</v>
      </c>
      <c r="U1661">
        <v>4</v>
      </c>
      <c r="V1661">
        <v>11</v>
      </c>
      <c r="W1661">
        <v>9</v>
      </c>
      <c r="X1661">
        <v>9</v>
      </c>
      <c r="Y1661">
        <v>11</v>
      </c>
      <c r="Z1661">
        <v>2</v>
      </c>
      <c r="AA1661">
        <v>7</v>
      </c>
      <c r="AB1661">
        <v>0</v>
      </c>
      <c r="AC1661">
        <v>3</v>
      </c>
      <c r="AD1661">
        <v>13</v>
      </c>
      <c r="AE1661">
        <v>11</v>
      </c>
      <c r="AF1661">
        <v>3</v>
      </c>
      <c r="AG1661">
        <v>6</v>
      </c>
      <c r="AH1661">
        <v>0</v>
      </c>
      <c r="AI1661">
        <v>0</v>
      </c>
    </row>
    <row r="1662" spans="1:35" hidden="1" x14ac:dyDescent="0.25">
      <c r="A1662">
        <v>2020</v>
      </c>
      <c r="B1662" s="1">
        <v>44171</v>
      </c>
      <c r="C1662">
        <v>24</v>
      </c>
      <c r="D1662">
        <v>0</v>
      </c>
      <c r="E1662">
        <v>57000</v>
      </c>
      <c r="F1662" t="s">
        <v>89</v>
      </c>
      <c r="G1662" t="s">
        <v>37</v>
      </c>
      <c r="H1662" t="s">
        <v>329</v>
      </c>
      <c r="I1662" t="s">
        <v>376</v>
      </c>
      <c r="J1662">
        <v>2</v>
      </c>
      <c r="K1662">
        <v>5</v>
      </c>
      <c r="L1662">
        <v>31100000</v>
      </c>
      <c r="M1662">
        <v>25250000</v>
      </c>
      <c r="N1662" t="s">
        <v>98</v>
      </c>
      <c r="O1662" t="s">
        <v>137</v>
      </c>
      <c r="P1662">
        <v>2</v>
      </c>
      <c r="Q1662">
        <v>2</v>
      </c>
      <c r="R1662">
        <v>1</v>
      </c>
      <c r="S1662">
        <v>1</v>
      </c>
      <c r="T1662">
        <v>3</v>
      </c>
      <c r="U1662">
        <v>4</v>
      </c>
      <c r="V1662">
        <v>18</v>
      </c>
      <c r="W1662">
        <v>14</v>
      </c>
      <c r="X1662">
        <v>12</v>
      </c>
      <c r="Y1662">
        <v>17</v>
      </c>
      <c r="Z1662">
        <v>1</v>
      </c>
      <c r="AA1662">
        <v>1</v>
      </c>
      <c r="AB1662">
        <v>4</v>
      </c>
      <c r="AC1662">
        <v>5</v>
      </c>
      <c r="AD1662">
        <v>9</v>
      </c>
      <c r="AE1662">
        <v>10</v>
      </c>
      <c r="AF1662">
        <v>6</v>
      </c>
      <c r="AG1662">
        <v>4</v>
      </c>
      <c r="AH1662">
        <v>0</v>
      </c>
      <c r="AI1662">
        <v>0</v>
      </c>
    </row>
    <row r="1663" spans="1:35" hidden="1" x14ac:dyDescent="0.25">
      <c r="A1663">
        <v>2020</v>
      </c>
      <c r="B1663" s="1">
        <v>44052</v>
      </c>
      <c r="C1663">
        <v>1</v>
      </c>
      <c r="D1663">
        <v>0</v>
      </c>
      <c r="E1663">
        <v>35000</v>
      </c>
      <c r="F1663" t="s">
        <v>391</v>
      </c>
      <c r="G1663" t="s">
        <v>361</v>
      </c>
      <c r="H1663" t="s">
        <v>438</v>
      </c>
      <c r="I1663" t="s">
        <v>340</v>
      </c>
      <c r="J1663">
        <v>3</v>
      </c>
      <c r="K1663">
        <v>14</v>
      </c>
      <c r="L1663">
        <v>7000000</v>
      </c>
      <c r="M1663">
        <v>6180000</v>
      </c>
      <c r="N1663" t="s">
        <v>168</v>
      </c>
      <c r="O1663" t="s">
        <v>166</v>
      </c>
      <c r="P1663">
        <v>3</v>
      </c>
      <c r="Q1663">
        <v>2</v>
      </c>
      <c r="R1663">
        <v>3</v>
      </c>
      <c r="S1663">
        <v>1</v>
      </c>
      <c r="T1663">
        <v>0</v>
      </c>
      <c r="U1663">
        <v>1</v>
      </c>
      <c r="V1663">
        <v>1</v>
      </c>
      <c r="W1663">
        <v>3</v>
      </c>
      <c r="X1663">
        <v>2</v>
      </c>
      <c r="Y1663">
        <v>1</v>
      </c>
      <c r="Z1663">
        <v>0</v>
      </c>
      <c r="AA1663">
        <v>0</v>
      </c>
      <c r="AB1663">
        <v>1</v>
      </c>
      <c r="AC1663">
        <v>0</v>
      </c>
      <c r="AD1663">
        <v>4</v>
      </c>
      <c r="AE1663">
        <v>2</v>
      </c>
      <c r="AF1663">
        <v>0</v>
      </c>
      <c r="AG1663">
        <v>0</v>
      </c>
      <c r="AH1663">
        <v>1</v>
      </c>
      <c r="AI1663">
        <v>1</v>
      </c>
    </row>
    <row r="1664" spans="1:35" hidden="1" x14ac:dyDescent="0.25">
      <c r="A1664">
        <v>2020</v>
      </c>
      <c r="B1664" s="1">
        <v>44149</v>
      </c>
      <c r="C1664">
        <v>21</v>
      </c>
      <c r="D1664">
        <v>0</v>
      </c>
      <c r="E1664">
        <v>35000</v>
      </c>
      <c r="F1664" t="s">
        <v>391</v>
      </c>
      <c r="G1664" t="s">
        <v>82</v>
      </c>
      <c r="H1664" t="s">
        <v>78</v>
      </c>
      <c r="I1664" t="s">
        <v>417</v>
      </c>
      <c r="J1664">
        <v>10</v>
      </c>
      <c r="K1664">
        <v>16</v>
      </c>
      <c r="L1664">
        <v>9000000</v>
      </c>
      <c r="M1664">
        <v>24000000</v>
      </c>
      <c r="N1664" t="s">
        <v>296</v>
      </c>
      <c r="O1664" t="s">
        <v>41</v>
      </c>
      <c r="P1664">
        <v>0</v>
      </c>
      <c r="Q1664">
        <v>2</v>
      </c>
      <c r="R1664">
        <v>0</v>
      </c>
      <c r="S1664">
        <v>1</v>
      </c>
      <c r="T1664">
        <v>4</v>
      </c>
      <c r="U1664">
        <v>2</v>
      </c>
      <c r="V1664">
        <v>14</v>
      </c>
      <c r="W1664">
        <v>21</v>
      </c>
      <c r="X1664">
        <v>19</v>
      </c>
      <c r="Y1664">
        <v>14</v>
      </c>
      <c r="Z1664">
        <v>2</v>
      </c>
      <c r="AA1664">
        <v>3</v>
      </c>
      <c r="AB1664">
        <v>2</v>
      </c>
      <c r="AC1664">
        <v>1</v>
      </c>
      <c r="AD1664">
        <v>13</v>
      </c>
      <c r="AE1664">
        <v>14</v>
      </c>
      <c r="AF1664">
        <v>5</v>
      </c>
      <c r="AG1664">
        <v>5</v>
      </c>
      <c r="AH1664">
        <v>-2</v>
      </c>
      <c r="AI1664">
        <v>0</v>
      </c>
    </row>
    <row r="1665" spans="1:35" hidden="1" x14ac:dyDescent="0.25">
      <c r="A1665">
        <v>2020</v>
      </c>
      <c r="B1665" s="1">
        <v>44205</v>
      </c>
      <c r="C1665">
        <v>29</v>
      </c>
      <c r="D1665">
        <v>0</v>
      </c>
      <c r="E1665">
        <v>35000</v>
      </c>
      <c r="F1665" t="s">
        <v>391</v>
      </c>
      <c r="G1665" t="s">
        <v>95</v>
      </c>
      <c r="H1665" t="s">
        <v>78</v>
      </c>
      <c r="I1665" t="s">
        <v>97</v>
      </c>
      <c r="J1665">
        <v>14</v>
      </c>
      <c r="K1665">
        <v>5</v>
      </c>
      <c r="L1665">
        <v>7800000</v>
      </c>
      <c r="M1665">
        <v>45050000</v>
      </c>
      <c r="N1665" t="s">
        <v>129</v>
      </c>
      <c r="O1665" t="s">
        <v>104</v>
      </c>
      <c r="P1665">
        <v>0</v>
      </c>
      <c r="Q1665">
        <v>1</v>
      </c>
      <c r="R1665">
        <v>0</v>
      </c>
      <c r="S1665">
        <v>1</v>
      </c>
      <c r="T1665">
        <v>7</v>
      </c>
      <c r="U1665">
        <v>6</v>
      </c>
      <c r="V1665">
        <v>15</v>
      </c>
      <c r="W1665">
        <v>21</v>
      </c>
      <c r="X1665">
        <v>20</v>
      </c>
      <c r="Y1665">
        <v>13</v>
      </c>
      <c r="Z1665">
        <v>3</v>
      </c>
      <c r="AA1665">
        <v>5</v>
      </c>
      <c r="AB1665">
        <v>2</v>
      </c>
      <c r="AC1665">
        <v>2</v>
      </c>
      <c r="AD1665">
        <v>11</v>
      </c>
      <c r="AE1665">
        <v>12</v>
      </c>
      <c r="AF1665">
        <v>4</v>
      </c>
      <c r="AG1665">
        <v>6</v>
      </c>
      <c r="AH1665">
        <v>-1</v>
      </c>
      <c r="AI1665">
        <v>0</v>
      </c>
    </row>
    <row r="1666" spans="1:35" hidden="1" x14ac:dyDescent="0.25">
      <c r="A1666">
        <v>2020</v>
      </c>
      <c r="B1666" s="1">
        <v>44248</v>
      </c>
      <c r="C1666">
        <v>37</v>
      </c>
      <c r="D1666">
        <v>0</v>
      </c>
      <c r="E1666">
        <v>35000</v>
      </c>
      <c r="F1666" t="s">
        <v>391</v>
      </c>
      <c r="G1666" t="s">
        <v>89</v>
      </c>
      <c r="H1666" t="s">
        <v>78</v>
      </c>
      <c r="I1666" t="s">
        <v>329</v>
      </c>
      <c r="J1666">
        <v>14</v>
      </c>
      <c r="K1666">
        <v>4</v>
      </c>
      <c r="L1666">
        <v>6930000</v>
      </c>
      <c r="M1666">
        <v>34150000</v>
      </c>
      <c r="N1666" t="s">
        <v>114</v>
      </c>
      <c r="O1666">
        <v>27</v>
      </c>
      <c r="P1666">
        <v>2</v>
      </c>
      <c r="Q1666">
        <v>3</v>
      </c>
      <c r="R1666">
        <v>1</v>
      </c>
      <c r="S1666">
        <v>1</v>
      </c>
      <c r="T1666">
        <v>2</v>
      </c>
      <c r="U1666">
        <v>4</v>
      </c>
      <c r="V1666">
        <v>16</v>
      </c>
      <c r="W1666">
        <v>13</v>
      </c>
      <c r="X1666">
        <v>13</v>
      </c>
      <c r="Y1666">
        <v>14</v>
      </c>
      <c r="Z1666">
        <v>8</v>
      </c>
      <c r="AA1666">
        <v>1</v>
      </c>
      <c r="AB1666">
        <v>0</v>
      </c>
      <c r="AC1666">
        <v>0</v>
      </c>
      <c r="AD1666">
        <v>9</v>
      </c>
      <c r="AE1666">
        <v>25</v>
      </c>
      <c r="AF1666">
        <v>3</v>
      </c>
      <c r="AG1666">
        <v>12</v>
      </c>
      <c r="AH1666">
        <v>-1</v>
      </c>
      <c r="AI1666">
        <v>0</v>
      </c>
    </row>
    <row r="1667" spans="1:35" hidden="1" x14ac:dyDescent="0.25">
      <c r="A1667">
        <v>2020</v>
      </c>
      <c r="B1667" s="1">
        <v>44080</v>
      </c>
      <c r="C1667">
        <v>8</v>
      </c>
      <c r="D1667">
        <v>0</v>
      </c>
      <c r="E1667">
        <v>56000</v>
      </c>
      <c r="F1667" t="s">
        <v>37</v>
      </c>
      <c r="G1667" t="s">
        <v>38</v>
      </c>
      <c r="H1667" t="s">
        <v>39</v>
      </c>
      <c r="I1667" t="s">
        <v>440</v>
      </c>
      <c r="J1667">
        <v>1</v>
      </c>
      <c r="K1667">
        <v>7</v>
      </c>
      <c r="L1667">
        <v>19830000</v>
      </c>
      <c r="M1667">
        <v>11000000</v>
      </c>
      <c r="N1667">
        <v>29</v>
      </c>
      <c r="O1667" t="s">
        <v>128</v>
      </c>
      <c r="P1667">
        <v>2</v>
      </c>
      <c r="Q1667">
        <v>2</v>
      </c>
      <c r="R1667">
        <v>1</v>
      </c>
      <c r="S1667">
        <v>1</v>
      </c>
      <c r="T1667">
        <v>7</v>
      </c>
      <c r="U1667">
        <v>5</v>
      </c>
      <c r="V1667">
        <v>11</v>
      </c>
      <c r="W1667">
        <v>11</v>
      </c>
      <c r="X1667">
        <v>10</v>
      </c>
      <c r="Y1667">
        <v>11</v>
      </c>
      <c r="Z1667">
        <v>1</v>
      </c>
      <c r="AA1667">
        <v>3</v>
      </c>
      <c r="AB1667">
        <v>0</v>
      </c>
      <c r="AC1667">
        <v>1</v>
      </c>
      <c r="AD1667">
        <v>9</v>
      </c>
      <c r="AE1667">
        <v>9</v>
      </c>
      <c r="AF1667">
        <v>2</v>
      </c>
      <c r="AG1667">
        <v>3</v>
      </c>
      <c r="AH1667">
        <v>0</v>
      </c>
      <c r="AI1667">
        <v>0</v>
      </c>
    </row>
    <row r="1668" spans="1:35" hidden="1" x14ac:dyDescent="0.25">
      <c r="A1668">
        <v>2020</v>
      </c>
      <c r="B1668" s="1">
        <v>44101</v>
      </c>
      <c r="C1668">
        <v>12</v>
      </c>
      <c r="D1668">
        <v>0</v>
      </c>
      <c r="E1668">
        <v>56000</v>
      </c>
      <c r="F1668" t="s">
        <v>37</v>
      </c>
      <c r="G1668" t="s">
        <v>62</v>
      </c>
      <c r="H1668" t="s">
        <v>39</v>
      </c>
      <c r="I1668" t="s">
        <v>57</v>
      </c>
      <c r="J1668">
        <v>3</v>
      </c>
      <c r="K1668">
        <v>2</v>
      </c>
      <c r="L1668">
        <v>25550000</v>
      </c>
      <c r="M1668">
        <v>33200000</v>
      </c>
      <c r="N1668">
        <v>28</v>
      </c>
      <c r="O1668" t="s">
        <v>117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4</v>
      </c>
      <c r="V1668">
        <v>16</v>
      </c>
      <c r="W1668">
        <v>16</v>
      </c>
      <c r="X1668">
        <v>15</v>
      </c>
      <c r="Y1668">
        <v>16</v>
      </c>
      <c r="Z1668">
        <v>5</v>
      </c>
      <c r="AA1668">
        <v>0</v>
      </c>
      <c r="AB1668">
        <v>3</v>
      </c>
      <c r="AC1668">
        <v>0</v>
      </c>
      <c r="AD1668">
        <v>4</v>
      </c>
      <c r="AE1668">
        <v>18</v>
      </c>
      <c r="AF1668">
        <v>0</v>
      </c>
      <c r="AG1668">
        <v>7</v>
      </c>
      <c r="AH1668">
        <v>0</v>
      </c>
      <c r="AI1668">
        <v>0</v>
      </c>
    </row>
    <row r="1669" spans="1:35" hidden="1" x14ac:dyDescent="0.25">
      <c r="A1669">
        <v>2020</v>
      </c>
      <c r="B1669" s="1">
        <v>44116</v>
      </c>
      <c r="C1669">
        <v>15</v>
      </c>
      <c r="D1669">
        <v>0</v>
      </c>
      <c r="E1669">
        <v>56000</v>
      </c>
      <c r="F1669" t="s">
        <v>37</v>
      </c>
      <c r="G1669" t="s">
        <v>69</v>
      </c>
      <c r="H1669" t="s">
        <v>39</v>
      </c>
      <c r="I1669" t="s">
        <v>286</v>
      </c>
      <c r="J1669">
        <v>4</v>
      </c>
      <c r="K1669">
        <v>12</v>
      </c>
      <c r="L1669">
        <v>26000000</v>
      </c>
      <c r="M1669">
        <v>20000000</v>
      </c>
      <c r="N1669" t="s">
        <v>163</v>
      </c>
      <c r="O1669" t="s">
        <v>233</v>
      </c>
      <c r="P1669">
        <v>2</v>
      </c>
      <c r="Q1669">
        <v>1</v>
      </c>
      <c r="R1669">
        <v>2</v>
      </c>
      <c r="S1669">
        <v>1</v>
      </c>
      <c r="T1669">
        <v>6</v>
      </c>
      <c r="U1669">
        <v>1</v>
      </c>
      <c r="V1669">
        <v>19</v>
      </c>
      <c r="W1669">
        <v>14</v>
      </c>
      <c r="X1669">
        <v>12</v>
      </c>
      <c r="Y1669">
        <v>19</v>
      </c>
      <c r="Z1669">
        <v>3</v>
      </c>
      <c r="AA1669">
        <v>3</v>
      </c>
      <c r="AB1669">
        <v>3</v>
      </c>
      <c r="AC1669">
        <v>2</v>
      </c>
      <c r="AD1669">
        <v>13</v>
      </c>
      <c r="AE1669">
        <v>14</v>
      </c>
      <c r="AF1669">
        <v>2</v>
      </c>
      <c r="AG1669">
        <v>6</v>
      </c>
      <c r="AH1669">
        <v>1</v>
      </c>
      <c r="AI1669">
        <v>1</v>
      </c>
    </row>
    <row r="1670" spans="1:35" hidden="1" x14ac:dyDescent="0.25">
      <c r="A1670">
        <v>2020</v>
      </c>
      <c r="B1670" s="1">
        <v>44129</v>
      </c>
      <c r="C1670">
        <v>18</v>
      </c>
      <c r="D1670">
        <v>0</v>
      </c>
      <c r="E1670">
        <v>56000</v>
      </c>
      <c r="F1670" t="s">
        <v>37</v>
      </c>
      <c r="G1670" t="s">
        <v>77</v>
      </c>
      <c r="H1670" t="s">
        <v>39</v>
      </c>
      <c r="I1670" t="s">
        <v>430</v>
      </c>
      <c r="J1670">
        <v>1</v>
      </c>
      <c r="K1670">
        <v>2</v>
      </c>
      <c r="L1670">
        <v>25200000</v>
      </c>
      <c r="M1670">
        <v>51050000</v>
      </c>
      <c r="N1670" t="s">
        <v>86</v>
      </c>
      <c r="O1670" t="s">
        <v>151</v>
      </c>
      <c r="P1670">
        <v>2</v>
      </c>
      <c r="Q1670">
        <v>2</v>
      </c>
      <c r="R1670">
        <v>2</v>
      </c>
      <c r="S1670">
        <v>1</v>
      </c>
      <c r="T1670">
        <v>1</v>
      </c>
      <c r="U1670">
        <v>7</v>
      </c>
      <c r="V1670">
        <v>16</v>
      </c>
      <c r="W1670">
        <v>15</v>
      </c>
      <c r="X1670">
        <v>14</v>
      </c>
      <c r="Y1670">
        <v>15</v>
      </c>
      <c r="Z1670">
        <v>3</v>
      </c>
      <c r="AA1670">
        <v>3</v>
      </c>
      <c r="AB1670">
        <v>1</v>
      </c>
      <c r="AC1670">
        <v>1</v>
      </c>
      <c r="AD1670">
        <v>10</v>
      </c>
      <c r="AE1670">
        <v>16</v>
      </c>
      <c r="AF1670">
        <v>4</v>
      </c>
      <c r="AG1670">
        <v>5</v>
      </c>
      <c r="AH1670">
        <v>0</v>
      </c>
      <c r="AI1670">
        <v>0</v>
      </c>
    </row>
    <row r="1671" spans="1:35" hidden="1" x14ac:dyDescent="0.25">
      <c r="A1671">
        <v>2020</v>
      </c>
      <c r="B1671" s="1">
        <v>44177</v>
      </c>
      <c r="C1671">
        <v>25</v>
      </c>
      <c r="D1671">
        <v>0</v>
      </c>
      <c r="E1671">
        <v>56000</v>
      </c>
      <c r="F1671" t="s">
        <v>37</v>
      </c>
      <c r="G1671" t="s">
        <v>51</v>
      </c>
      <c r="H1671" t="s">
        <v>376</v>
      </c>
      <c r="I1671" t="s">
        <v>367</v>
      </c>
      <c r="J1671">
        <v>7</v>
      </c>
      <c r="K1671">
        <v>19</v>
      </c>
      <c r="L1671">
        <v>25000000</v>
      </c>
      <c r="M1671">
        <v>7130000</v>
      </c>
      <c r="N1671" t="s">
        <v>74</v>
      </c>
      <c r="O1671" t="s">
        <v>239</v>
      </c>
      <c r="P1671">
        <v>2</v>
      </c>
      <c r="Q1671">
        <v>1</v>
      </c>
      <c r="R1671">
        <v>1</v>
      </c>
      <c r="S1671">
        <v>1</v>
      </c>
      <c r="T1671">
        <v>4</v>
      </c>
      <c r="U1671">
        <v>6</v>
      </c>
      <c r="V1671">
        <v>23</v>
      </c>
      <c r="W1671">
        <v>19</v>
      </c>
      <c r="X1671">
        <v>19</v>
      </c>
      <c r="Y1671">
        <v>22</v>
      </c>
      <c r="Z1671">
        <v>1</v>
      </c>
      <c r="AA1671">
        <v>1</v>
      </c>
      <c r="AB1671">
        <v>0</v>
      </c>
      <c r="AC1671">
        <v>0</v>
      </c>
      <c r="AD1671">
        <v>12</v>
      </c>
      <c r="AE1671">
        <v>12</v>
      </c>
      <c r="AF1671">
        <v>7</v>
      </c>
      <c r="AG1671">
        <v>7</v>
      </c>
      <c r="AH1671">
        <v>1</v>
      </c>
      <c r="AI1671">
        <v>1</v>
      </c>
    </row>
    <row r="1672" spans="1:35" hidden="1" x14ac:dyDescent="0.25">
      <c r="A1672">
        <v>2020</v>
      </c>
      <c r="B1672" s="1">
        <v>44214</v>
      </c>
      <c r="C1672">
        <v>30</v>
      </c>
      <c r="D1672">
        <v>0</v>
      </c>
      <c r="E1672">
        <v>56000</v>
      </c>
      <c r="F1672" t="s">
        <v>37</v>
      </c>
      <c r="G1672" t="s">
        <v>63</v>
      </c>
      <c r="H1672" t="s">
        <v>376</v>
      </c>
      <c r="I1672" t="s">
        <v>420</v>
      </c>
      <c r="J1672">
        <v>3</v>
      </c>
      <c r="K1672">
        <v>16</v>
      </c>
      <c r="L1672">
        <v>23700000</v>
      </c>
      <c r="M1672">
        <v>7700000</v>
      </c>
      <c r="N1672" t="s">
        <v>80</v>
      </c>
      <c r="O1672" t="s">
        <v>67</v>
      </c>
      <c r="P1672">
        <v>4</v>
      </c>
      <c r="Q1672">
        <v>2</v>
      </c>
      <c r="R1672">
        <v>2</v>
      </c>
      <c r="S1672">
        <v>1</v>
      </c>
      <c r="T1672">
        <v>6</v>
      </c>
      <c r="U1672">
        <v>1</v>
      </c>
      <c r="V1672">
        <v>24</v>
      </c>
      <c r="W1672">
        <v>17</v>
      </c>
      <c r="X1672">
        <v>16</v>
      </c>
      <c r="Y1672">
        <v>22</v>
      </c>
      <c r="Z1672">
        <v>0</v>
      </c>
      <c r="AA1672">
        <v>1</v>
      </c>
      <c r="AB1672">
        <v>0</v>
      </c>
      <c r="AC1672">
        <v>1</v>
      </c>
      <c r="AD1672">
        <v>11</v>
      </c>
      <c r="AE1672">
        <v>10</v>
      </c>
      <c r="AF1672">
        <v>4</v>
      </c>
      <c r="AG1672">
        <v>4</v>
      </c>
      <c r="AH1672">
        <v>2</v>
      </c>
      <c r="AI1672">
        <v>1</v>
      </c>
    </row>
    <row r="1673" spans="1:35" hidden="1" x14ac:dyDescent="0.25">
      <c r="A1673">
        <v>2020</v>
      </c>
      <c r="B1673" s="1">
        <v>44227</v>
      </c>
      <c r="C1673">
        <v>33</v>
      </c>
      <c r="D1673">
        <v>0</v>
      </c>
      <c r="E1673">
        <v>56000</v>
      </c>
      <c r="F1673" t="s">
        <v>37</v>
      </c>
      <c r="G1673" t="s">
        <v>56</v>
      </c>
      <c r="H1673" t="s">
        <v>376</v>
      </c>
      <c r="I1673" t="s">
        <v>341</v>
      </c>
      <c r="J1673">
        <v>1</v>
      </c>
      <c r="K1673">
        <v>11</v>
      </c>
      <c r="L1673">
        <v>23700000</v>
      </c>
      <c r="M1673">
        <v>18600000</v>
      </c>
      <c r="N1673" t="s">
        <v>239</v>
      </c>
      <c r="O1673" t="s">
        <v>149</v>
      </c>
      <c r="P1673">
        <v>2</v>
      </c>
      <c r="Q1673">
        <v>1</v>
      </c>
      <c r="R1673">
        <v>1</v>
      </c>
      <c r="S1673">
        <v>1</v>
      </c>
      <c r="T1673">
        <v>3</v>
      </c>
      <c r="U1673">
        <v>7</v>
      </c>
      <c r="V1673">
        <v>11</v>
      </c>
      <c r="W1673">
        <v>12</v>
      </c>
      <c r="X1673">
        <v>10</v>
      </c>
      <c r="Y1673">
        <v>11</v>
      </c>
      <c r="Z1673">
        <v>5</v>
      </c>
      <c r="AA1673">
        <v>1</v>
      </c>
      <c r="AB1673">
        <v>0</v>
      </c>
      <c r="AC1673">
        <v>0</v>
      </c>
      <c r="AD1673">
        <v>12</v>
      </c>
      <c r="AE1673">
        <v>16</v>
      </c>
      <c r="AF1673">
        <v>5</v>
      </c>
      <c r="AG1673">
        <v>7</v>
      </c>
      <c r="AH1673">
        <v>1</v>
      </c>
      <c r="AI1673">
        <v>1</v>
      </c>
    </row>
    <row r="1674" spans="1:35" hidden="1" x14ac:dyDescent="0.25">
      <c r="A1674">
        <v>2020</v>
      </c>
      <c r="B1674" s="1">
        <v>44063</v>
      </c>
      <c r="C1674">
        <v>4</v>
      </c>
      <c r="D1674">
        <v>0</v>
      </c>
      <c r="E1674">
        <v>13212</v>
      </c>
      <c r="F1674" t="s">
        <v>56</v>
      </c>
      <c r="G1674" t="s">
        <v>55</v>
      </c>
      <c r="H1674" t="s">
        <v>425</v>
      </c>
      <c r="I1674" t="s">
        <v>328</v>
      </c>
      <c r="J1674">
        <v>14</v>
      </c>
      <c r="K1674">
        <v>10</v>
      </c>
      <c r="L1674">
        <v>11350000</v>
      </c>
      <c r="M1674">
        <v>20780000</v>
      </c>
      <c r="N1674" t="s">
        <v>332</v>
      </c>
      <c r="O1674" t="s">
        <v>209</v>
      </c>
      <c r="P1674">
        <v>2</v>
      </c>
      <c r="Q1674">
        <v>1</v>
      </c>
      <c r="R1674">
        <v>1</v>
      </c>
      <c r="S1674">
        <v>1</v>
      </c>
      <c r="T1674">
        <v>6</v>
      </c>
      <c r="U1674">
        <v>4</v>
      </c>
      <c r="V1674">
        <v>19</v>
      </c>
      <c r="W1674">
        <v>14</v>
      </c>
      <c r="X1674">
        <v>14</v>
      </c>
      <c r="Y1674">
        <v>18</v>
      </c>
      <c r="Z1674">
        <v>3</v>
      </c>
      <c r="AA1674">
        <v>1</v>
      </c>
      <c r="AB1674">
        <v>2</v>
      </c>
      <c r="AC1674">
        <v>0</v>
      </c>
      <c r="AD1674">
        <v>13</v>
      </c>
      <c r="AE1674">
        <v>9</v>
      </c>
      <c r="AF1674">
        <v>6</v>
      </c>
      <c r="AG1674">
        <v>3</v>
      </c>
      <c r="AH1674">
        <v>1</v>
      </c>
      <c r="AI1674">
        <v>1</v>
      </c>
    </row>
    <row r="1675" spans="1:35" hidden="1" x14ac:dyDescent="0.25">
      <c r="A1675">
        <v>2020</v>
      </c>
      <c r="B1675" s="1">
        <v>44066</v>
      </c>
      <c r="C1675">
        <v>5</v>
      </c>
      <c r="D1675">
        <v>0</v>
      </c>
      <c r="E1675">
        <v>13212</v>
      </c>
      <c r="F1675" t="s">
        <v>56</v>
      </c>
      <c r="G1675" t="s">
        <v>321</v>
      </c>
      <c r="H1675" t="s">
        <v>425</v>
      </c>
      <c r="I1675" t="s">
        <v>442</v>
      </c>
      <c r="J1675">
        <v>11</v>
      </c>
      <c r="K1675">
        <v>20</v>
      </c>
      <c r="L1675">
        <v>11430000</v>
      </c>
      <c r="M1675">
        <v>8100000</v>
      </c>
      <c r="N1675" t="s">
        <v>217</v>
      </c>
      <c r="O1675" t="s">
        <v>137</v>
      </c>
      <c r="P1675">
        <v>1</v>
      </c>
      <c r="Q1675">
        <v>2</v>
      </c>
      <c r="R1675">
        <v>1</v>
      </c>
      <c r="S1675">
        <v>1</v>
      </c>
      <c r="T1675">
        <v>10</v>
      </c>
      <c r="U1675">
        <v>3</v>
      </c>
      <c r="V1675">
        <v>17</v>
      </c>
      <c r="W1675">
        <v>18</v>
      </c>
      <c r="X1675">
        <v>18</v>
      </c>
      <c r="Y1675">
        <v>14</v>
      </c>
      <c r="Z1675">
        <v>2</v>
      </c>
      <c r="AA1675">
        <v>1</v>
      </c>
      <c r="AB1675">
        <v>1</v>
      </c>
      <c r="AC1675">
        <v>2</v>
      </c>
      <c r="AD1675">
        <v>15</v>
      </c>
      <c r="AE1675">
        <v>7</v>
      </c>
      <c r="AF1675">
        <v>5</v>
      </c>
      <c r="AG1675">
        <v>1</v>
      </c>
      <c r="AH1675">
        <v>-1</v>
      </c>
      <c r="AI1675">
        <v>0</v>
      </c>
    </row>
    <row r="1676" spans="1:35" hidden="1" x14ac:dyDescent="0.25">
      <c r="A1676">
        <v>2020</v>
      </c>
      <c r="B1676" s="1">
        <v>44094</v>
      </c>
      <c r="C1676">
        <v>11</v>
      </c>
      <c r="D1676">
        <v>0</v>
      </c>
      <c r="E1676">
        <v>13212</v>
      </c>
      <c r="F1676" t="s">
        <v>56</v>
      </c>
      <c r="G1676" t="s">
        <v>361</v>
      </c>
      <c r="H1676" t="s">
        <v>341</v>
      </c>
      <c r="I1676" t="s">
        <v>340</v>
      </c>
      <c r="J1676">
        <v>20</v>
      </c>
      <c r="K1676">
        <v>11</v>
      </c>
      <c r="L1676">
        <v>16500000</v>
      </c>
      <c r="M1676">
        <v>7700000</v>
      </c>
      <c r="N1676" t="s">
        <v>217</v>
      </c>
      <c r="O1676" t="s">
        <v>73</v>
      </c>
      <c r="P1676">
        <v>4</v>
      </c>
      <c r="Q1676">
        <v>2</v>
      </c>
      <c r="R1676">
        <v>3</v>
      </c>
      <c r="S1676">
        <v>1</v>
      </c>
      <c r="T1676">
        <v>5</v>
      </c>
      <c r="U1676">
        <v>9</v>
      </c>
      <c r="V1676">
        <v>24</v>
      </c>
      <c r="W1676">
        <v>11</v>
      </c>
      <c r="X1676">
        <v>10</v>
      </c>
      <c r="Y1676">
        <v>23</v>
      </c>
      <c r="Z1676">
        <v>4</v>
      </c>
      <c r="AA1676">
        <v>5</v>
      </c>
      <c r="AB1676">
        <v>2</v>
      </c>
      <c r="AC1676">
        <v>1</v>
      </c>
      <c r="AD1676">
        <v>18</v>
      </c>
      <c r="AE1676">
        <v>13</v>
      </c>
      <c r="AF1676">
        <v>8</v>
      </c>
      <c r="AG1676">
        <v>4</v>
      </c>
      <c r="AH1676">
        <v>2</v>
      </c>
      <c r="AI1676">
        <v>1</v>
      </c>
    </row>
    <row r="1677" spans="1:35" hidden="1" x14ac:dyDescent="0.25">
      <c r="A1677">
        <v>2020</v>
      </c>
      <c r="B1677" s="1">
        <v>44177</v>
      </c>
      <c r="C1677">
        <v>25</v>
      </c>
      <c r="D1677">
        <v>0</v>
      </c>
      <c r="E1677">
        <v>13212</v>
      </c>
      <c r="F1677" t="s">
        <v>56</v>
      </c>
      <c r="G1677" t="s">
        <v>63</v>
      </c>
      <c r="H1677" t="s">
        <v>341</v>
      </c>
      <c r="I1677" t="s">
        <v>422</v>
      </c>
      <c r="J1677">
        <v>14</v>
      </c>
      <c r="K1677">
        <v>10</v>
      </c>
      <c r="L1677">
        <v>20650000</v>
      </c>
      <c r="M1677">
        <v>7500000</v>
      </c>
      <c r="N1677" t="s">
        <v>217</v>
      </c>
      <c r="O1677" t="s">
        <v>309</v>
      </c>
      <c r="P1677">
        <v>2</v>
      </c>
      <c r="Q1677">
        <v>1</v>
      </c>
      <c r="R1677">
        <v>1</v>
      </c>
      <c r="S1677">
        <v>1</v>
      </c>
      <c r="T1677">
        <v>2</v>
      </c>
      <c r="U1677">
        <v>5</v>
      </c>
      <c r="V1677">
        <v>17</v>
      </c>
      <c r="W1677">
        <v>18</v>
      </c>
      <c r="X1677">
        <v>16</v>
      </c>
      <c r="Y1677">
        <v>15</v>
      </c>
      <c r="Z1677">
        <v>4</v>
      </c>
      <c r="AA1677">
        <v>5</v>
      </c>
      <c r="AB1677">
        <v>0</v>
      </c>
      <c r="AC1677">
        <v>2</v>
      </c>
      <c r="AD1677">
        <v>14</v>
      </c>
      <c r="AE1677">
        <v>13</v>
      </c>
      <c r="AF1677">
        <v>6</v>
      </c>
      <c r="AG1677">
        <v>6</v>
      </c>
      <c r="AH1677">
        <v>1</v>
      </c>
      <c r="AI1677">
        <v>1</v>
      </c>
    </row>
    <row r="1678" spans="1:35" hidden="1" x14ac:dyDescent="0.25">
      <c r="A1678">
        <v>2020</v>
      </c>
      <c r="B1678" s="1">
        <v>44185</v>
      </c>
      <c r="C1678">
        <v>26</v>
      </c>
      <c r="D1678">
        <v>0</v>
      </c>
      <c r="E1678">
        <v>13212</v>
      </c>
      <c r="F1678" t="s">
        <v>56</v>
      </c>
      <c r="G1678" t="s">
        <v>69</v>
      </c>
      <c r="H1678" t="s">
        <v>341</v>
      </c>
      <c r="I1678" t="s">
        <v>334</v>
      </c>
      <c r="J1678">
        <v>11</v>
      </c>
      <c r="K1678">
        <v>14</v>
      </c>
      <c r="L1678">
        <v>18700000</v>
      </c>
      <c r="M1678">
        <v>24900000</v>
      </c>
      <c r="N1678" t="s">
        <v>116</v>
      </c>
      <c r="O1678" t="s">
        <v>228</v>
      </c>
      <c r="P1678">
        <v>0</v>
      </c>
      <c r="Q1678">
        <v>1</v>
      </c>
      <c r="R1678">
        <v>0</v>
      </c>
      <c r="S1678">
        <v>1</v>
      </c>
      <c r="T1678">
        <v>17</v>
      </c>
      <c r="U1678">
        <v>4</v>
      </c>
      <c r="V1678">
        <v>8</v>
      </c>
      <c r="W1678">
        <v>17</v>
      </c>
      <c r="X1678">
        <v>16</v>
      </c>
      <c r="Y1678">
        <v>6</v>
      </c>
      <c r="Z1678">
        <v>0</v>
      </c>
      <c r="AA1678">
        <v>6</v>
      </c>
      <c r="AB1678">
        <v>6</v>
      </c>
      <c r="AC1678">
        <v>6</v>
      </c>
      <c r="AD1678">
        <v>21</v>
      </c>
      <c r="AE1678">
        <v>4</v>
      </c>
      <c r="AF1678">
        <v>10</v>
      </c>
      <c r="AG1678">
        <v>2</v>
      </c>
      <c r="AH1678">
        <v>-1</v>
      </c>
      <c r="AI1678">
        <v>0</v>
      </c>
    </row>
    <row r="1679" spans="1:35" hidden="1" x14ac:dyDescent="0.25">
      <c r="A1679">
        <v>2020</v>
      </c>
      <c r="B1679" s="1">
        <v>44203</v>
      </c>
      <c r="C1679">
        <v>28</v>
      </c>
      <c r="D1679">
        <v>0</v>
      </c>
      <c r="E1679">
        <v>13212</v>
      </c>
      <c r="F1679" t="s">
        <v>56</v>
      </c>
      <c r="G1679" t="s">
        <v>62</v>
      </c>
      <c r="H1679" t="s">
        <v>341</v>
      </c>
      <c r="I1679" t="s">
        <v>57</v>
      </c>
      <c r="J1679">
        <v>13</v>
      </c>
      <c r="K1679">
        <v>1</v>
      </c>
      <c r="L1679">
        <v>15750000</v>
      </c>
      <c r="M1679">
        <v>31200000</v>
      </c>
      <c r="N1679" t="s">
        <v>163</v>
      </c>
      <c r="O1679" t="s">
        <v>151</v>
      </c>
      <c r="P1679">
        <v>4</v>
      </c>
      <c r="Q1679">
        <v>2</v>
      </c>
      <c r="R1679">
        <v>4</v>
      </c>
      <c r="S1679">
        <v>1</v>
      </c>
      <c r="T1679">
        <v>4</v>
      </c>
      <c r="U1679">
        <v>5</v>
      </c>
      <c r="V1679">
        <v>17</v>
      </c>
      <c r="W1679">
        <v>4</v>
      </c>
      <c r="X1679">
        <v>4</v>
      </c>
      <c r="Y1679">
        <v>15</v>
      </c>
      <c r="Z1679">
        <v>3</v>
      </c>
      <c r="AA1679">
        <v>6</v>
      </c>
      <c r="AB1679">
        <v>0</v>
      </c>
      <c r="AC1679">
        <v>3</v>
      </c>
      <c r="AD1679">
        <v>23</v>
      </c>
      <c r="AE1679">
        <v>8</v>
      </c>
      <c r="AF1679">
        <v>11</v>
      </c>
      <c r="AG1679">
        <v>2</v>
      </c>
      <c r="AH1679">
        <v>2</v>
      </c>
      <c r="AI1679">
        <v>1</v>
      </c>
    </row>
    <row r="1680" spans="1:35" hidden="1" x14ac:dyDescent="0.25">
      <c r="A1680">
        <v>2020</v>
      </c>
      <c r="B1680" s="1">
        <v>44234</v>
      </c>
      <c r="C1680">
        <v>35</v>
      </c>
      <c r="D1680">
        <v>0</v>
      </c>
      <c r="E1680">
        <v>13212</v>
      </c>
      <c r="F1680" t="s">
        <v>56</v>
      </c>
      <c r="G1680" t="s">
        <v>77</v>
      </c>
      <c r="H1680" t="s">
        <v>341</v>
      </c>
      <c r="I1680" t="s">
        <v>40</v>
      </c>
      <c r="J1680">
        <v>10</v>
      </c>
      <c r="K1680">
        <v>2</v>
      </c>
      <c r="L1680">
        <v>19150000</v>
      </c>
      <c r="M1680">
        <v>71550000</v>
      </c>
      <c r="N1680" t="s">
        <v>168</v>
      </c>
      <c r="O1680" t="s">
        <v>41</v>
      </c>
      <c r="P1680">
        <v>1</v>
      </c>
      <c r="Q1680">
        <v>1</v>
      </c>
      <c r="R1680">
        <v>0</v>
      </c>
      <c r="S1680">
        <v>1</v>
      </c>
      <c r="T1680">
        <v>5</v>
      </c>
      <c r="U1680">
        <v>4</v>
      </c>
      <c r="V1680">
        <v>19</v>
      </c>
      <c r="W1680">
        <v>17</v>
      </c>
      <c r="X1680">
        <v>15</v>
      </c>
      <c r="Y1680">
        <v>18</v>
      </c>
      <c r="Z1680">
        <v>6</v>
      </c>
      <c r="AA1680">
        <v>4</v>
      </c>
      <c r="AB1680">
        <v>1</v>
      </c>
      <c r="AC1680">
        <v>4</v>
      </c>
      <c r="AD1680">
        <v>12</v>
      </c>
      <c r="AE1680">
        <v>16</v>
      </c>
      <c r="AF1680">
        <v>7</v>
      </c>
      <c r="AG1680">
        <v>4</v>
      </c>
      <c r="AH1680">
        <v>0</v>
      </c>
      <c r="AI1680">
        <v>0</v>
      </c>
    </row>
    <row r="1681" spans="1:35" hidden="1" x14ac:dyDescent="0.25">
      <c r="A1681">
        <v>2020</v>
      </c>
      <c r="B1681" s="1">
        <v>44126</v>
      </c>
      <c r="C1681">
        <v>18</v>
      </c>
      <c r="D1681">
        <v>0</v>
      </c>
      <c r="E1681">
        <v>24584</v>
      </c>
      <c r="F1681" t="s">
        <v>82</v>
      </c>
      <c r="G1681" t="s">
        <v>88</v>
      </c>
      <c r="H1681" t="s">
        <v>417</v>
      </c>
      <c r="I1681" t="s">
        <v>429</v>
      </c>
      <c r="J1681">
        <v>13</v>
      </c>
      <c r="K1681">
        <v>17</v>
      </c>
      <c r="L1681">
        <v>17100000</v>
      </c>
      <c r="M1681">
        <v>27600000</v>
      </c>
      <c r="N1681">
        <v>25</v>
      </c>
      <c r="O1681" t="s">
        <v>114</v>
      </c>
      <c r="P1681">
        <v>1</v>
      </c>
      <c r="Q1681">
        <v>2</v>
      </c>
      <c r="R1681">
        <v>0</v>
      </c>
      <c r="S1681">
        <v>1</v>
      </c>
      <c r="T1681">
        <v>9</v>
      </c>
      <c r="U1681">
        <v>6</v>
      </c>
      <c r="V1681">
        <v>12</v>
      </c>
      <c r="W1681">
        <v>18</v>
      </c>
      <c r="X1681">
        <v>15</v>
      </c>
      <c r="Y1681">
        <v>12</v>
      </c>
      <c r="Z1681">
        <v>2</v>
      </c>
      <c r="AA1681">
        <v>7</v>
      </c>
      <c r="AB1681">
        <v>1</v>
      </c>
      <c r="AC1681">
        <v>2</v>
      </c>
      <c r="AD1681">
        <v>17</v>
      </c>
      <c r="AE1681">
        <v>11</v>
      </c>
      <c r="AF1681">
        <v>6</v>
      </c>
      <c r="AG1681">
        <v>3</v>
      </c>
      <c r="AH1681">
        <v>-1</v>
      </c>
      <c r="AI1681">
        <v>0</v>
      </c>
    </row>
    <row r="1682" spans="1:35" hidden="1" x14ac:dyDescent="0.25">
      <c r="A1682">
        <v>2020</v>
      </c>
      <c r="B1682" s="1">
        <v>44179</v>
      </c>
      <c r="C1682">
        <v>25</v>
      </c>
      <c r="D1682">
        <v>0</v>
      </c>
      <c r="E1682">
        <v>24584</v>
      </c>
      <c r="F1682" t="s">
        <v>82</v>
      </c>
      <c r="G1682" t="s">
        <v>55</v>
      </c>
      <c r="H1682" t="s">
        <v>417</v>
      </c>
      <c r="I1682" t="s">
        <v>223</v>
      </c>
      <c r="J1682">
        <v>17</v>
      </c>
      <c r="K1682">
        <v>5</v>
      </c>
      <c r="L1682">
        <v>15130000</v>
      </c>
      <c r="M1682">
        <v>17000000</v>
      </c>
      <c r="N1682" t="s">
        <v>123</v>
      </c>
      <c r="O1682" t="s">
        <v>74</v>
      </c>
      <c r="P1682">
        <v>1</v>
      </c>
      <c r="Q1682">
        <v>1</v>
      </c>
      <c r="R1682">
        <v>0</v>
      </c>
      <c r="S1682">
        <v>1</v>
      </c>
      <c r="T1682">
        <v>4</v>
      </c>
      <c r="U1682">
        <v>2</v>
      </c>
      <c r="V1682">
        <v>21</v>
      </c>
      <c r="W1682">
        <v>14</v>
      </c>
      <c r="X1682">
        <v>13</v>
      </c>
      <c r="Y1682">
        <v>21</v>
      </c>
      <c r="Z1682">
        <v>3</v>
      </c>
      <c r="AA1682">
        <v>3</v>
      </c>
      <c r="AB1682">
        <v>1</v>
      </c>
      <c r="AC1682">
        <v>0</v>
      </c>
      <c r="AD1682">
        <v>20</v>
      </c>
      <c r="AE1682">
        <v>10</v>
      </c>
      <c r="AF1682">
        <v>9</v>
      </c>
      <c r="AG1682">
        <v>6</v>
      </c>
      <c r="AH1682">
        <v>0</v>
      </c>
      <c r="AI1682">
        <v>0</v>
      </c>
    </row>
    <row r="1683" spans="1:35" hidden="1" x14ac:dyDescent="0.25">
      <c r="A1683">
        <v>2020</v>
      </c>
      <c r="B1683" s="1">
        <v>44213</v>
      </c>
      <c r="C1683">
        <v>30</v>
      </c>
      <c r="D1683">
        <v>0</v>
      </c>
      <c r="E1683">
        <v>24584</v>
      </c>
      <c r="F1683" t="s">
        <v>82</v>
      </c>
      <c r="G1683" t="s">
        <v>321</v>
      </c>
      <c r="H1683" t="s">
        <v>317</v>
      </c>
      <c r="I1683" t="s">
        <v>358</v>
      </c>
      <c r="J1683">
        <v>14</v>
      </c>
      <c r="K1683">
        <v>20</v>
      </c>
      <c r="L1683">
        <v>22000000</v>
      </c>
      <c r="M1683">
        <v>6450000</v>
      </c>
      <c r="N1683" t="s">
        <v>129</v>
      </c>
      <c r="O1683" t="s">
        <v>202</v>
      </c>
      <c r="P1683">
        <v>0</v>
      </c>
      <c r="Q1683">
        <v>1</v>
      </c>
      <c r="R1683">
        <v>0</v>
      </c>
      <c r="S1683">
        <v>1</v>
      </c>
      <c r="T1683">
        <v>10</v>
      </c>
      <c r="U1683">
        <v>2</v>
      </c>
      <c r="V1683">
        <v>10</v>
      </c>
      <c r="W1683">
        <v>13</v>
      </c>
      <c r="X1683">
        <v>12</v>
      </c>
      <c r="Y1683">
        <v>8</v>
      </c>
      <c r="Z1683">
        <v>3</v>
      </c>
      <c r="AA1683">
        <v>3</v>
      </c>
      <c r="AB1683">
        <v>1</v>
      </c>
      <c r="AC1683">
        <v>0</v>
      </c>
      <c r="AD1683">
        <v>10</v>
      </c>
      <c r="AE1683">
        <v>13</v>
      </c>
      <c r="AF1683">
        <v>4</v>
      </c>
      <c r="AG1683">
        <v>4</v>
      </c>
      <c r="AH1683">
        <v>-1</v>
      </c>
      <c r="AI1683">
        <v>0</v>
      </c>
    </row>
    <row r="1684" spans="1:35" hidden="1" x14ac:dyDescent="0.25">
      <c r="A1684">
        <v>2020</v>
      </c>
      <c r="B1684" s="1">
        <v>44241</v>
      </c>
      <c r="C1684">
        <v>36</v>
      </c>
      <c r="D1684">
        <v>0</v>
      </c>
      <c r="E1684">
        <v>24584</v>
      </c>
      <c r="F1684" t="s">
        <v>82</v>
      </c>
      <c r="G1684" t="s">
        <v>37</v>
      </c>
      <c r="H1684" t="s">
        <v>317</v>
      </c>
      <c r="I1684" t="s">
        <v>376</v>
      </c>
      <c r="J1684">
        <v>17</v>
      </c>
      <c r="K1684">
        <v>1</v>
      </c>
      <c r="L1684">
        <v>24750000</v>
      </c>
      <c r="M1684">
        <v>28800000</v>
      </c>
      <c r="N1684" t="s">
        <v>66</v>
      </c>
      <c r="O1684" t="s">
        <v>189</v>
      </c>
      <c r="P1684">
        <v>0</v>
      </c>
      <c r="Q1684">
        <v>2</v>
      </c>
      <c r="R1684">
        <v>0</v>
      </c>
      <c r="S1684">
        <v>1</v>
      </c>
      <c r="T1684">
        <v>3</v>
      </c>
      <c r="U1684">
        <v>9</v>
      </c>
      <c r="V1684">
        <v>9</v>
      </c>
      <c r="W1684">
        <v>20</v>
      </c>
      <c r="X1684">
        <v>20</v>
      </c>
      <c r="Y1684">
        <v>9</v>
      </c>
      <c r="Z1684">
        <v>5</v>
      </c>
      <c r="AA1684">
        <v>0</v>
      </c>
      <c r="AB1684">
        <v>2</v>
      </c>
      <c r="AC1684">
        <v>0</v>
      </c>
      <c r="AD1684">
        <v>8</v>
      </c>
      <c r="AE1684">
        <v>16</v>
      </c>
      <c r="AF1684">
        <v>5</v>
      </c>
      <c r="AG1684">
        <v>5</v>
      </c>
      <c r="AH1684">
        <v>-2</v>
      </c>
      <c r="AI1684">
        <v>0</v>
      </c>
    </row>
    <row r="1685" spans="1:35" hidden="1" x14ac:dyDescent="0.25">
      <c r="A1685">
        <v>2020</v>
      </c>
      <c r="B1685" s="1">
        <v>44072</v>
      </c>
      <c r="C1685">
        <v>6</v>
      </c>
      <c r="D1685">
        <v>0</v>
      </c>
      <c r="E1685">
        <v>46931</v>
      </c>
      <c r="F1685" t="s">
        <v>51</v>
      </c>
      <c r="G1685" t="s">
        <v>37</v>
      </c>
      <c r="H1685" t="s">
        <v>334</v>
      </c>
      <c r="I1685" t="s">
        <v>39</v>
      </c>
      <c r="J1685">
        <v>12</v>
      </c>
      <c r="K1685">
        <v>1</v>
      </c>
      <c r="L1685">
        <v>7050000</v>
      </c>
      <c r="M1685">
        <v>20800000</v>
      </c>
      <c r="N1685">
        <v>26</v>
      </c>
      <c r="O1685" t="s">
        <v>111</v>
      </c>
      <c r="P1685">
        <v>0</v>
      </c>
      <c r="Q1685">
        <v>2</v>
      </c>
      <c r="R1685">
        <v>0</v>
      </c>
      <c r="S1685">
        <v>2</v>
      </c>
      <c r="T1685">
        <v>5</v>
      </c>
      <c r="U1685">
        <v>3</v>
      </c>
      <c r="V1685">
        <v>14</v>
      </c>
      <c r="W1685">
        <v>24</v>
      </c>
      <c r="X1685">
        <v>21</v>
      </c>
      <c r="Y1685">
        <v>13</v>
      </c>
      <c r="Z1685">
        <v>2</v>
      </c>
      <c r="AA1685">
        <v>2</v>
      </c>
      <c r="AB1685">
        <v>2</v>
      </c>
      <c r="AC1685">
        <v>2</v>
      </c>
      <c r="AD1685">
        <v>7</v>
      </c>
      <c r="AE1685">
        <v>7</v>
      </c>
      <c r="AF1685">
        <v>4</v>
      </c>
      <c r="AG1685">
        <v>2</v>
      </c>
      <c r="AH1685">
        <v>-2</v>
      </c>
      <c r="AI1685">
        <v>0</v>
      </c>
    </row>
    <row r="1686" spans="1:35" hidden="1" x14ac:dyDescent="0.25">
      <c r="A1686">
        <v>2020</v>
      </c>
      <c r="B1686" s="1">
        <v>44235</v>
      </c>
      <c r="C1686">
        <v>35</v>
      </c>
      <c r="D1686">
        <v>0</v>
      </c>
      <c r="E1686">
        <v>46931</v>
      </c>
      <c r="F1686" t="s">
        <v>51</v>
      </c>
      <c r="G1686" t="s">
        <v>83</v>
      </c>
      <c r="H1686" t="s">
        <v>320</v>
      </c>
      <c r="I1686" t="s">
        <v>85</v>
      </c>
      <c r="J1686">
        <v>20</v>
      </c>
      <c r="K1686">
        <v>7</v>
      </c>
      <c r="L1686">
        <v>4580000</v>
      </c>
      <c r="M1686">
        <v>47850000</v>
      </c>
      <c r="N1686" t="s">
        <v>435</v>
      </c>
      <c r="O1686" t="s">
        <v>86</v>
      </c>
      <c r="P1686">
        <v>2</v>
      </c>
      <c r="Q1686">
        <v>5</v>
      </c>
      <c r="R1686">
        <v>0</v>
      </c>
      <c r="S1686">
        <v>2</v>
      </c>
      <c r="T1686">
        <v>5</v>
      </c>
      <c r="U1686">
        <v>2</v>
      </c>
      <c r="V1686">
        <v>14</v>
      </c>
      <c r="W1686">
        <v>18</v>
      </c>
      <c r="X1686">
        <v>18</v>
      </c>
      <c r="Y1686">
        <v>14</v>
      </c>
      <c r="Z1686">
        <v>2</v>
      </c>
      <c r="AA1686">
        <v>4</v>
      </c>
      <c r="AB1686">
        <v>1</v>
      </c>
      <c r="AC1686">
        <v>1</v>
      </c>
      <c r="AD1686">
        <v>18</v>
      </c>
      <c r="AE1686">
        <v>13</v>
      </c>
      <c r="AF1686">
        <v>10</v>
      </c>
      <c r="AG1686">
        <v>3</v>
      </c>
      <c r="AH1686">
        <v>-3</v>
      </c>
      <c r="AI1686">
        <v>0</v>
      </c>
    </row>
    <row r="1687" spans="1:35" hidden="1" x14ac:dyDescent="0.25">
      <c r="A1687">
        <v>2020</v>
      </c>
      <c r="B1687" s="1">
        <v>44136</v>
      </c>
      <c r="C1687">
        <v>19</v>
      </c>
      <c r="D1687">
        <v>0</v>
      </c>
      <c r="E1687">
        <v>78838</v>
      </c>
      <c r="F1687" t="s">
        <v>77</v>
      </c>
      <c r="G1687" t="s">
        <v>62</v>
      </c>
      <c r="H1687" t="s">
        <v>430</v>
      </c>
      <c r="I1687" t="s">
        <v>57</v>
      </c>
      <c r="J1687">
        <v>2</v>
      </c>
      <c r="K1687">
        <v>3</v>
      </c>
      <c r="L1687">
        <v>48050000</v>
      </c>
      <c r="M1687">
        <v>31200000</v>
      </c>
      <c r="N1687" t="s">
        <v>122</v>
      </c>
      <c r="O1687" t="s">
        <v>149</v>
      </c>
      <c r="P1687">
        <v>1</v>
      </c>
      <c r="Q1687">
        <v>4</v>
      </c>
      <c r="R1687">
        <v>1</v>
      </c>
      <c r="S1687">
        <v>2</v>
      </c>
      <c r="T1687">
        <v>6</v>
      </c>
      <c r="U1687">
        <v>4</v>
      </c>
      <c r="V1687">
        <v>18</v>
      </c>
      <c r="W1687">
        <v>18</v>
      </c>
      <c r="X1687">
        <v>18</v>
      </c>
      <c r="Y1687">
        <v>17</v>
      </c>
      <c r="Z1687">
        <v>4</v>
      </c>
      <c r="AA1687">
        <v>6</v>
      </c>
      <c r="AB1687">
        <v>2</v>
      </c>
      <c r="AC1687">
        <v>0</v>
      </c>
      <c r="AD1687">
        <v>17</v>
      </c>
      <c r="AE1687">
        <v>13</v>
      </c>
      <c r="AF1687">
        <v>3</v>
      </c>
      <c r="AG1687">
        <v>3</v>
      </c>
      <c r="AH1687">
        <v>-3</v>
      </c>
      <c r="AI1687">
        <v>0</v>
      </c>
    </row>
    <row r="1688" spans="1:35" hidden="1" x14ac:dyDescent="0.25">
      <c r="A1688">
        <v>2020</v>
      </c>
      <c r="B1688" s="1">
        <v>44053</v>
      </c>
      <c r="C1688">
        <v>1</v>
      </c>
      <c r="D1688">
        <v>0</v>
      </c>
      <c r="E1688">
        <v>60326</v>
      </c>
      <c r="F1688" t="s">
        <v>63</v>
      </c>
      <c r="G1688" t="s">
        <v>69</v>
      </c>
      <c r="H1688" t="s">
        <v>40</v>
      </c>
      <c r="I1688" t="s">
        <v>315</v>
      </c>
      <c r="J1688">
        <v>19</v>
      </c>
      <c r="K1688">
        <v>2</v>
      </c>
      <c r="L1688">
        <v>7450000</v>
      </c>
      <c r="M1688">
        <v>11600000</v>
      </c>
      <c r="N1688" t="s">
        <v>200</v>
      </c>
      <c r="O1688" t="s">
        <v>233</v>
      </c>
      <c r="P1688">
        <v>0</v>
      </c>
      <c r="Q1688">
        <v>2</v>
      </c>
      <c r="R1688">
        <v>0</v>
      </c>
      <c r="S1688">
        <v>2</v>
      </c>
      <c r="T1688">
        <v>3</v>
      </c>
      <c r="U1688">
        <v>4</v>
      </c>
      <c r="V1688">
        <v>12</v>
      </c>
      <c r="W1688">
        <v>7</v>
      </c>
      <c r="X1688">
        <v>7</v>
      </c>
      <c r="Y1688">
        <v>11</v>
      </c>
      <c r="Z1688">
        <v>3</v>
      </c>
      <c r="AA1688">
        <v>3</v>
      </c>
      <c r="AB1688">
        <v>1</v>
      </c>
      <c r="AC1688">
        <v>1</v>
      </c>
      <c r="AD1688">
        <v>10</v>
      </c>
      <c r="AE1688">
        <v>13</v>
      </c>
      <c r="AF1688">
        <v>4</v>
      </c>
      <c r="AG1688">
        <v>4</v>
      </c>
      <c r="AH1688">
        <v>-2</v>
      </c>
      <c r="AI1688">
        <v>0</v>
      </c>
    </row>
    <row r="1689" spans="1:35" hidden="1" x14ac:dyDescent="0.25">
      <c r="A1689">
        <v>2020</v>
      </c>
      <c r="B1689" s="1">
        <v>44083</v>
      </c>
      <c r="C1689">
        <v>9</v>
      </c>
      <c r="D1689">
        <v>0</v>
      </c>
      <c r="E1689">
        <v>50049</v>
      </c>
      <c r="F1689" t="s">
        <v>416</v>
      </c>
      <c r="G1689" t="s">
        <v>321</v>
      </c>
      <c r="J1689">
        <v>20</v>
      </c>
      <c r="K1689">
        <v>17</v>
      </c>
      <c r="P1689">
        <v>3</v>
      </c>
      <c r="Q1689">
        <v>3</v>
      </c>
      <c r="R1689">
        <v>1</v>
      </c>
      <c r="S1689">
        <v>2</v>
      </c>
      <c r="T1689">
        <v>9</v>
      </c>
      <c r="U1689">
        <v>2</v>
      </c>
      <c r="V1689">
        <v>27</v>
      </c>
      <c r="W1689">
        <v>13</v>
      </c>
      <c r="X1689">
        <v>11</v>
      </c>
      <c r="Y1689">
        <v>25</v>
      </c>
      <c r="Z1689">
        <v>0</v>
      </c>
      <c r="AA1689">
        <v>4</v>
      </c>
      <c r="AB1689">
        <v>0</v>
      </c>
      <c r="AC1689">
        <v>2</v>
      </c>
      <c r="AD1689">
        <v>19</v>
      </c>
      <c r="AE1689">
        <v>13</v>
      </c>
      <c r="AF1689">
        <v>8</v>
      </c>
      <c r="AG1689">
        <v>5</v>
      </c>
      <c r="AH1689">
        <v>0</v>
      </c>
      <c r="AI1689">
        <v>0</v>
      </c>
    </row>
    <row r="1690" spans="1:35" hidden="1" x14ac:dyDescent="0.25">
      <c r="A1690">
        <v>2020</v>
      </c>
      <c r="B1690" s="1">
        <v>44217</v>
      </c>
      <c r="C1690">
        <v>31</v>
      </c>
      <c r="D1690">
        <v>0</v>
      </c>
      <c r="E1690">
        <v>12500</v>
      </c>
      <c r="F1690" t="s">
        <v>416</v>
      </c>
      <c r="G1690" t="s">
        <v>361</v>
      </c>
      <c r="H1690" t="s">
        <v>380</v>
      </c>
      <c r="I1690" t="s">
        <v>340</v>
      </c>
      <c r="J1690">
        <v>18</v>
      </c>
      <c r="K1690">
        <v>11</v>
      </c>
      <c r="L1690">
        <v>5830000</v>
      </c>
      <c r="M1690">
        <v>6700000</v>
      </c>
      <c r="N1690" t="s">
        <v>80</v>
      </c>
      <c r="O1690">
        <v>28</v>
      </c>
      <c r="P1690">
        <v>0</v>
      </c>
      <c r="Q1690">
        <v>4</v>
      </c>
      <c r="R1690">
        <v>0</v>
      </c>
      <c r="S1690">
        <v>2</v>
      </c>
      <c r="T1690">
        <v>6</v>
      </c>
      <c r="U1690">
        <v>1</v>
      </c>
      <c r="V1690">
        <v>12</v>
      </c>
      <c r="W1690">
        <v>10</v>
      </c>
      <c r="X1690">
        <v>9</v>
      </c>
      <c r="Y1690">
        <v>11</v>
      </c>
      <c r="Z1690">
        <v>0</v>
      </c>
      <c r="AA1690">
        <v>2</v>
      </c>
      <c r="AB1690">
        <v>1</v>
      </c>
      <c r="AC1690">
        <v>0</v>
      </c>
      <c r="AD1690">
        <v>14</v>
      </c>
      <c r="AE1690">
        <v>12</v>
      </c>
      <c r="AF1690">
        <v>9</v>
      </c>
      <c r="AG1690">
        <v>3</v>
      </c>
      <c r="AH1690">
        <v>-4</v>
      </c>
      <c r="AI1690">
        <v>0</v>
      </c>
    </row>
    <row r="1691" spans="1:35" hidden="1" x14ac:dyDescent="0.25">
      <c r="A1691">
        <v>2020</v>
      </c>
      <c r="B1691" s="1">
        <v>44118</v>
      </c>
      <c r="C1691">
        <v>16</v>
      </c>
      <c r="D1691">
        <v>0</v>
      </c>
      <c r="E1691">
        <v>43600</v>
      </c>
      <c r="F1691" t="s">
        <v>95</v>
      </c>
      <c r="G1691" t="s">
        <v>321</v>
      </c>
      <c r="J1691">
        <v>7</v>
      </c>
      <c r="K1691">
        <v>18</v>
      </c>
      <c r="P1691">
        <v>1</v>
      </c>
      <c r="Q1691">
        <v>3</v>
      </c>
      <c r="R1691">
        <v>1</v>
      </c>
      <c r="S1691">
        <v>2</v>
      </c>
      <c r="T1691">
        <v>6</v>
      </c>
      <c r="U1691">
        <v>2</v>
      </c>
      <c r="V1691">
        <v>13</v>
      </c>
      <c r="W1691">
        <v>20</v>
      </c>
      <c r="X1691">
        <v>20</v>
      </c>
      <c r="Y1691">
        <v>12</v>
      </c>
      <c r="Z1691">
        <v>6</v>
      </c>
      <c r="AA1691">
        <v>4</v>
      </c>
      <c r="AB1691">
        <v>1</v>
      </c>
      <c r="AC1691">
        <v>2</v>
      </c>
      <c r="AD1691">
        <v>16</v>
      </c>
      <c r="AE1691">
        <v>12</v>
      </c>
      <c r="AF1691">
        <v>6</v>
      </c>
      <c r="AG1691">
        <v>2</v>
      </c>
      <c r="AH1691">
        <v>-2</v>
      </c>
      <c r="AI1691">
        <v>0</v>
      </c>
    </row>
    <row r="1692" spans="1:35" hidden="1" x14ac:dyDescent="0.25">
      <c r="A1692">
        <v>2020</v>
      </c>
      <c r="B1692" s="1">
        <v>44087</v>
      </c>
      <c r="C1692">
        <v>10</v>
      </c>
      <c r="D1692">
        <v>0</v>
      </c>
      <c r="E1692">
        <v>20120</v>
      </c>
      <c r="F1692" t="s">
        <v>419</v>
      </c>
      <c r="G1692" t="s">
        <v>62</v>
      </c>
      <c r="H1692" t="s">
        <v>71</v>
      </c>
      <c r="I1692" t="s">
        <v>57</v>
      </c>
      <c r="J1692">
        <v>7</v>
      </c>
      <c r="K1692">
        <v>2</v>
      </c>
      <c r="L1692">
        <v>22700000</v>
      </c>
      <c r="M1692">
        <v>30700000</v>
      </c>
      <c r="N1692" t="s">
        <v>252</v>
      </c>
      <c r="O1692" t="s">
        <v>239</v>
      </c>
      <c r="P1692">
        <v>2</v>
      </c>
      <c r="Q1692">
        <v>2</v>
      </c>
      <c r="R1692">
        <v>1</v>
      </c>
      <c r="S1692">
        <v>2</v>
      </c>
      <c r="T1692">
        <v>5</v>
      </c>
      <c r="U1692">
        <v>2</v>
      </c>
      <c r="V1692">
        <v>18</v>
      </c>
      <c r="W1692">
        <v>20</v>
      </c>
      <c r="X1692">
        <v>19</v>
      </c>
      <c r="Y1692">
        <v>15</v>
      </c>
      <c r="Z1692">
        <v>4</v>
      </c>
      <c r="AA1692">
        <v>4</v>
      </c>
      <c r="AB1692">
        <v>1</v>
      </c>
      <c r="AC1692">
        <v>3</v>
      </c>
      <c r="AD1692">
        <v>10</v>
      </c>
      <c r="AE1692">
        <v>12</v>
      </c>
      <c r="AF1692">
        <v>4</v>
      </c>
      <c r="AG1692">
        <v>3</v>
      </c>
      <c r="AH1692">
        <v>0</v>
      </c>
      <c r="AI1692">
        <v>0</v>
      </c>
    </row>
    <row r="1693" spans="1:35" hidden="1" x14ac:dyDescent="0.25">
      <c r="A1693">
        <v>2020</v>
      </c>
      <c r="B1693" s="1">
        <v>44163</v>
      </c>
      <c r="C1693">
        <v>23</v>
      </c>
      <c r="D1693">
        <v>0</v>
      </c>
      <c r="E1693">
        <v>20120</v>
      </c>
      <c r="F1693" t="s">
        <v>419</v>
      </c>
      <c r="G1693" t="s">
        <v>391</v>
      </c>
      <c r="H1693" t="s">
        <v>71</v>
      </c>
      <c r="I1693" t="s">
        <v>78</v>
      </c>
      <c r="J1693">
        <v>8</v>
      </c>
      <c r="K1693">
        <v>16</v>
      </c>
      <c r="L1693">
        <v>27150000</v>
      </c>
      <c r="M1693">
        <v>7250000</v>
      </c>
      <c r="N1693" t="s">
        <v>217</v>
      </c>
      <c r="O1693" t="s">
        <v>120</v>
      </c>
      <c r="P1693">
        <v>4</v>
      </c>
      <c r="Q1693">
        <v>2</v>
      </c>
      <c r="R1693">
        <v>2</v>
      </c>
      <c r="S1693">
        <v>2</v>
      </c>
      <c r="T1693">
        <v>5</v>
      </c>
      <c r="U1693">
        <v>4</v>
      </c>
      <c r="V1693">
        <v>17</v>
      </c>
      <c r="W1693">
        <v>24</v>
      </c>
      <c r="X1693">
        <v>23</v>
      </c>
      <c r="Y1693">
        <v>16</v>
      </c>
      <c r="Z1693">
        <v>1</v>
      </c>
      <c r="AA1693">
        <v>1</v>
      </c>
      <c r="AB1693">
        <v>3</v>
      </c>
      <c r="AC1693">
        <v>0</v>
      </c>
      <c r="AD1693">
        <v>11</v>
      </c>
      <c r="AE1693">
        <v>9</v>
      </c>
      <c r="AF1693">
        <v>4</v>
      </c>
      <c r="AG1693">
        <v>2</v>
      </c>
      <c r="AH1693">
        <v>2</v>
      </c>
      <c r="AI1693">
        <v>1</v>
      </c>
    </row>
    <row r="1694" spans="1:35" hidden="1" x14ac:dyDescent="0.25">
      <c r="A1694">
        <v>2020</v>
      </c>
      <c r="B1694" s="1">
        <v>44084</v>
      </c>
      <c r="C1694">
        <v>9</v>
      </c>
      <c r="D1694">
        <v>0</v>
      </c>
      <c r="E1694">
        <v>82238</v>
      </c>
      <c r="F1694" t="s">
        <v>55</v>
      </c>
      <c r="G1694" t="s">
        <v>77</v>
      </c>
      <c r="H1694" t="s">
        <v>328</v>
      </c>
      <c r="I1694" t="s">
        <v>430</v>
      </c>
      <c r="J1694">
        <v>9</v>
      </c>
      <c r="K1694">
        <v>5</v>
      </c>
      <c r="L1694">
        <v>9750000</v>
      </c>
      <c r="M1694">
        <v>71800000</v>
      </c>
      <c r="N1694" t="s">
        <v>107</v>
      </c>
      <c r="O1694">
        <v>28</v>
      </c>
      <c r="P1694">
        <v>1</v>
      </c>
      <c r="Q1694">
        <v>2</v>
      </c>
      <c r="R1694">
        <v>0</v>
      </c>
      <c r="S1694">
        <v>2</v>
      </c>
      <c r="T1694">
        <v>7</v>
      </c>
      <c r="U1694">
        <v>6</v>
      </c>
      <c r="V1694">
        <v>15</v>
      </c>
      <c r="W1694">
        <v>16</v>
      </c>
      <c r="X1694">
        <v>16</v>
      </c>
      <c r="Y1694">
        <v>15</v>
      </c>
      <c r="Z1694">
        <v>4</v>
      </c>
      <c r="AA1694">
        <v>2</v>
      </c>
      <c r="AB1694">
        <v>1</v>
      </c>
      <c r="AC1694">
        <v>2</v>
      </c>
      <c r="AD1694">
        <v>18</v>
      </c>
      <c r="AE1694">
        <v>13</v>
      </c>
      <c r="AF1694">
        <v>7</v>
      </c>
      <c r="AG1694">
        <v>6</v>
      </c>
      <c r="AH1694">
        <v>-1</v>
      </c>
      <c r="AI1694">
        <v>0</v>
      </c>
    </row>
    <row r="1695" spans="1:35" hidden="1" x14ac:dyDescent="0.25">
      <c r="A1695">
        <v>2020</v>
      </c>
      <c r="B1695" s="1">
        <v>44217</v>
      </c>
      <c r="C1695">
        <v>31</v>
      </c>
      <c r="D1695">
        <v>0</v>
      </c>
      <c r="E1695">
        <v>67428</v>
      </c>
      <c r="F1695" t="s">
        <v>62</v>
      </c>
      <c r="G1695" t="s">
        <v>37</v>
      </c>
      <c r="H1695" t="s">
        <v>57</v>
      </c>
      <c r="I1695" t="s">
        <v>376</v>
      </c>
      <c r="J1695">
        <v>1</v>
      </c>
      <c r="K1695">
        <v>3</v>
      </c>
      <c r="L1695">
        <v>27800000</v>
      </c>
      <c r="M1695">
        <v>23700000</v>
      </c>
      <c r="N1695" t="s">
        <v>107</v>
      </c>
      <c r="O1695" t="s">
        <v>80</v>
      </c>
      <c r="P1695">
        <v>1</v>
      </c>
      <c r="Q1695">
        <v>5</v>
      </c>
      <c r="R1695">
        <v>1</v>
      </c>
      <c r="S1695">
        <v>2</v>
      </c>
      <c r="T1695">
        <v>7</v>
      </c>
      <c r="U1695">
        <v>2</v>
      </c>
      <c r="V1695">
        <v>15</v>
      </c>
      <c r="W1695">
        <v>19</v>
      </c>
      <c r="X1695">
        <v>18</v>
      </c>
      <c r="Y1695">
        <v>14</v>
      </c>
      <c r="Z1695">
        <v>2</v>
      </c>
      <c r="AA1695">
        <v>4</v>
      </c>
      <c r="AB1695">
        <v>0</v>
      </c>
      <c r="AC1695">
        <v>2</v>
      </c>
      <c r="AD1695">
        <v>11</v>
      </c>
      <c r="AE1695">
        <v>19</v>
      </c>
      <c r="AF1695">
        <v>4</v>
      </c>
      <c r="AG1695">
        <v>8</v>
      </c>
      <c r="AH1695">
        <v>-4</v>
      </c>
      <c r="AI1695">
        <v>0</v>
      </c>
    </row>
    <row r="1696" spans="1:35" hidden="1" x14ac:dyDescent="0.25">
      <c r="A1696">
        <v>2020</v>
      </c>
      <c r="B1696" s="1">
        <v>44222</v>
      </c>
      <c r="C1696">
        <v>32</v>
      </c>
      <c r="D1696">
        <v>0</v>
      </c>
      <c r="E1696">
        <v>49205</v>
      </c>
      <c r="F1696" t="s">
        <v>88</v>
      </c>
      <c r="G1696" t="s">
        <v>56</v>
      </c>
      <c r="H1696" t="s">
        <v>429</v>
      </c>
      <c r="I1696" t="s">
        <v>341</v>
      </c>
      <c r="J1696">
        <v>8</v>
      </c>
      <c r="K1696">
        <v>11</v>
      </c>
      <c r="L1696">
        <v>29300000</v>
      </c>
      <c r="M1696">
        <v>19150000</v>
      </c>
      <c r="N1696" t="s">
        <v>74</v>
      </c>
      <c r="O1696" t="s">
        <v>168</v>
      </c>
      <c r="P1696">
        <v>0</v>
      </c>
      <c r="Q1696">
        <v>2</v>
      </c>
      <c r="R1696">
        <v>0</v>
      </c>
      <c r="S1696">
        <v>2</v>
      </c>
      <c r="T1696">
        <v>8</v>
      </c>
      <c r="U1696">
        <v>3</v>
      </c>
      <c r="V1696">
        <v>16</v>
      </c>
      <c r="W1696">
        <v>14</v>
      </c>
      <c r="X1696">
        <v>14</v>
      </c>
      <c r="Y1696">
        <v>15</v>
      </c>
      <c r="Z1696">
        <v>3</v>
      </c>
      <c r="AA1696">
        <v>5</v>
      </c>
      <c r="AB1696">
        <v>2</v>
      </c>
      <c r="AC1696">
        <v>3</v>
      </c>
      <c r="AD1696">
        <v>13</v>
      </c>
      <c r="AE1696">
        <v>13</v>
      </c>
      <c r="AF1696">
        <v>4</v>
      </c>
      <c r="AG1696">
        <v>5</v>
      </c>
      <c r="AH1696">
        <v>-2</v>
      </c>
      <c r="AI1696">
        <v>0</v>
      </c>
    </row>
    <row r="1697" spans="1:35" hidden="1" x14ac:dyDescent="0.25">
      <c r="A1697">
        <v>2020</v>
      </c>
      <c r="B1697" s="1">
        <v>44238</v>
      </c>
      <c r="C1697">
        <v>35</v>
      </c>
      <c r="D1697">
        <v>0</v>
      </c>
      <c r="E1697">
        <v>49205</v>
      </c>
      <c r="F1697" t="s">
        <v>88</v>
      </c>
      <c r="G1697" t="s">
        <v>69</v>
      </c>
      <c r="H1697" t="s">
        <v>429</v>
      </c>
      <c r="I1697" t="s">
        <v>334</v>
      </c>
      <c r="J1697">
        <v>9</v>
      </c>
      <c r="K1697">
        <v>11</v>
      </c>
      <c r="L1697">
        <v>24600000</v>
      </c>
      <c r="M1697">
        <v>25950000</v>
      </c>
      <c r="N1697" t="s">
        <v>66</v>
      </c>
      <c r="O1697" t="s">
        <v>104</v>
      </c>
      <c r="P1697">
        <v>3</v>
      </c>
      <c r="Q1697">
        <v>3</v>
      </c>
      <c r="R1697">
        <v>2</v>
      </c>
      <c r="S1697">
        <v>2</v>
      </c>
      <c r="T1697">
        <v>3</v>
      </c>
      <c r="U1697">
        <v>2</v>
      </c>
      <c r="V1697">
        <v>19</v>
      </c>
      <c r="W1697">
        <v>12</v>
      </c>
      <c r="X1697">
        <v>11</v>
      </c>
      <c r="Y1697">
        <v>17</v>
      </c>
      <c r="Z1697">
        <v>3</v>
      </c>
      <c r="AA1697">
        <v>6</v>
      </c>
      <c r="AB1697">
        <v>0</v>
      </c>
      <c r="AC1697">
        <v>0</v>
      </c>
      <c r="AD1697">
        <v>18</v>
      </c>
      <c r="AE1697">
        <v>12</v>
      </c>
      <c r="AF1697">
        <v>6</v>
      </c>
      <c r="AG1697">
        <v>3</v>
      </c>
      <c r="AH1697">
        <v>0</v>
      </c>
      <c r="AI1697">
        <v>0</v>
      </c>
    </row>
    <row r="1698" spans="1:35" hidden="1" x14ac:dyDescent="0.25">
      <c r="A1698">
        <v>2020</v>
      </c>
      <c r="B1698" s="1">
        <v>44122</v>
      </c>
      <c r="C1698">
        <v>17</v>
      </c>
      <c r="D1698">
        <v>0</v>
      </c>
      <c r="E1698">
        <v>37182</v>
      </c>
      <c r="F1698" t="s">
        <v>321</v>
      </c>
      <c r="G1698" t="s">
        <v>419</v>
      </c>
      <c r="J1698">
        <v>18</v>
      </c>
      <c r="K1698">
        <v>6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1</v>
      </c>
      <c r="V1698">
        <v>18</v>
      </c>
      <c r="W1698">
        <v>25</v>
      </c>
      <c r="X1698">
        <v>25</v>
      </c>
      <c r="Y1698">
        <v>16</v>
      </c>
      <c r="Z1698">
        <v>0</v>
      </c>
      <c r="AA1698">
        <v>3</v>
      </c>
      <c r="AB1698">
        <v>1</v>
      </c>
      <c r="AC1698">
        <v>0</v>
      </c>
      <c r="AD1698">
        <v>18</v>
      </c>
      <c r="AE1698">
        <v>6</v>
      </c>
      <c r="AF1698">
        <v>9</v>
      </c>
      <c r="AG1698">
        <v>2</v>
      </c>
      <c r="AH1698">
        <v>-1</v>
      </c>
      <c r="AI1698">
        <v>0</v>
      </c>
    </row>
    <row r="1699" spans="1:35" hidden="1" x14ac:dyDescent="0.25">
      <c r="A1699">
        <v>2020</v>
      </c>
      <c r="B1699" s="1">
        <v>44202</v>
      </c>
      <c r="C1699">
        <v>28</v>
      </c>
      <c r="D1699">
        <v>0</v>
      </c>
      <c r="E1699">
        <v>37182</v>
      </c>
      <c r="F1699" t="s">
        <v>321</v>
      </c>
      <c r="G1699" t="s">
        <v>416</v>
      </c>
      <c r="H1699" t="s">
        <v>437</v>
      </c>
      <c r="I1699" t="s">
        <v>380</v>
      </c>
      <c r="J1699">
        <v>20</v>
      </c>
      <c r="K1699">
        <v>18</v>
      </c>
      <c r="L1699">
        <v>8150000</v>
      </c>
      <c r="M1699">
        <v>7200000</v>
      </c>
      <c r="N1699" t="s">
        <v>86</v>
      </c>
      <c r="O1699" t="s">
        <v>104</v>
      </c>
      <c r="P1699">
        <v>1</v>
      </c>
      <c r="Q1699">
        <v>2</v>
      </c>
      <c r="R1699">
        <v>0</v>
      </c>
      <c r="S1699">
        <v>2</v>
      </c>
      <c r="T1699">
        <v>6</v>
      </c>
      <c r="U1699">
        <v>4</v>
      </c>
      <c r="V1699">
        <v>13</v>
      </c>
      <c r="W1699">
        <v>17</v>
      </c>
      <c r="X1699">
        <v>17</v>
      </c>
      <c r="Y1699">
        <v>11</v>
      </c>
      <c r="Z1699">
        <v>3</v>
      </c>
      <c r="AA1699">
        <v>1</v>
      </c>
      <c r="AB1699">
        <v>2</v>
      </c>
      <c r="AC1699">
        <v>2</v>
      </c>
      <c r="AD1699">
        <v>16</v>
      </c>
      <c r="AE1699">
        <v>11</v>
      </c>
      <c r="AF1699">
        <v>11</v>
      </c>
      <c r="AG1699">
        <v>2</v>
      </c>
      <c r="AH1699">
        <v>-1</v>
      </c>
      <c r="AI1699">
        <v>0</v>
      </c>
    </row>
    <row r="1700" spans="1:35" hidden="1" x14ac:dyDescent="0.25">
      <c r="A1700">
        <v>2020</v>
      </c>
      <c r="B1700" s="1">
        <v>44055</v>
      </c>
      <c r="C1700">
        <v>2</v>
      </c>
      <c r="D1700">
        <v>0</v>
      </c>
      <c r="E1700">
        <v>57000</v>
      </c>
      <c r="F1700" t="s">
        <v>89</v>
      </c>
      <c r="G1700" t="s">
        <v>88</v>
      </c>
      <c r="H1700" t="s">
        <v>329</v>
      </c>
      <c r="I1700" t="s">
        <v>333</v>
      </c>
      <c r="J1700">
        <v>7</v>
      </c>
      <c r="K1700">
        <v>12</v>
      </c>
      <c r="L1700">
        <v>23400000</v>
      </c>
      <c r="M1700">
        <v>27700000</v>
      </c>
      <c r="N1700" t="s">
        <v>233</v>
      </c>
      <c r="O1700" t="s">
        <v>168</v>
      </c>
      <c r="P1700">
        <v>3</v>
      </c>
      <c r="Q1700">
        <v>2</v>
      </c>
      <c r="R1700">
        <v>0</v>
      </c>
      <c r="S1700">
        <v>2</v>
      </c>
      <c r="T1700">
        <v>8</v>
      </c>
      <c r="U1700">
        <v>4</v>
      </c>
      <c r="V1700">
        <v>19</v>
      </c>
      <c r="W1700">
        <v>11</v>
      </c>
      <c r="X1700">
        <v>11</v>
      </c>
      <c r="Y1700">
        <v>18</v>
      </c>
      <c r="Z1700">
        <v>2</v>
      </c>
      <c r="AA1700">
        <v>10</v>
      </c>
      <c r="AB1700">
        <v>3</v>
      </c>
      <c r="AC1700">
        <v>1</v>
      </c>
      <c r="AD1700">
        <v>25</v>
      </c>
      <c r="AE1700">
        <v>7</v>
      </c>
      <c r="AF1700">
        <v>9</v>
      </c>
      <c r="AG1700">
        <v>2</v>
      </c>
      <c r="AH1700">
        <v>1</v>
      </c>
      <c r="AI1700">
        <v>1</v>
      </c>
    </row>
    <row r="1701" spans="1:35" hidden="1" x14ac:dyDescent="0.25">
      <c r="A1701">
        <v>2020</v>
      </c>
      <c r="B1701" s="1">
        <v>44153</v>
      </c>
      <c r="C1701">
        <v>6</v>
      </c>
      <c r="D1701">
        <v>0</v>
      </c>
      <c r="E1701">
        <v>57000</v>
      </c>
      <c r="F1701" t="s">
        <v>89</v>
      </c>
      <c r="G1701" t="s">
        <v>69</v>
      </c>
      <c r="H1701" t="s">
        <v>329</v>
      </c>
      <c r="I1701" t="s">
        <v>334</v>
      </c>
      <c r="J1701">
        <v>5</v>
      </c>
      <c r="K1701">
        <v>10</v>
      </c>
      <c r="L1701">
        <v>39750000</v>
      </c>
      <c r="M1701">
        <v>18400000</v>
      </c>
      <c r="N1701" t="s">
        <v>252</v>
      </c>
      <c r="O1701" t="s">
        <v>332</v>
      </c>
      <c r="P1701">
        <v>0</v>
      </c>
      <c r="Q1701">
        <v>2</v>
      </c>
      <c r="R1701">
        <v>0</v>
      </c>
      <c r="S1701">
        <v>2</v>
      </c>
      <c r="T1701">
        <v>9</v>
      </c>
      <c r="U1701">
        <v>1</v>
      </c>
      <c r="V1701">
        <v>7</v>
      </c>
      <c r="W1701">
        <v>23</v>
      </c>
      <c r="X1701">
        <v>23</v>
      </c>
      <c r="Y1701">
        <v>7</v>
      </c>
      <c r="Z1701">
        <v>4</v>
      </c>
      <c r="AA1701">
        <v>6</v>
      </c>
      <c r="AB1701">
        <v>1</v>
      </c>
      <c r="AC1701">
        <v>1</v>
      </c>
      <c r="AD1701">
        <v>21</v>
      </c>
      <c r="AE1701">
        <v>10</v>
      </c>
      <c r="AF1701">
        <v>8</v>
      </c>
      <c r="AG1701">
        <v>3</v>
      </c>
      <c r="AH1701">
        <v>-2</v>
      </c>
      <c r="AI1701">
        <v>0</v>
      </c>
    </row>
    <row r="1702" spans="1:35" hidden="1" x14ac:dyDescent="0.25">
      <c r="A1702">
        <v>2020</v>
      </c>
      <c r="B1702" s="1">
        <v>44115</v>
      </c>
      <c r="C1702">
        <v>15</v>
      </c>
      <c r="D1702">
        <v>0</v>
      </c>
      <c r="E1702">
        <v>35000</v>
      </c>
      <c r="F1702" t="s">
        <v>391</v>
      </c>
      <c r="G1702" t="s">
        <v>51</v>
      </c>
      <c r="H1702" t="s">
        <v>78</v>
      </c>
      <c r="I1702" t="s">
        <v>410</v>
      </c>
      <c r="J1702">
        <v>8</v>
      </c>
      <c r="K1702">
        <v>17</v>
      </c>
      <c r="L1702">
        <v>8100000</v>
      </c>
      <c r="M1702">
        <v>11000000</v>
      </c>
      <c r="N1702">
        <v>28</v>
      </c>
      <c r="O1702" t="s">
        <v>120</v>
      </c>
      <c r="P1702">
        <v>1</v>
      </c>
      <c r="Q1702">
        <v>2</v>
      </c>
      <c r="R1702">
        <v>0</v>
      </c>
      <c r="S1702">
        <v>2</v>
      </c>
      <c r="T1702">
        <v>6</v>
      </c>
      <c r="U1702">
        <v>8</v>
      </c>
      <c r="V1702">
        <v>11</v>
      </c>
      <c r="W1702">
        <v>15</v>
      </c>
      <c r="X1702">
        <v>14</v>
      </c>
      <c r="Y1702">
        <v>11</v>
      </c>
      <c r="Z1702">
        <v>2</v>
      </c>
      <c r="AA1702">
        <v>2</v>
      </c>
      <c r="AB1702">
        <v>0</v>
      </c>
      <c r="AC1702">
        <v>0</v>
      </c>
      <c r="AD1702">
        <v>17</v>
      </c>
      <c r="AE1702">
        <v>11</v>
      </c>
      <c r="AF1702">
        <v>10</v>
      </c>
      <c r="AG1702">
        <v>5</v>
      </c>
      <c r="AH1702">
        <v>-1</v>
      </c>
      <c r="AI1702">
        <v>0</v>
      </c>
    </row>
    <row r="1703" spans="1:35" hidden="1" x14ac:dyDescent="0.25">
      <c r="A1703">
        <v>2020</v>
      </c>
      <c r="B1703" s="1">
        <v>44119</v>
      </c>
      <c r="C1703">
        <v>16</v>
      </c>
      <c r="D1703">
        <v>0</v>
      </c>
      <c r="E1703">
        <v>35000</v>
      </c>
      <c r="F1703" t="s">
        <v>391</v>
      </c>
      <c r="G1703" t="s">
        <v>37</v>
      </c>
      <c r="H1703" t="s">
        <v>78</v>
      </c>
      <c r="I1703" t="s">
        <v>39</v>
      </c>
      <c r="J1703">
        <v>9</v>
      </c>
      <c r="K1703">
        <v>4</v>
      </c>
      <c r="L1703">
        <v>8450000</v>
      </c>
      <c r="M1703">
        <v>25100000</v>
      </c>
      <c r="N1703" t="s">
        <v>66</v>
      </c>
      <c r="O1703" t="s">
        <v>142</v>
      </c>
      <c r="P1703">
        <v>3</v>
      </c>
      <c r="Q1703">
        <v>5</v>
      </c>
      <c r="R1703">
        <v>1</v>
      </c>
      <c r="S1703">
        <v>2</v>
      </c>
      <c r="T1703">
        <v>2</v>
      </c>
      <c r="U1703">
        <v>7</v>
      </c>
      <c r="V1703">
        <v>6</v>
      </c>
      <c r="W1703">
        <v>19</v>
      </c>
      <c r="X1703">
        <v>19</v>
      </c>
      <c r="Y1703">
        <v>6</v>
      </c>
      <c r="Z1703">
        <v>4</v>
      </c>
      <c r="AA1703">
        <v>2</v>
      </c>
      <c r="AB1703">
        <v>1</v>
      </c>
      <c r="AC1703">
        <v>3</v>
      </c>
      <c r="AD1703">
        <v>13</v>
      </c>
      <c r="AE1703">
        <v>14</v>
      </c>
      <c r="AF1703">
        <v>6</v>
      </c>
      <c r="AG1703">
        <v>5</v>
      </c>
      <c r="AH1703">
        <v>-2</v>
      </c>
      <c r="AI1703">
        <v>0</v>
      </c>
    </row>
    <row r="1704" spans="1:35" hidden="1" x14ac:dyDescent="0.25">
      <c r="A1704">
        <v>2020</v>
      </c>
      <c r="B1704" s="1">
        <v>44229</v>
      </c>
      <c r="C1704">
        <v>33</v>
      </c>
      <c r="D1704">
        <v>0</v>
      </c>
      <c r="E1704">
        <v>35000</v>
      </c>
      <c r="F1704" t="s">
        <v>391</v>
      </c>
      <c r="G1704" t="s">
        <v>77</v>
      </c>
      <c r="H1704" t="s">
        <v>78</v>
      </c>
      <c r="I1704" t="s">
        <v>40</v>
      </c>
      <c r="J1704">
        <v>15</v>
      </c>
      <c r="K1704">
        <v>2</v>
      </c>
      <c r="L1704">
        <v>7950000</v>
      </c>
      <c r="M1704">
        <v>75050000</v>
      </c>
      <c r="N1704" t="s">
        <v>151</v>
      </c>
      <c r="O1704" t="s">
        <v>144</v>
      </c>
      <c r="P1704">
        <v>0</v>
      </c>
      <c r="Q1704">
        <v>3</v>
      </c>
      <c r="R1704">
        <v>0</v>
      </c>
      <c r="S1704">
        <v>2</v>
      </c>
      <c r="T1704">
        <v>2</v>
      </c>
      <c r="U1704">
        <v>6</v>
      </c>
      <c r="V1704">
        <v>15</v>
      </c>
      <c r="W1704">
        <v>20</v>
      </c>
      <c r="X1704">
        <v>19</v>
      </c>
      <c r="Y1704">
        <v>13</v>
      </c>
      <c r="Z1704">
        <v>6</v>
      </c>
      <c r="AA1704">
        <v>2</v>
      </c>
      <c r="AB1704">
        <v>0</v>
      </c>
      <c r="AC1704">
        <v>1</v>
      </c>
      <c r="AD1704">
        <v>8</v>
      </c>
      <c r="AE1704">
        <v>21</v>
      </c>
      <c r="AF1704">
        <v>3</v>
      </c>
      <c r="AG1704">
        <v>8</v>
      </c>
      <c r="AH1704">
        <v>-3</v>
      </c>
      <c r="AI1704">
        <v>0</v>
      </c>
    </row>
    <row r="1705" spans="1:35" hidden="1" x14ac:dyDescent="0.25">
      <c r="A1705">
        <v>2020</v>
      </c>
      <c r="B1705" s="1">
        <v>44237</v>
      </c>
      <c r="C1705">
        <v>35</v>
      </c>
      <c r="D1705">
        <v>0</v>
      </c>
      <c r="E1705">
        <v>56000</v>
      </c>
      <c r="F1705" t="s">
        <v>37</v>
      </c>
      <c r="G1705" t="s">
        <v>391</v>
      </c>
      <c r="H1705" t="s">
        <v>376</v>
      </c>
      <c r="I1705" t="s">
        <v>78</v>
      </c>
      <c r="J1705">
        <v>1</v>
      </c>
      <c r="K1705">
        <v>14</v>
      </c>
      <c r="L1705">
        <v>32300000</v>
      </c>
      <c r="M1705">
        <v>7850000</v>
      </c>
      <c r="N1705" t="s">
        <v>116</v>
      </c>
      <c r="O1705" t="s">
        <v>98</v>
      </c>
      <c r="P1705">
        <v>1</v>
      </c>
      <c r="Q1705">
        <v>2</v>
      </c>
      <c r="R1705">
        <v>1</v>
      </c>
      <c r="S1705">
        <v>2</v>
      </c>
      <c r="T1705">
        <v>7</v>
      </c>
      <c r="U1705">
        <v>3</v>
      </c>
      <c r="V1705">
        <v>12</v>
      </c>
      <c r="W1705">
        <v>11</v>
      </c>
      <c r="X1705">
        <v>11</v>
      </c>
      <c r="Y1705">
        <v>11</v>
      </c>
      <c r="Z1705">
        <v>0</v>
      </c>
      <c r="AA1705">
        <v>1</v>
      </c>
      <c r="AB1705">
        <v>0</v>
      </c>
      <c r="AC1705">
        <v>1</v>
      </c>
      <c r="AD1705">
        <v>17</v>
      </c>
      <c r="AE1705">
        <v>7</v>
      </c>
      <c r="AF1705">
        <v>8</v>
      </c>
      <c r="AG1705">
        <v>3</v>
      </c>
      <c r="AH1705">
        <v>-1</v>
      </c>
      <c r="AI1705">
        <v>0</v>
      </c>
    </row>
    <row r="1706" spans="1:35" hidden="1" x14ac:dyDescent="0.25">
      <c r="A1706">
        <v>2020</v>
      </c>
      <c r="B1706" s="1">
        <v>44113</v>
      </c>
      <c r="C1706">
        <v>14</v>
      </c>
      <c r="D1706">
        <v>0</v>
      </c>
      <c r="E1706">
        <v>13212</v>
      </c>
      <c r="F1706" t="s">
        <v>56</v>
      </c>
      <c r="G1706" t="s">
        <v>37</v>
      </c>
      <c r="H1706" t="s">
        <v>341</v>
      </c>
      <c r="I1706" t="s">
        <v>39</v>
      </c>
      <c r="J1706">
        <v>18</v>
      </c>
      <c r="K1706">
        <v>5</v>
      </c>
      <c r="L1706">
        <v>14530000</v>
      </c>
      <c r="M1706">
        <v>28100000</v>
      </c>
      <c r="N1706" t="s">
        <v>114</v>
      </c>
      <c r="O1706" t="s">
        <v>137</v>
      </c>
      <c r="P1706">
        <v>0</v>
      </c>
      <c r="Q1706">
        <v>2</v>
      </c>
      <c r="R1706">
        <v>0</v>
      </c>
      <c r="S1706">
        <v>2</v>
      </c>
      <c r="T1706">
        <v>7</v>
      </c>
      <c r="U1706">
        <v>2</v>
      </c>
      <c r="V1706">
        <v>18</v>
      </c>
      <c r="W1706">
        <v>22</v>
      </c>
      <c r="X1706">
        <v>22</v>
      </c>
      <c r="Y1706">
        <v>16</v>
      </c>
      <c r="Z1706">
        <v>3</v>
      </c>
      <c r="AA1706">
        <v>2</v>
      </c>
      <c r="AB1706">
        <v>2</v>
      </c>
      <c r="AC1706">
        <v>1</v>
      </c>
      <c r="AD1706">
        <v>12</v>
      </c>
      <c r="AE1706">
        <v>8</v>
      </c>
      <c r="AF1706">
        <v>3</v>
      </c>
      <c r="AG1706">
        <v>2</v>
      </c>
      <c r="AH1706">
        <v>-2</v>
      </c>
      <c r="AI1706">
        <v>0</v>
      </c>
    </row>
    <row r="1707" spans="1:35" hidden="1" x14ac:dyDescent="0.25">
      <c r="A1707">
        <v>2020</v>
      </c>
      <c r="B1707" s="1">
        <v>44165</v>
      </c>
      <c r="C1707">
        <v>23</v>
      </c>
      <c r="D1707">
        <v>0</v>
      </c>
      <c r="E1707">
        <v>24584</v>
      </c>
      <c r="F1707" t="s">
        <v>82</v>
      </c>
      <c r="G1707" t="s">
        <v>361</v>
      </c>
      <c r="H1707" t="s">
        <v>417</v>
      </c>
      <c r="I1707" t="s">
        <v>340</v>
      </c>
      <c r="J1707">
        <v>17</v>
      </c>
      <c r="K1707">
        <v>14</v>
      </c>
      <c r="L1707">
        <v>11830000</v>
      </c>
      <c r="M1707">
        <v>6750000</v>
      </c>
      <c r="N1707" t="s">
        <v>252</v>
      </c>
      <c r="O1707" t="s">
        <v>41</v>
      </c>
      <c r="P1707">
        <v>1</v>
      </c>
      <c r="Q1707">
        <v>4</v>
      </c>
      <c r="R1707">
        <v>0</v>
      </c>
      <c r="S1707">
        <v>2</v>
      </c>
      <c r="T1707">
        <v>9</v>
      </c>
      <c r="U1707">
        <v>3</v>
      </c>
      <c r="V1707">
        <v>14</v>
      </c>
      <c r="W1707">
        <v>18</v>
      </c>
      <c r="X1707">
        <v>16</v>
      </c>
      <c r="Y1707">
        <v>11</v>
      </c>
      <c r="Z1707">
        <v>2</v>
      </c>
      <c r="AA1707">
        <v>3</v>
      </c>
      <c r="AB1707">
        <v>1</v>
      </c>
      <c r="AC1707">
        <v>3</v>
      </c>
      <c r="AD1707">
        <v>12</v>
      </c>
      <c r="AE1707">
        <v>11</v>
      </c>
      <c r="AF1707">
        <v>7</v>
      </c>
      <c r="AG1707">
        <v>4</v>
      </c>
      <c r="AH1707">
        <v>-3</v>
      </c>
      <c r="AI1707">
        <v>0</v>
      </c>
    </row>
    <row r="1708" spans="1:35" hidden="1" x14ac:dyDescent="0.25">
      <c r="A1708">
        <v>2020</v>
      </c>
      <c r="B1708" s="1">
        <v>44253</v>
      </c>
      <c r="C1708">
        <v>38</v>
      </c>
      <c r="D1708">
        <v>0</v>
      </c>
      <c r="E1708">
        <v>24584</v>
      </c>
      <c r="F1708" t="s">
        <v>82</v>
      </c>
      <c r="G1708" t="s">
        <v>416</v>
      </c>
      <c r="H1708" t="s">
        <v>317</v>
      </c>
      <c r="I1708" t="s">
        <v>380</v>
      </c>
      <c r="J1708">
        <v>17</v>
      </c>
      <c r="K1708">
        <v>18</v>
      </c>
      <c r="L1708">
        <v>23150000</v>
      </c>
      <c r="M1708">
        <v>5850000</v>
      </c>
      <c r="N1708" t="s">
        <v>135</v>
      </c>
      <c r="O1708" t="s">
        <v>80</v>
      </c>
      <c r="P1708">
        <v>3</v>
      </c>
      <c r="Q1708">
        <v>2</v>
      </c>
      <c r="R1708">
        <v>1</v>
      </c>
      <c r="S1708">
        <v>2</v>
      </c>
      <c r="T1708">
        <v>9</v>
      </c>
      <c r="U1708">
        <v>6</v>
      </c>
      <c r="V1708">
        <v>12</v>
      </c>
      <c r="W1708">
        <v>18</v>
      </c>
      <c r="X1708">
        <v>17</v>
      </c>
      <c r="Y1708">
        <v>12</v>
      </c>
      <c r="Z1708">
        <v>3</v>
      </c>
      <c r="AA1708">
        <v>9</v>
      </c>
      <c r="AB1708">
        <v>2</v>
      </c>
      <c r="AC1708">
        <v>2</v>
      </c>
      <c r="AD1708">
        <v>27</v>
      </c>
      <c r="AE1708">
        <v>20</v>
      </c>
      <c r="AF1708">
        <v>6</v>
      </c>
      <c r="AG1708">
        <v>7</v>
      </c>
      <c r="AH1708">
        <v>1</v>
      </c>
      <c r="AI1708">
        <v>1</v>
      </c>
    </row>
    <row r="1709" spans="1:35" hidden="1" x14ac:dyDescent="0.25">
      <c r="A1709">
        <v>2020</v>
      </c>
      <c r="B1709" s="1">
        <v>44077</v>
      </c>
      <c r="C1709">
        <v>7</v>
      </c>
      <c r="D1709">
        <v>0</v>
      </c>
      <c r="E1709">
        <v>55000</v>
      </c>
      <c r="F1709" t="s">
        <v>38</v>
      </c>
      <c r="G1709" t="s">
        <v>77</v>
      </c>
      <c r="H1709" t="s">
        <v>46</v>
      </c>
      <c r="I1709" t="s">
        <v>430</v>
      </c>
      <c r="J1709">
        <v>4</v>
      </c>
      <c r="K1709">
        <v>11</v>
      </c>
      <c r="L1709">
        <v>11950000</v>
      </c>
      <c r="M1709">
        <v>54500000</v>
      </c>
      <c r="N1709" t="s">
        <v>208</v>
      </c>
      <c r="O1709" t="s">
        <v>104</v>
      </c>
      <c r="P1709">
        <v>3</v>
      </c>
      <c r="Q1709">
        <v>5</v>
      </c>
      <c r="R1709">
        <v>2</v>
      </c>
      <c r="S1709">
        <v>3</v>
      </c>
      <c r="T1709">
        <v>5</v>
      </c>
      <c r="U1709">
        <v>6</v>
      </c>
      <c r="V1709">
        <v>8</v>
      </c>
      <c r="W1709">
        <v>17</v>
      </c>
      <c r="X1709">
        <v>17</v>
      </c>
      <c r="Y1709">
        <v>8</v>
      </c>
      <c r="Z1709">
        <v>3</v>
      </c>
      <c r="AA1709">
        <v>3</v>
      </c>
      <c r="AB1709">
        <v>2</v>
      </c>
      <c r="AC1709">
        <v>2</v>
      </c>
      <c r="AD1709">
        <v>14</v>
      </c>
      <c r="AE1709">
        <v>20</v>
      </c>
      <c r="AF1709">
        <v>6</v>
      </c>
      <c r="AG1709">
        <v>7</v>
      </c>
      <c r="AH1709">
        <v>-2</v>
      </c>
      <c r="AI1709">
        <v>0</v>
      </c>
    </row>
    <row r="1710" spans="1:35" hidden="1" x14ac:dyDescent="0.25">
      <c r="A1710">
        <v>2019</v>
      </c>
      <c r="B1710" s="1">
        <v>43613</v>
      </c>
      <c r="C1710">
        <v>6</v>
      </c>
      <c r="D1710">
        <v>9168</v>
      </c>
      <c r="E1710">
        <v>20000</v>
      </c>
      <c r="F1710" t="s">
        <v>443</v>
      </c>
      <c r="G1710" t="s">
        <v>416</v>
      </c>
      <c r="H1710" t="s">
        <v>408</v>
      </c>
      <c r="I1710" t="s">
        <v>444</v>
      </c>
      <c r="J1710">
        <v>18</v>
      </c>
      <c r="K1710">
        <v>6</v>
      </c>
      <c r="L1710">
        <v>9450000</v>
      </c>
      <c r="M1710">
        <v>10050000</v>
      </c>
      <c r="N1710" t="s">
        <v>174</v>
      </c>
      <c r="O1710" t="s">
        <v>122</v>
      </c>
      <c r="P1710">
        <v>1</v>
      </c>
      <c r="Q1710">
        <v>0</v>
      </c>
      <c r="R1710">
        <v>0</v>
      </c>
      <c r="S1710">
        <v>0</v>
      </c>
      <c r="T1710">
        <v>3</v>
      </c>
      <c r="U1710">
        <v>9</v>
      </c>
      <c r="V1710">
        <v>18</v>
      </c>
      <c r="W1710">
        <v>10</v>
      </c>
      <c r="X1710">
        <v>10</v>
      </c>
      <c r="Y1710">
        <v>19</v>
      </c>
      <c r="Z1710">
        <v>5</v>
      </c>
      <c r="AA1710">
        <v>3</v>
      </c>
      <c r="AB1710">
        <v>1</v>
      </c>
      <c r="AC1710">
        <v>0</v>
      </c>
      <c r="AD1710">
        <v>4</v>
      </c>
      <c r="AE1710">
        <v>5</v>
      </c>
      <c r="AF1710">
        <v>4</v>
      </c>
      <c r="AG1710">
        <v>5</v>
      </c>
      <c r="AH1710">
        <v>1</v>
      </c>
      <c r="AI1710">
        <v>1</v>
      </c>
    </row>
    <row r="1711" spans="1:35" hidden="1" x14ac:dyDescent="0.25">
      <c r="A1711">
        <v>2019</v>
      </c>
      <c r="B1711" s="1">
        <v>43626</v>
      </c>
      <c r="C1711">
        <v>8</v>
      </c>
      <c r="D1711">
        <v>11602</v>
      </c>
      <c r="E1711">
        <v>20000</v>
      </c>
      <c r="F1711" t="s">
        <v>443</v>
      </c>
      <c r="G1711" t="s">
        <v>51</v>
      </c>
      <c r="H1711" t="s">
        <v>408</v>
      </c>
      <c r="I1711" t="s">
        <v>367</v>
      </c>
      <c r="J1711">
        <v>17</v>
      </c>
      <c r="K1711">
        <v>8</v>
      </c>
      <c r="L1711">
        <v>9100000</v>
      </c>
      <c r="M1711">
        <v>17800000</v>
      </c>
      <c r="N1711">
        <v>29</v>
      </c>
      <c r="O1711" t="s">
        <v>100</v>
      </c>
      <c r="P1711">
        <v>1</v>
      </c>
      <c r="Q1711">
        <v>2</v>
      </c>
      <c r="R1711">
        <v>0</v>
      </c>
      <c r="S1711">
        <v>0</v>
      </c>
      <c r="T1711">
        <v>8</v>
      </c>
      <c r="U1711">
        <v>2</v>
      </c>
      <c r="V1711">
        <v>11</v>
      </c>
      <c r="W1711">
        <v>7</v>
      </c>
      <c r="X1711">
        <v>7</v>
      </c>
      <c r="Y1711">
        <v>14</v>
      </c>
      <c r="Z1711">
        <v>4</v>
      </c>
      <c r="AA1711">
        <v>6</v>
      </c>
      <c r="AB1711">
        <v>3</v>
      </c>
      <c r="AC1711">
        <v>0</v>
      </c>
      <c r="AD1711">
        <v>4</v>
      </c>
      <c r="AE1711">
        <v>4</v>
      </c>
      <c r="AF1711">
        <v>7</v>
      </c>
      <c r="AG1711">
        <v>5</v>
      </c>
      <c r="AH1711">
        <v>-1</v>
      </c>
      <c r="AI1711">
        <v>0</v>
      </c>
    </row>
    <row r="1712" spans="1:35" hidden="1" x14ac:dyDescent="0.25">
      <c r="A1712">
        <v>2019</v>
      </c>
      <c r="B1712" s="1">
        <v>43667</v>
      </c>
      <c r="C1712">
        <v>11</v>
      </c>
      <c r="D1712">
        <v>7845</v>
      </c>
      <c r="E1712">
        <v>20000</v>
      </c>
      <c r="F1712" t="s">
        <v>443</v>
      </c>
      <c r="G1712" t="s">
        <v>69</v>
      </c>
      <c r="H1712" t="s">
        <v>445</v>
      </c>
      <c r="I1712" t="s">
        <v>333</v>
      </c>
      <c r="J1712">
        <v>19</v>
      </c>
      <c r="K1712">
        <v>12</v>
      </c>
      <c r="L1712">
        <v>8600000</v>
      </c>
      <c r="M1712">
        <v>10500000</v>
      </c>
      <c r="N1712" t="s">
        <v>144</v>
      </c>
      <c r="O1712" t="s">
        <v>113</v>
      </c>
      <c r="P1712">
        <v>0</v>
      </c>
      <c r="Q1712">
        <v>4</v>
      </c>
      <c r="R1712">
        <v>0</v>
      </c>
      <c r="S1712">
        <v>1</v>
      </c>
      <c r="T1712">
        <v>3</v>
      </c>
      <c r="U1712">
        <v>6</v>
      </c>
      <c r="V1712">
        <v>14</v>
      </c>
      <c r="W1712">
        <v>28</v>
      </c>
      <c r="X1712">
        <v>30</v>
      </c>
      <c r="Y1712">
        <v>14</v>
      </c>
      <c r="Z1712">
        <v>5</v>
      </c>
      <c r="AA1712">
        <v>2</v>
      </c>
      <c r="AB1712">
        <v>0</v>
      </c>
      <c r="AC1712">
        <v>0</v>
      </c>
      <c r="AD1712">
        <v>2</v>
      </c>
      <c r="AE1712">
        <v>10</v>
      </c>
      <c r="AF1712">
        <v>9</v>
      </c>
      <c r="AG1712">
        <v>3</v>
      </c>
      <c r="AH1712">
        <v>-4</v>
      </c>
      <c r="AI1712">
        <v>0</v>
      </c>
    </row>
    <row r="1713" spans="1:35" hidden="1" x14ac:dyDescent="0.25">
      <c r="A1713">
        <v>2019</v>
      </c>
      <c r="B1713" s="1">
        <v>43591</v>
      </c>
      <c r="C1713">
        <v>3</v>
      </c>
      <c r="D1713">
        <v>9734</v>
      </c>
      <c r="E1713">
        <v>60540</v>
      </c>
      <c r="F1713" t="s">
        <v>83</v>
      </c>
      <c r="G1713" t="s">
        <v>55</v>
      </c>
      <c r="H1713" t="s">
        <v>85</v>
      </c>
      <c r="I1713" t="s">
        <v>57</v>
      </c>
      <c r="J1713">
        <v>16</v>
      </c>
      <c r="K1713">
        <v>19</v>
      </c>
      <c r="L1713">
        <v>34550000</v>
      </c>
      <c r="M1713">
        <v>12600000</v>
      </c>
      <c r="N1713" t="s">
        <v>123</v>
      </c>
      <c r="O1713" t="s">
        <v>163</v>
      </c>
      <c r="P1713">
        <v>4</v>
      </c>
      <c r="Q1713">
        <v>5</v>
      </c>
      <c r="R1713">
        <v>3</v>
      </c>
      <c r="S1713">
        <v>2</v>
      </c>
      <c r="T1713">
        <v>8</v>
      </c>
      <c r="U1713">
        <v>8</v>
      </c>
      <c r="V1713">
        <v>7</v>
      </c>
      <c r="W1713">
        <v>10</v>
      </c>
      <c r="X1713">
        <v>10</v>
      </c>
      <c r="Y1713">
        <v>7</v>
      </c>
      <c r="Z1713">
        <v>6</v>
      </c>
      <c r="AA1713">
        <v>3</v>
      </c>
      <c r="AB1713">
        <v>0</v>
      </c>
      <c r="AC1713">
        <v>0</v>
      </c>
      <c r="AD1713">
        <v>7</v>
      </c>
      <c r="AE1713">
        <v>11</v>
      </c>
      <c r="AF1713">
        <v>3</v>
      </c>
      <c r="AG1713">
        <v>3</v>
      </c>
      <c r="AH1713">
        <v>-1</v>
      </c>
      <c r="AI1713">
        <v>0</v>
      </c>
    </row>
    <row r="1714" spans="1:35" hidden="1" x14ac:dyDescent="0.25">
      <c r="A1714">
        <v>2019</v>
      </c>
      <c r="B1714" s="1">
        <v>43611</v>
      </c>
      <c r="C1714">
        <v>6</v>
      </c>
      <c r="D1714">
        <v>15540</v>
      </c>
      <c r="E1714">
        <v>60540</v>
      </c>
      <c r="F1714" t="s">
        <v>83</v>
      </c>
      <c r="G1714" t="s">
        <v>89</v>
      </c>
      <c r="H1714" t="s">
        <v>85</v>
      </c>
      <c r="I1714" t="s">
        <v>431</v>
      </c>
      <c r="J1714">
        <v>19</v>
      </c>
      <c r="K1714">
        <v>2</v>
      </c>
      <c r="L1714">
        <v>32300000</v>
      </c>
      <c r="M1714">
        <v>24700000</v>
      </c>
      <c r="N1714" t="s">
        <v>117</v>
      </c>
      <c r="O1714" t="s">
        <v>109</v>
      </c>
      <c r="P1714">
        <v>1</v>
      </c>
      <c r="Q1714">
        <v>0</v>
      </c>
      <c r="R1714">
        <v>0</v>
      </c>
      <c r="S1714">
        <v>0</v>
      </c>
      <c r="T1714">
        <v>13</v>
      </c>
      <c r="U1714">
        <v>4</v>
      </c>
      <c r="V1714">
        <v>10</v>
      </c>
      <c r="W1714">
        <v>12</v>
      </c>
      <c r="X1714">
        <v>12</v>
      </c>
      <c r="Y1714">
        <v>10</v>
      </c>
      <c r="Z1714">
        <v>5</v>
      </c>
      <c r="AA1714">
        <v>7</v>
      </c>
      <c r="AB1714">
        <v>0</v>
      </c>
      <c r="AC1714">
        <v>0</v>
      </c>
      <c r="AD1714">
        <v>8</v>
      </c>
      <c r="AE1714">
        <v>5</v>
      </c>
      <c r="AF1714">
        <v>5</v>
      </c>
      <c r="AG1714">
        <v>1</v>
      </c>
      <c r="AH1714">
        <v>1</v>
      </c>
      <c r="AI1714">
        <v>1</v>
      </c>
    </row>
    <row r="1715" spans="1:35" hidden="1" x14ac:dyDescent="0.25">
      <c r="A1715">
        <v>2019</v>
      </c>
      <c r="B1715" s="1">
        <v>43625</v>
      </c>
      <c r="C1715">
        <v>8</v>
      </c>
      <c r="D1715">
        <v>14429</v>
      </c>
      <c r="E1715">
        <v>18190</v>
      </c>
      <c r="F1715" t="s">
        <v>83</v>
      </c>
      <c r="G1715" t="s">
        <v>63</v>
      </c>
      <c r="H1715" t="s">
        <v>85</v>
      </c>
      <c r="I1715" t="s">
        <v>40</v>
      </c>
      <c r="J1715">
        <v>18</v>
      </c>
      <c r="K1715">
        <v>14</v>
      </c>
      <c r="L1715">
        <v>25750000</v>
      </c>
      <c r="M1715">
        <v>8100000</v>
      </c>
      <c r="N1715" t="s">
        <v>137</v>
      </c>
      <c r="O1715" t="s">
        <v>111</v>
      </c>
      <c r="P1715">
        <v>1</v>
      </c>
      <c r="Q1715">
        <v>0</v>
      </c>
      <c r="R1715">
        <v>0</v>
      </c>
      <c r="S1715">
        <v>0</v>
      </c>
      <c r="T1715">
        <v>10</v>
      </c>
      <c r="U1715">
        <v>1</v>
      </c>
      <c r="V1715">
        <v>7</v>
      </c>
      <c r="W1715">
        <v>8</v>
      </c>
      <c r="X1715">
        <v>8</v>
      </c>
      <c r="Y1715">
        <v>9</v>
      </c>
      <c r="Z1715">
        <v>2</v>
      </c>
      <c r="AA1715">
        <v>4</v>
      </c>
      <c r="AB1715">
        <v>2</v>
      </c>
      <c r="AC1715">
        <v>0</v>
      </c>
      <c r="AD1715">
        <v>5</v>
      </c>
      <c r="AE1715">
        <v>2</v>
      </c>
      <c r="AF1715">
        <v>7</v>
      </c>
      <c r="AG1715">
        <v>1</v>
      </c>
      <c r="AH1715">
        <v>1</v>
      </c>
      <c r="AI1715">
        <v>1</v>
      </c>
    </row>
    <row r="1716" spans="1:35" hidden="1" x14ac:dyDescent="0.25">
      <c r="A1716">
        <v>2019</v>
      </c>
      <c r="B1716" s="1">
        <v>43755</v>
      </c>
      <c r="C1716">
        <v>26</v>
      </c>
      <c r="D1716">
        <v>13614</v>
      </c>
      <c r="E1716">
        <v>60540</v>
      </c>
      <c r="F1716" t="s">
        <v>83</v>
      </c>
      <c r="G1716" t="s">
        <v>38</v>
      </c>
      <c r="H1716" t="s">
        <v>85</v>
      </c>
      <c r="I1716" t="s">
        <v>46</v>
      </c>
      <c r="J1716">
        <v>6</v>
      </c>
      <c r="K1716">
        <v>8</v>
      </c>
      <c r="L1716">
        <v>90500000</v>
      </c>
      <c r="M1716">
        <v>13650000</v>
      </c>
      <c r="N1716" t="s">
        <v>142</v>
      </c>
      <c r="O1716" t="s">
        <v>98</v>
      </c>
      <c r="P1716">
        <v>0</v>
      </c>
      <c r="Q1716">
        <v>1</v>
      </c>
      <c r="R1716">
        <v>0</v>
      </c>
      <c r="S1716">
        <v>0</v>
      </c>
      <c r="T1716">
        <v>10</v>
      </c>
      <c r="U1716">
        <v>6</v>
      </c>
      <c r="V1716">
        <v>13</v>
      </c>
      <c r="W1716">
        <v>15</v>
      </c>
      <c r="X1716">
        <v>14</v>
      </c>
      <c r="Y1716">
        <v>13</v>
      </c>
      <c r="Z1716">
        <v>5</v>
      </c>
      <c r="AA1716">
        <v>6</v>
      </c>
      <c r="AB1716">
        <v>1</v>
      </c>
      <c r="AC1716">
        <v>0</v>
      </c>
      <c r="AD1716">
        <v>17</v>
      </c>
      <c r="AE1716">
        <v>13</v>
      </c>
      <c r="AF1716">
        <v>5</v>
      </c>
      <c r="AG1716">
        <v>4</v>
      </c>
      <c r="AH1716">
        <v>-1</v>
      </c>
      <c r="AI1716">
        <v>0</v>
      </c>
    </row>
    <row r="1717" spans="1:35" hidden="1" x14ac:dyDescent="0.25">
      <c r="A1717">
        <v>2019</v>
      </c>
      <c r="B1717" s="1">
        <v>43786</v>
      </c>
      <c r="C1717">
        <v>33</v>
      </c>
      <c r="D1717">
        <v>30980</v>
      </c>
      <c r="E1717">
        <v>60540</v>
      </c>
      <c r="F1717" t="s">
        <v>83</v>
      </c>
      <c r="G1717" t="s">
        <v>77</v>
      </c>
      <c r="H1717" t="s">
        <v>85</v>
      </c>
      <c r="I1717" t="s">
        <v>446</v>
      </c>
      <c r="J1717">
        <v>4</v>
      </c>
      <c r="K1717">
        <v>1</v>
      </c>
      <c r="L1717">
        <v>62250000</v>
      </c>
      <c r="M1717">
        <v>62550000</v>
      </c>
      <c r="N1717" t="s">
        <v>357</v>
      </c>
      <c r="O1717" t="s">
        <v>122</v>
      </c>
      <c r="P1717">
        <v>0</v>
      </c>
      <c r="Q1717">
        <v>1</v>
      </c>
      <c r="R1717">
        <v>0</v>
      </c>
      <c r="S1717">
        <v>1</v>
      </c>
      <c r="T1717">
        <v>10</v>
      </c>
      <c r="U1717">
        <v>0</v>
      </c>
      <c r="V1717">
        <v>9</v>
      </c>
      <c r="W1717">
        <v>15</v>
      </c>
      <c r="X1717">
        <v>15</v>
      </c>
      <c r="Y1717">
        <v>7</v>
      </c>
      <c r="Z1717">
        <v>4</v>
      </c>
      <c r="AA1717">
        <v>5</v>
      </c>
      <c r="AB1717">
        <v>3</v>
      </c>
      <c r="AC1717">
        <v>0</v>
      </c>
      <c r="AD1717">
        <v>22</v>
      </c>
      <c r="AE1717">
        <v>9</v>
      </c>
      <c r="AF1717">
        <v>12</v>
      </c>
      <c r="AG1717">
        <v>3</v>
      </c>
      <c r="AH1717">
        <v>-1</v>
      </c>
      <c r="AI1717">
        <v>0</v>
      </c>
    </row>
    <row r="1718" spans="1:35" hidden="1" x14ac:dyDescent="0.25">
      <c r="A1718">
        <v>2019</v>
      </c>
      <c r="B1718" s="1">
        <v>43587</v>
      </c>
      <c r="C1718">
        <v>2</v>
      </c>
      <c r="D1718">
        <v>12181</v>
      </c>
      <c r="E1718">
        <v>17800</v>
      </c>
      <c r="F1718" t="s">
        <v>365</v>
      </c>
      <c r="G1718" t="s">
        <v>83</v>
      </c>
      <c r="H1718" t="s">
        <v>447</v>
      </c>
      <c r="I1718" t="s">
        <v>85</v>
      </c>
      <c r="J1718">
        <v>13</v>
      </c>
      <c r="K1718">
        <v>12</v>
      </c>
      <c r="L1718">
        <v>5700000</v>
      </c>
      <c r="M1718">
        <v>38600000</v>
      </c>
      <c r="N1718" t="s">
        <v>73</v>
      </c>
      <c r="O1718" t="s">
        <v>163</v>
      </c>
      <c r="P1718">
        <v>1</v>
      </c>
      <c r="Q1718">
        <v>1</v>
      </c>
      <c r="R1718">
        <v>0</v>
      </c>
      <c r="S1718">
        <v>1</v>
      </c>
      <c r="T1718">
        <v>11</v>
      </c>
      <c r="U1718">
        <v>4</v>
      </c>
      <c r="V1718">
        <v>17</v>
      </c>
      <c r="W1718">
        <v>16</v>
      </c>
      <c r="X1718">
        <v>16</v>
      </c>
      <c r="Y1718">
        <v>17</v>
      </c>
      <c r="Z1718">
        <v>1</v>
      </c>
      <c r="AA1718">
        <v>4</v>
      </c>
      <c r="AB1718">
        <v>0</v>
      </c>
      <c r="AC1718">
        <v>0</v>
      </c>
      <c r="AD1718">
        <v>4</v>
      </c>
      <c r="AE1718">
        <v>2</v>
      </c>
      <c r="AF1718">
        <v>7</v>
      </c>
      <c r="AG1718">
        <v>3</v>
      </c>
      <c r="AH1718">
        <v>0</v>
      </c>
      <c r="AI1718">
        <v>0</v>
      </c>
    </row>
    <row r="1719" spans="1:35" hidden="1" x14ac:dyDescent="0.25">
      <c r="A1719">
        <v>2019</v>
      </c>
      <c r="B1719" s="1">
        <v>43598</v>
      </c>
      <c r="C1719">
        <v>4</v>
      </c>
      <c r="D1719">
        <v>4852</v>
      </c>
      <c r="E1719">
        <v>17800</v>
      </c>
      <c r="F1719" t="s">
        <v>365</v>
      </c>
      <c r="G1719" t="s">
        <v>443</v>
      </c>
      <c r="H1719" t="s">
        <v>447</v>
      </c>
      <c r="I1719" t="s">
        <v>408</v>
      </c>
      <c r="J1719">
        <v>19</v>
      </c>
      <c r="K1719">
        <v>17</v>
      </c>
      <c r="L1719">
        <v>5850000</v>
      </c>
      <c r="M1719">
        <v>7350000</v>
      </c>
      <c r="N1719" t="s">
        <v>168</v>
      </c>
      <c r="O1719" t="s">
        <v>174</v>
      </c>
      <c r="P1719">
        <v>0</v>
      </c>
      <c r="Q1719">
        <v>0</v>
      </c>
      <c r="R1719">
        <v>0</v>
      </c>
      <c r="S1719">
        <v>0</v>
      </c>
      <c r="T1719">
        <v>6</v>
      </c>
      <c r="U1719">
        <v>0</v>
      </c>
      <c r="V1719">
        <v>16</v>
      </c>
      <c r="W1719">
        <v>19</v>
      </c>
      <c r="X1719">
        <v>19</v>
      </c>
      <c r="Y1719">
        <v>18</v>
      </c>
      <c r="Z1719">
        <v>2</v>
      </c>
      <c r="AA1719">
        <v>4</v>
      </c>
      <c r="AB1719">
        <v>2</v>
      </c>
      <c r="AC1719">
        <v>0</v>
      </c>
      <c r="AD1719">
        <v>4</v>
      </c>
      <c r="AE1719">
        <v>1</v>
      </c>
      <c r="AF1719">
        <v>4</v>
      </c>
      <c r="AG1719">
        <v>2</v>
      </c>
      <c r="AH1719">
        <v>0</v>
      </c>
      <c r="AI1719">
        <v>0</v>
      </c>
    </row>
    <row r="1720" spans="1:35" hidden="1" x14ac:dyDescent="0.25">
      <c r="A1720">
        <v>2019</v>
      </c>
      <c r="B1720" s="1">
        <v>43668</v>
      </c>
      <c r="C1720">
        <v>11</v>
      </c>
      <c r="D1720">
        <v>5447</v>
      </c>
      <c r="E1720">
        <v>17800</v>
      </c>
      <c r="F1720" t="s">
        <v>365</v>
      </c>
      <c r="G1720" t="s">
        <v>416</v>
      </c>
      <c r="H1720" t="s">
        <v>378</v>
      </c>
      <c r="I1720" t="s">
        <v>444</v>
      </c>
      <c r="J1720">
        <v>20</v>
      </c>
      <c r="K1720">
        <v>8</v>
      </c>
      <c r="L1720">
        <v>6200000</v>
      </c>
      <c r="M1720">
        <v>10350000</v>
      </c>
      <c r="N1720" t="s">
        <v>134</v>
      </c>
      <c r="O1720" t="s">
        <v>209</v>
      </c>
      <c r="P1720">
        <v>0</v>
      </c>
      <c r="Q1720">
        <v>0</v>
      </c>
      <c r="R1720">
        <v>0</v>
      </c>
      <c r="S1720">
        <v>0</v>
      </c>
      <c r="T1720">
        <v>5</v>
      </c>
      <c r="U1720">
        <v>3</v>
      </c>
      <c r="V1720">
        <v>16</v>
      </c>
      <c r="W1720">
        <v>18</v>
      </c>
      <c r="X1720">
        <v>18</v>
      </c>
      <c r="Y1720">
        <v>17</v>
      </c>
      <c r="Z1720">
        <v>2</v>
      </c>
      <c r="AA1720">
        <v>3</v>
      </c>
      <c r="AB1720">
        <v>1</v>
      </c>
      <c r="AC1720">
        <v>0</v>
      </c>
      <c r="AD1720">
        <v>3</v>
      </c>
      <c r="AE1720">
        <v>2</v>
      </c>
      <c r="AF1720">
        <v>6</v>
      </c>
      <c r="AG1720">
        <v>2</v>
      </c>
      <c r="AH1720">
        <v>0</v>
      </c>
      <c r="AI1720">
        <v>0</v>
      </c>
    </row>
    <row r="1721" spans="1:35" hidden="1" x14ac:dyDescent="0.25">
      <c r="A1721">
        <v>2019</v>
      </c>
      <c r="B1721" s="1">
        <v>43793</v>
      </c>
      <c r="C1721">
        <v>34</v>
      </c>
      <c r="D1721">
        <v>2316</v>
      </c>
      <c r="E1721">
        <v>17800</v>
      </c>
      <c r="F1721" t="s">
        <v>365</v>
      </c>
      <c r="G1721" t="s">
        <v>394</v>
      </c>
      <c r="H1721" t="s">
        <v>448</v>
      </c>
      <c r="I1721" t="s">
        <v>368</v>
      </c>
      <c r="J1721">
        <v>20</v>
      </c>
      <c r="K1721">
        <v>19</v>
      </c>
      <c r="L1721">
        <v>4900000</v>
      </c>
      <c r="M1721">
        <v>13000000</v>
      </c>
      <c r="N1721" t="s">
        <v>209</v>
      </c>
      <c r="O1721" t="s">
        <v>105</v>
      </c>
      <c r="P1721">
        <v>0</v>
      </c>
      <c r="Q1721">
        <v>1</v>
      </c>
      <c r="R1721">
        <v>0</v>
      </c>
      <c r="S1721">
        <v>0</v>
      </c>
      <c r="T1721">
        <v>4</v>
      </c>
      <c r="U1721">
        <v>4</v>
      </c>
      <c r="V1721">
        <v>11</v>
      </c>
      <c r="W1721">
        <v>15</v>
      </c>
      <c r="X1721">
        <v>15</v>
      </c>
      <c r="Y1721">
        <v>9</v>
      </c>
      <c r="Z1721">
        <v>1</v>
      </c>
      <c r="AA1721">
        <v>2</v>
      </c>
      <c r="AB1721">
        <v>0</v>
      </c>
      <c r="AC1721">
        <v>0</v>
      </c>
      <c r="AD1721">
        <v>13</v>
      </c>
      <c r="AE1721">
        <v>15</v>
      </c>
      <c r="AF1721">
        <v>7</v>
      </c>
      <c r="AG1721">
        <v>9</v>
      </c>
      <c r="AH1721">
        <v>-1</v>
      </c>
      <c r="AI1721">
        <v>0</v>
      </c>
    </row>
    <row r="1722" spans="1:35" hidden="1" x14ac:dyDescent="0.25">
      <c r="A1722">
        <v>2019</v>
      </c>
      <c r="B1722" s="1">
        <v>43776</v>
      </c>
      <c r="C1722">
        <v>31</v>
      </c>
      <c r="D1722">
        <v>23092</v>
      </c>
      <c r="E1722">
        <v>46931</v>
      </c>
      <c r="F1722" t="s">
        <v>51</v>
      </c>
      <c r="G1722" t="s">
        <v>77</v>
      </c>
      <c r="H1722" t="s">
        <v>378</v>
      </c>
      <c r="I1722" t="s">
        <v>446</v>
      </c>
      <c r="J1722">
        <v>14</v>
      </c>
      <c r="K1722">
        <v>1</v>
      </c>
      <c r="L1722">
        <v>14900000</v>
      </c>
      <c r="M1722">
        <v>76000000</v>
      </c>
      <c r="N1722" t="s">
        <v>116</v>
      </c>
      <c r="O1722" t="s">
        <v>135</v>
      </c>
      <c r="P1722">
        <v>0</v>
      </c>
      <c r="Q1722">
        <v>1</v>
      </c>
      <c r="R1722">
        <v>0</v>
      </c>
      <c r="S1722">
        <v>0</v>
      </c>
      <c r="T1722">
        <v>1</v>
      </c>
      <c r="U1722">
        <v>10</v>
      </c>
      <c r="V1722">
        <v>16</v>
      </c>
      <c r="W1722">
        <v>14</v>
      </c>
      <c r="X1722">
        <v>12</v>
      </c>
      <c r="Y1722">
        <v>12</v>
      </c>
      <c r="Z1722">
        <v>2</v>
      </c>
      <c r="AA1722">
        <v>2</v>
      </c>
      <c r="AB1722">
        <v>0</v>
      </c>
      <c r="AC1722">
        <v>0</v>
      </c>
      <c r="AD1722">
        <v>5</v>
      </c>
      <c r="AE1722">
        <v>18</v>
      </c>
      <c r="AF1722">
        <v>1</v>
      </c>
      <c r="AG1722">
        <v>7</v>
      </c>
      <c r="AH1722">
        <v>-1</v>
      </c>
      <c r="AI1722">
        <v>0</v>
      </c>
    </row>
    <row r="1723" spans="1:35" hidden="1" x14ac:dyDescent="0.25">
      <c r="A1723">
        <v>2019</v>
      </c>
      <c r="B1723" s="1">
        <v>43612</v>
      </c>
      <c r="C1723">
        <v>6</v>
      </c>
      <c r="D1723">
        <v>18039</v>
      </c>
      <c r="E1723">
        <v>18628</v>
      </c>
      <c r="F1723" t="s">
        <v>50</v>
      </c>
      <c r="G1723" t="s">
        <v>394</v>
      </c>
      <c r="H1723" t="s">
        <v>240</v>
      </c>
      <c r="I1723" t="s">
        <v>441</v>
      </c>
      <c r="J1723">
        <v>15</v>
      </c>
      <c r="K1723">
        <v>16</v>
      </c>
      <c r="L1723">
        <v>27250000</v>
      </c>
      <c r="M1723">
        <v>12800000</v>
      </c>
      <c r="N1723" t="s">
        <v>449</v>
      </c>
      <c r="O1723" t="s">
        <v>129</v>
      </c>
      <c r="P1723">
        <v>1</v>
      </c>
      <c r="Q1723">
        <v>2</v>
      </c>
      <c r="R1723">
        <v>0</v>
      </c>
      <c r="S1723">
        <v>0</v>
      </c>
      <c r="T1723">
        <v>8</v>
      </c>
      <c r="U1723">
        <v>2</v>
      </c>
      <c r="V1723">
        <v>13</v>
      </c>
      <c r="W1723">
        <v>11</v>
      </c>
      <c r="X1723">
        <v>11</v>
      </c>
      <c r="Y1723">
        <v>14</v>
      </c>
      <c r="Z1723">
        <v>3</v>
      </c>
      <c r="AA1723">
        <v>2</v>
      </c>
      <c r="AB1723">
        <v>1</v>
      </c>
      <c r="AC1723">
        <v>0</v>
      </c>
      <c r="AD1723">
        <v>4</v>
      </c>
      <c r="AE1723">
        <v>5</v>
      </c>
      <c r="AF1723">
        <v>9</v>
      </c>
      <c r="AG1723">
        <v>3</v>
      </c>
      <c r="AH1723">
        <v>-1</v>
      </c>
      <c r="AI1723">
        <v>0</v>
      </c>
    </row>
    <row r="1724" spans="1:35" hidden="1" x14ac:dyDescent="0.25">
      <c r="A1724">
        <v>2019</v>
      </c>
      <c r="B1724" s="1">
        <v>43660</v>
      </c>
      <c r="C1724">
        <v>10</v>
      </c>
      <c r="D1724">
        <v>18012</v>
      </c>
      <c r="E1724">
        <v>57483</v>
      </c>
      <c r="F1724" t="s">
        <v>50</v>
      </c>
      <c r="G1724" t="s">
        <v>51</v>
      </c>
      <c r="H1724" t="s">
        <v>240</v>
      </c>
      <c r="I1724" t="s">
        <v>367</v>
      </c>
      <c r="J1724">
        <v>18</v>
      </c>
      <c r="K1724">
        <v>7</v>
      </c>
      <c r="L1724">
        <v>22000000</v>
      </c>
      <c r="M1724">
        <v>20550000</v>
      </c>
      <c r="N1724" t="s">
        <v>200</v>
      </c>
      <c r="O1724" t="s">
        <v>120</v>
      </c>
      <c r="P1724">
        <v>0</v>
      </c>
      <c r="Q1724">
        <v>0</v>
      </c>
      <c r="R1724">
        <v>0</v>
      </c>
      <c r="S1724">
        <v>0</v>
      </c>
      <c r="T1724">
        <v>5</v>
      </c>
      <c r="U1724">
        <v>3</v>
      </c>
      <c r="V1724">
        <v>13</v>
      </c>
      <c r="W1724">
        <v>7</v>
      </c>
      <c r="X1724">
        <v>7</v>
      </c>
      <c r="Y1724">
        <v>16</v>
      </c>
      <c r="Z1724">
        <v>1</v>
      </c>
      <c r="AA1724">
        <v>2</v>
      </c>
      <c r="AB1724">
        <v>3</v>
      </c>
      <c r="AC1724">
        <v>0</v>
      </c>
      <c r="AD1724">
        <v>3</v>
      </c>
      <c r="AE1724">
        <v>1</v>
      </c>
      <c r="AF1724">
        <v>4</v>
      </c>
      <c r="AG1724">
        <v>4</v>
      </c>
      <c r="AH1724">
        <v>0</v>
      </c>
      <c r="AI1724">
        <v>0</v>
      </c>
    </row>
    <row r="1725" spans="1:35" hidden="1" x14ac:dyDescent="0.25">
      <c r="A1725">
        <v>2019</v>
      </c>
      <c r="B1725" s="1">
        <v>43748</v>
      </c>
      <c r="C1725">
        <v>24</v>
      </c>
      <c r="D1725">
        <v>38133</v>
      </c>
      <c r="E1725">
        <v>57483</v>
      </c>
      <c r="F1725" t="s">
        <v>50</v>
      </c>
      <c r="G1725" t="s">
        <v>55</v>
      </c>
      <c r="H1725" t="s">
        <v>376</v>
      </c>
      <c r="I1725" t="s">
        <v>223</v>
      </c>
      <c r="J1725">
        <v>18</v>
      </c>
      <c r="K1725">
        <v>15</v>
      </c>
      <c r="L1725">
        <v>20900000</v>
      </c>
      <c r="M1725">
        <v>35200000</v>
      </c>
      <c r="N1725" t="s">
        <v>205</v>
      </c>
      <c r="O1725" t="s">
        <v>149</v>
      </c>
      <c r="P1725">
        <v>0</v>
      </c>
      <c r="Q1725">
        <v>0</v>
      </c>
      <c r="R1725">
        <v>0</v>
      </c>
      <c r="S1725">
        <v>0</v>
      </c>
      <c r="T1725">
        <v>2</v>
      </c>
      <c r="U1725">
        <v>5</v>
      </c>
      <c r="V1725">
        <v>17</v>
      </c>
      <c r="W1725">
        <v>18</v>
      </c>
      <c r="X1725">
        <v>17</v>
      </c>
      <c r="Y1725">
        <v>15</v>
      </c>
      <c r="Z1725">
        <v>0</v>
      </c>
      <c r="AA1725">
        <v>7</v>
      </c>
      <c r="AB1725">
        <v>2</v>
      </c>
      <c r="AC1725">
        <v>0</v>
      </c>
      <c r="AD1725">
        <v>17</v>
      </c>
      <c r="AE1725">
        <v>9</v>
      </c>
      <c r="AF1725">
        <v>6</v>
      </c>
      <c r="AG1725">
        <v>7</v>
      </c>
      <c r="AH1725">
        <v>0</v>
      </c>
      <c r="AI1725">
        <v>0</v>
      </c>
    </row>
    <row r="1726" spans="1:35" hidden="1" x14ac:dyDescent="0.25">
      <c r="A1726">
        <v>2019</v>
      </c>
      <c r="B1726" s="1">
        <v>43779</v>
      </c>
      <c r="C1726">
        <v>32</v>
      </c>
      <c r="D1726">
        <v>43205</v>
      </c>
      <c r="E1726">
        <v>57483</v>
      </c>
      <c r="F1726" t="s">
        <v>50</v>
      </c>
      <c r="G1726" t="s">
        <v>89</v>
      </c>
      <c r="H1726" t="s">
        <v>376</v>
      </c>
      <c r="I1726" t="s">
        <v>429</v>
      </c>
      <c r="J1726">
        <v>16</v>
      </c>
      <c r="K1726">
        <v>11</v>
      </c>
      <c r="L1726">
        <v>19850000</v>
      </c>
      <c r="M1726">
        <v>25250000</v>
      </c>
      <c r="N1726" t="s">
        <v>235</v>
      </c>
      <c r="O1726" t="s">
        <v>128</v>
      </c>
      <c r="P1726">
        <v>0</v>
      </c>
      <c r="Q1726">
        <v>0</v>
      </c>
      <c r="R1726">
        <v>0</v>
      </c>
      <c r="S1726">
        <v>0</v>
      </c>
      <c r="T1726">
        <v>4</v>
      </c>
      <c r="U1726">
        <v>8</v>
      </c>
      <c r="V1726">
        <v>9</v>
      </c>
      <c r="W1726">
        <v>12</v>
      </c>
      <c r="X1726">
        <v>11</v>
      </c>
      <c r="Y1726">
        <v>9</v>
      </c>
      <c r="Z1726">
        <v>0</v>
      </c>
      <c r="AA1726">
        <v>2</v>
      </c>
      <c r="AB1726">
        <v>1</v>
      </c>
      <c r="AC1726">
        <v>0</v>
      </c>
      <c r="AD1726">
        <v>16</v>
      </c>
      <c r="AE1726">
        <v>17</v>
      </c>
      <c r="AF1726">
        <v>11</v>
      </c>
      <c r="AG1726">
        <v>11</v>
      </c>
      <c r="AH1726">
        <v>0</v>
      </c>
      <c r="AI1726">
        <v>0</v>
      </c>
    </row>
    <row r="1727" spans="1:35" hidden="1" x14ac:dyDescent="0.25">
      <c r="A1727">
        <v>2019</v>
      </c>
      <c r="B1727" s="1">
        <v>43787</v>
      </c>
      <c r="C1727">
        <v>33</v>
      </c>
      <c r="D1727">
        <v>21217</v>
      </c>
      <c r="E1727">
        <v>57483</v>
      </c>
      <c r="F1727" t="s">
        <v>50</v>
      </c>
      <c r="G1727" t="s">
        <v>365</v>
      </c>
      <c r="H1727" t="s">
        <v>376</v>
      </c>
      <c r="I1727" t="s">
        <v>448</v>
      </c>
      <c r="J1727">
        <v>16</v>
      </c>
      <c r="K1727">
        <v>20</v>
      </c>
      <c r="L1727">
        <v>19850000</v>
      </c>
      <c r="M1727">
        <v>5400000</v>
      </c>
      <c r="N1727" t="s">
        <v>73</v>
      </c>
      <c r="O1727" t="s">
        <v>122</v>
      </c>
      <c r="P1727">
        <v>0</v>
      </c>
      <c r="Q1727">
        <v>0</v>
      </c>
      <c r="R1727">
        <v>0</v>
      </c>
      <c r="S1727">
        <v>0</v>
      </c>
      <c r="T1727">
        <v>17</v>
      </c>
      <c r="U1727">
        <v>2</v>
      </c>
      <c r="V1727">
        <v>14</v>
      </c>
      <c r="W1727">
        <v>20</v>
      </c>
      <c r="X1727">
        <v>19</v>
      </c>
      <c r="Y1727">
        <v>14</v>
      </c>
      <c r="Z1727">
        <v>4</v>
      </c>
      <c r="AA1727">
        <v>3</v>
      </c>
      <c r="AB1727">
        <v>0</v>
      </c>
      <c r="AC1727">
        <v>0</v>
      </c>
      <c r="AD1727">
        <v>16</v>
      </c>
      <c r="AE1727">
        <v>10</v>
      </c>
      <c r="AF1727">
        <v>8</v>
      </c>
      <c r="AG1727">
        <v>5</v>
      </c>
      <c r="AH1727">
        <v>0</v>
      </c>
      <c r="AI1727">
        <v>0</v>
      </c>
    </row>
    <row r="1728" spans="1:35" hidden="1" x14ac:dyDescent="0.25">
      <c r="A1728">
        <v>2019</v>
      </c>
      <c r="B1728" s="1">
        <v>43583</v>
      </c>
      <c r="C1728">
        <v>1</v>
      </c>
      <c r="D1728">
        <v>29215</v>
      </c>
      <c r="E1728">
        <v>55000</v>
      </c>
      <c r="F1728" t="s">
        <v>38</v>
      </c>
      <c r="G1728" t="s">
        <v>88</v>
      </c>
      <c r="H1728" t="s">
        <v>46</v>
      </c>
      <c r="I1728" t="s">
        <v>379</v>
      </c>
      <c r="J1728">
        <v>7</v>
      </c>
      <c r="K1728">
        <v>11</v>
      </c>
      <c r="L1728">
        <v>13600000</v>
      </c>
      <c r="M1728">
        <v>39900000</v>
      </c>
      <c r="N1728" t="s">
        <v>66</v>
      </c>
      <c r="O1728" t="s">
        <v>209</v>
      </c>
      <c r="P1728">
        <v>3</v>
      </c>
      <c r="Q1728">
        <v>2</v>
      </c>
      <c r="R1728">
        <v>1</v>
      </c>
      <c r="S1728">
        <v>1</v>
      </c>
      <c r="T1728">
        <v>4</v>
      </c>
      <c r="U1728">
        <v>4</v>
      </c>
      <c r="V1728">
        <v>17</v>
      </c>
      <c r="W1728">
        <v>5</v>
      </c>
      <c r="X1728">
        <v>5</v>
      </c>
      <c r="Y1728">
        <v>18</v>
      </c>
      <c r="Z1728">
        <v>1</v>
      </c>
      <c r="AA1728">
        <v>3</v>
      </c>
      <c r="AB1728">
        <v>1</v>
      </c>
      <c r="AC1728">
        <v>0</v>
      </c>
      <c r="AD1728">
        <v>6</v>
      </c>
      <c r="AE1728">
        <v>3</v>
      </c>
      <c r="AF1728">
        <v>6</v>
      </c>
      <c r="AG1728">
        <v>2</v>
      </c>
      <c r="AH1728">
        <v>1</v>
      </c>
      <c r="AI1728">
        <v>1</v>
      </c>
    </row>
    <row r="1729" spans="1:35" hidden="1" x14ac:dyDescent="0.25">
      <c r="A1729">
        <v>2019</v>
      </c>
      <c r="B1729" s="1">
        <v>43786</v>
      </c>
      <c r="C1729">
        <v>33</v>
      </c>
      <c r="D1729">
        <v>23194</v>
      </c>
      <c r="E1729">
        <v>55000</v>
      </c>
      <c r="F1729" t="s">
        <v>38</v>
      </c>
      <c r="G1729" t="s">
        <v>95</v>
      </c>
      <c r="H1729" t="s">
        <v>46</v>
      </c>
      <c r="I1729" t="s">
        <v>240</v>
      </c>
      <c r="J1729">
        <v>9</v>
      </c>
      <c r="K1729">
        <v>2</v>
      </c>
      <c r="L1729">
        <v>14050000</v>
      </c>
      <c r="M1729">
        <v>58250000</v>
      </c>
      <c r="N1729" t="s">
        <v>209</v>
      </c>
      <c r="O1729" t="s">
        <v>134</v>
      </c>
      <c r="P1729">
        <v>1</v>
      </c>
      <c r="Q1729">
        <v>1</v>
      </c>
      <c r="R1729">
        <v>1</v>
      </c>
      <c r="S1729">
        <v>0</v>
      </c>
      <c r="T1729">
        <v>2</v>
      </c>
      <c r="U1729">
        <v>4</v>
      </c>
      <c r="V1729">
        <v>17</v>
      </c>
      <c r="W1729">
        <v>16</v>
      </c>
      <c r="X1729">
        <v>14</v>
      </c>
      <c r="Y1729">
        <v>17</v>
      </c>
      <c r="Z1729">
        <v>4</v>
      </c>
      <c r="AA1729">
        <v>4</v>
      </c>
      <c r="AB1729">
        <v>1</v>
      </c>
      <c r="AC1729">
        <v>0</v>
      </c>
      <c r="AD1729">
        <v>15</v>
      </c>
      <c r="AE1729">
        <v>22</v>
      </c>
      <c r="AF1729">
        <v>5</v>
      </c>
      <c r="AG1729">
        <v>13</v>
      </c>
      <c r="AH1729">
        <v>0</v>
      </c>
      <c r="AI1729">
        <v>0</v>
      </c>
    </row>
    <row r="1730" spans="1:35" hidden="1" x14ac:dyDescent="0.25">
      <c r="A1730">
        <v>2019</v>
      </c>
      <c r="B1730" s="1">
        <v>43597</v>
      </c>
      <c r="C1730">
        <v>4</v>
      </c>
      <c r="D1730">
        <v>61023</v>
      </c>
      <c r="E1730">
        <v>78838</v>
      </c>
      <c r="F1730" t="s">
        <v>77</v>
      </c>
      <c r="G1730" t="s">
        <v>394</v>
      </c>
      <c r="H1730" t="s">
        <v>376</v>
      </c>
      <c r="I1730" t="s">
        <v>441</v>
      </c>
      <c r="J1730">
        <v>9</v>
      </c>
      <c r="K1730">
        <v>10</v>
      </c>
      <c r="L1730">
        <v>35350000</v>
      </c>
      <c r="M1730">
        <v>9300000</v>
      </c>
      <c r="N1730" t="s">
        <v>80</v>
      </c>
      <c r="O1730" t="s">
        <v>41</v>
      </c>
      <c r="P1730">
        <v>2</v>
      </c>
      <c r="Q1730">
        <v>1</v>
      </c>
      <c r="R1730">
        <v>1</v>
      </c>
      <c r="S1730">
        <v>0</v>
      </c>
      <c r="T1730">
        <v>7</v>
      </c>
      <c r="U1730">
        <v>4</v>
      </c>
      <c r="V1730">
        <v>14</v>
      </c>
      <c r="W1730">
        <v>9</v>
      </c>
      <c r="X1730">
        <v>9</v>
      </c>
      <c r="Y1730">
        <v>15</v>
      </c>
      <c r="Z1730">
        <v>7</v>
      </c>
      <c r="AA1730">
        <v>9</v>
      </c>
      <c r="AB1730">
        <v>1</v>
      </c>
      <c r="AC1730">
        <v>0</v>
      </c>
      <c r="AD1730">
        <v>5</v>
      </c>
      <c r="AE1730">
        <v>4</v>
      </c>
      <c r="AF1730">
        <v>5</v>
      </c>
      <c r="AG1730">
        <v>2</v>
      </c>
      <c r="AH1730">
        <v>1</v>
      </c>
      <c r="AI1730">
        <v>1</v>
      </c>
    </row>
    <row r="1731" spans="1:35" hidden="1" x14ac:dyDescent="0.25">
      <c r="A1731">
        <v>2019</v>
      </c>
      <c r="B1731" s="1">
        <v>43611</v>
      </c>
      <c r="C1731">
        <v>6</v>
      </c>
      <c r="D1731">
        <v>52667</v>
      </c>
      <c r="E1731">
        <v>78838</v>
      </c>
      <c r="F1731" t="s">
        <v>77</v>
      </c>
      <c r="G1731" t="s">
        <v>69</v>
      </c>
      <c r="H1731" t="s">
        <v>376</v>
      </c>
      <c r="I1731" t="s">
        <v>333</v>
      </c>
      <c r="J1731">
        <v>9</v>
      </c>
      <c r="K1731">
        <v>10</v>
      </c>
      <c r="L1731">
        <v>50600000</v>
      </c>
      <c r="M1731">
        <v>14800000</v>
      </c>
      <c r="N1731" t="s">
        <v>135</v>
      </c>
      <c r="O1731" t="s">
        <v>217</v>
      </c>
      <c r="P1731">
        <v>3</v>
      </c>
      <c r="Q1731">
        <v>2</v>
      </c>
      <c r="R1731">
        <v>1</v>
      </c>
      <c r="S1731">
        <v>0</v>
      </c>
      <c r="T1731">
        <v>9</v>
      </c>
      <c r="U1731">
        <v>2</v>
      </c>
      <c r="V1731">
        <v>14</v>
      </c>
      <c r="W1731">
        <v>20</v>
      </c>
      <c r="X1731">
        <v>20</v>
      </c>
      <c r="Y1731">
        <v>16</v>
      </c>
      <c r="Z1731">
        <v>3</v>
      </c>
      <c r="AA1731">
        <v>1</v>
      </c>
      <c r="AB1731">
        <v>2</v>
      </c>
      <c r="AC1731">
        <v>0</v>
      </c>
      <c r="AD1731">
        <v>4</v>
      </c>
      <c r="AE1731">
        <v>5</v>
      </c>
      <c r="AF1731">
        <v>5</v>
      </c>
      <c r="AG1731">
        <v>2</v>
      </c>
      <c r="AH1731">
        <v>1</v>
      </c>
      <c r="AI1731">
        <v>1</v>
      </c>
    </row>
    <row r="1732" spans="1:35" hidden="1" x14ac:dyDescent="0.25">
      <c r="A1732">
        <v>2019</v>
      </c>
      <c r="B1732" s="1">
        <v>43779</v>
      </c>
      <c r="C1732">
        <v>32</v>
      </c>
      <c r="D1732">
        <v>65930</v>
      </c>
      <c r="E1732">
        <v>78838</v>
      </c>
      <c r="F1732" t="s">
        <v>77</v>
      </c>
      <c r="G1732" t="s">
        <v>38</v>
      </c>
      <c r="H1732" t="s">
        <v>446</v>
      </c>
      <c r="I1732" t="s">
        <v>46</v>
      </c>
      <c r="J1732">
        <v>1</v>
      </c>
      <c r="K1732">
        <v>9</v>
      </c>
      <c r="L1732">
        <v>75000000</v>
      </c>
      <c r="M1732">
        <v>13550000</v>
      </c>
      <c r="N1732" t="s">
        <v>135</v>
      </c>
      <c r="O1732" t="s">
        <v>209</v>
      </c>
      <c r="P1732">
        <v>3</v>
      </c>
      <c r="Q1732">
        <v>1</v>
      </c>
      <c r="R1732">
        <v>0</v>
      </c>
      <c r="S1732">
        <v>1</v>
      </c>
      <c r="T1732">
        <v>11</v>
      </c>
      <c r="U1732">
        <v>2</v>
      </c>
      <c r="V1732">
        <v>10</v>
      </c>
      <c r="W1732">
        <v>11</v>
      </c>
      <c r="X1732">
        <v>11</v>
      </c>
      <c r="Y1732">
        <v>10</v>
      </c>
      <c r="Z1732">
        <v>2</v>
      </c>
      <c r="AA1732">
        <v>5</v>
      </c>
      <c r="AB1732">
        <v>3</v>
      </c>
      <c r="AC1732">
        <v>0</v>
      </c>
      <c r="AD1732">
        <v>21</v>
      </c>
      <c r="AE1732">
        <v>9</v>
      </c>
      <c r="AF1732">
        <v>7</v>
      </c>
      <c r="AG1732">
        <v>4</v>
      </c>
      <c r="AH1732">
        <v>2</v>
      </c>
      <c r="AI1732">
        <v>1</v>
      </c>
    </row>
    <row r="1733" spans="1:35" hidden="1" x14ac:dyDescent="0.25">
      <c r="A1733">
        <v>2019</v>
      </c>
      <c r="B1733" s="1">
        <v>43793</v>
      </c>
      <c r="C1733">
        <v>34</v>
      </c>
      <c r="D1733">
        <v>29001</v>
      </c>
      <c r="E1733">
        <v>60326</v>
      </c>
      <c r="F1733" t="s">
        <v>361</v>
      </c>
      <c r="G1733" t="s">
        <v>62</v>
      </c>
      <c r="H1733" t="s">
        <v>450</v>
      </c>
      <c r="I1733" t="s">
        <v>57</v>
      </c>
      <c r="J1733">
        <v>15</v>
      </c>
      <c r="K1733">
        <v>6</v>
      </c>
      <c r="L1733">
        <v>8400000</v>
      </c>
      <c r="M1733">
        <v>40000000</v>
      </c>
      <c r="N1733" t="s">
        <v>205</v>
      </c>
      <c r="O1733" t="s">
        <v>120</v>
      </c>
      <c r="P1733">
        <v>1</v>
      </c>
      <c r="Q1733">
        <v>1</v>
      </c>
      <c r="R1733">
        <v>0</v>
      </c>
      <c r="S1733">
        <v>1</v>
      </c>
      <c r="T1733">
        <v>13</v>
      </c>
      <c r="U1733">
        <v>5</v>
      </c>
      <c r="V1733">
        <v>12</v>
      </c>
      <c r="W1733">
        <v>16</v>
      </c>
      <c r="X1733">
        <v>15</v>
      </c>
      <c r="Y1733">
        <v>11</v>
      </c>
      <c r="Z1733">
        <v>1</v>
      </c>
      <c r="AA1733">
        <v>5</v>
      </c>
      <c r="AB1733">
        <v>0</v>
      </c>
      <c r="AC1733">
        <v>0</v>
      </c>
      <c r="AD1733">
        <v>17</v>
      </c>
      <c r="AE1733">
        <v>6</v>
      </c>
      <c r="AF1733">
        <v>5</v>
      </c>
      <c r="AG1733">
        <v>4</v>
      </c>
      <c r="AH1733">
        <v>0</v>
      </c>
      <c r="AI1733">
        <v>0</v>
      </c>
    </row>
    <row r="1734" spans="1:35" hidden="1" x14ac:dyDescent="0.25">
      <c r="A1734">
        <v>2019</v>
      </c>
      <c r="B1734" s="1">
        <v>43587</v>
      </c>
      <c r="C1734">
        <v>2</v>
      </c>
      <c r="D1734">
        <v>20578</v>
      </c>
      <c r="E1734">
        <v>60000</v>
      </c>
      <c r="F1734" t="s">
        <v>63</v>
      </c>
      <c r="G1734" t="s">
        <v>69</v>
      </c>
      <c r="H1734" t="s">
        <v>40</v>
      </c>
      <c r="I1734" t="s">
        <v>333</v>
      </c>
      <c r="J1734">
        <v>19</v>
      </c>
      <c r="K1734">
        <v>3</v>
      </c>
      <c r="L1734">
        <v>7100000</v>
      </c>
      <c r="M1734">
        <v>17900000</v>
      </c>
      <c r="N1734" t="s">
        <v>98</v>
      </c>
      <c r="O1734" t="s">
        <v>104</v>
      </c>
      <c r="P1734">
        <v>2</v>
      </c>
      <c r="Q1734">
        <v>1</v>
      </c>
      <c r="R1734">
        <v>1</v>
      </c>
      <c r="S1734">
        <v>1</v>
      </c>
      <c r="T1734">
        <v>2</v>
      </c>
      <c r="U1734">
        <v>7</v>
      </c>
      <c r="V1734">
        <v>12</v>
      </c>
      <c r="W1734">
        <v>19</v>
      </c>
      <c r="X1734">
        <v>19</v>
      </c>
      <c r="Y1734">
        <v>13</v>
      </c>
      <c r="Z1734">
        <v>3</v>
      </c>
      <c r="AA1734">
        <v>4</v>
      </c>
      <c r="AB1734">
        <v>1</v>
      </c>
      <c r="AC1734">
        <v>0</v>
      </c>
      <c r="AD1734">
        <v>6</v>
      </c>
      <c r="AE1734">
        <v>4</v>
      </c>
      <c r="AF1734">
        <v>6</v>
      </c>
      <c r="AG1734">
        <v>4</v>
      </c>
      <c r="AH1734">
        <v>1</v>
      </c>
      <c r="AI1734">
        <v>1</v>
      </c>
    </row>
    <row r="1735" spans="1:35" hidden="1" x14ac:dyDescent="0.25">
      <c r="A1735">
        <v>2019</v>
      </c>
      <c r="B1735" s="1">
        <v>43598</v>
      </c>
      <c r="C1735">
        <v>4</v>
      </c>
      <c r="D1735">
        <v>40877</v>
      </c>
      <c r="E1735">
        <v>60326</v>
      </c>
      <c r="F1735" t="s">
        <v>63</v>
      </c>
      <c r="G1735" t="s">
        <v>62</v>
      </c>
      <c r="H1735" t="s">
        <v>40</v>
      </c>
      <c r="I1735" t="s">
        <v>71</v>
      </c>
      <c r="J1735">
        <v>16</v>
      </c>
      <c r="K1735">
        <v>3</v>
      </c>
      <c r="L1735">
        <v>7200000</v>
      </c>
      <c r="M1735">
        <v>26000000</v>
      </c>
      <c r="N1735" t="s">
        <v>107</v>
      </c>
      <c r="O1735" t="s">
        <v>270</v>
      </c>
      <c r="P1735">
        <v>0</v>
      </c>
      <c r="Q1735">
        <v>1</v>
      </c>
      <c r="R1735">
        <v>0</v>
      </c>
      <c r="S1735">
        <v>0</v>
      </c>
      <c r="T1735">
        <v>6</v>
      </c>
      <c r="U1735">
        <v>4</v>
      </c>
      <c r="V1735">
        <v>12</v>
      </c>
      <c r="W1735">
        <v>14</v>
      </c>
      <c r="X1735">
        <v>14</v>
      </c>
      <c r="Y1735">
        <v>14</v>
      </c>
      <c r="Z1735">
        <v>1</v>
      </c>
      <c r="AA1735">
        <v>4</v>
      </c>
      <c r="AB1735">
        <v>2</v>
      </c>
      <c r="AC1735">
        <v>0</v>
      </c>
      <c r="AD1735">
        <v>4</v>
      </c>
      <c r="AE1735">
        <v>3</v>
      </c>
      <c r="AF1735">
        <v>6</v>
      </c>
      <c r="AG1735">
        <v>4</v>
      </c>
      <c r="AH1735">
        <v>-1</v>
      </c>
      <c r="AI1735">
        <v>0</v>
      </c>
    </row>
    <row r="1736" spans="1:35" hidden="1" x14ac:dyDescent="0.25">
      <c r="A1736">
        <v>2019</v>
      </c>
      <c r="B1736" s="1">
        <v>43612</v>
      </c>
      <c r="C1736">
        <v>6</v>
      </c>
      <c r="D1736">
        <v>28148</v>
      </c>
      <c r="E1736">
        <v>60326</v>
      </c>
      <c r="F1736" t="s">
        <v>63</v>
      </c>
      <c r="G1736" t="s">
        <v>82</v>
      </c>
      <c r="H1736" t="s">
        <v>40</v>
      </c>
      <c r="I1736" t="s">
        <v>317</v>
      </c>
      <c r="J1736">
        <v>14</v>
      </c>
      <c r="K1736">
        <v>20</v>
      </c>
      <c r="L1736">
        <v>8100000</v>
      </c>
      <c r="M1736">
        <v>10050000</v>
      </c>
      <c r="N1736" t="s">
        <v>135</v>
      </c>
      <c r="O1736" t="s">
        <v>221</v>
      </c>
      <c r="P1736">
        <v>1</v>
      </c>
      <c r="Q1736">
        <v>1</v>
      </c>
      <c r="R1736">
        <v>0</v>
      </c>
      <c r="S1736">
        <v>0</v>
      </c>
      <c r="T1736">
        <v>2</v>
      </c>
      <c r="U1736">
        <v>5</v>
      </c>
      <c r="V1736">
        <v>8</v>
      </c>
      <c r="W1736">
        <v>12</v>
      </c>
      <c r="X1736">
        <v>12</v>
      </c>
      <c r="Y1736">
        <v>8</v>
      </c>
      <c r="Z1736">
        <v>0</v>
      </c>
      <c r="AA1736">
        <v>1</v>
      </c>
      <c r="AB1736">
        <v>0</v>
      </c>
      <c r="AC1736">
        <v>0</v>
      </c>
      <c r="AD1736">
        <v>2</v>
      </c>
      <c r="AE1736">
        <v>1</v>
      </c>
      <c r="AF1736">
        <v>8</v>
      </c>
      <c r="AG1736">
        <v>10</v>
      </c>
      <c r="AH1736">
        <v>0</v>
      </c>
      <c r="AI1736">
        <v>0</v>
      </c>
    </row>
    <row r="1737" spans="1:35" hidden="1" x14ac:dyDescent="0.25">
      <c r="A1737">
        <v>2019</v>
      </c>
      <c r="B1737" s="1">
        <v>43757</v>
      </c>
      <c r="C1737">
        <v>27</v>
      </c>
      <c r="D1737">
        <v>26801</v>
      </c>
      <c r="E1737">
        <v>60326</v>
      </c>
      <c r="F1737" t="s">
        <v>63</v>
      </c>
      <c r="G1737" t="s">
        <v>83</v>
      </c>
      <c r="H1737" t="s">
        <v>40</v>
      </c>
      <c r="I1737" t="s">
        <v>85</v>
      </c>
      <c r="J1737">
        <v>15</v>
      </c>
      <c r="K1737">
        <v>7</v>
      </c>
      <c r="L1737">
        <v>9200000</v>
      </c>
      <c r="M1737">
        <v>13150000</v>
      </c>
      <c r="N1737" t="s">
        <v>296</v>
      </c>
      <c r="O1737" t="s">
        <v>116</v>
      </c>
      <c r="P1737">
        <v>2</v>
      </c>
      <c r="Q1737">
        <v>1</v>
      </c>
      <c r="R1737">
        <v>2</v>
      </c>
      <c r="S1737">
        <v>1</v>
      </c>
      <c r="T1737">
        <v>1</v>
      </c>
      <c r="U1737">
        <v>8</v>
      </c>
      <c r="V1737">
        <v>13</v>
      </c>
      <c r="W1737">
        <v>17</v>
      </c>
      <c r="X1737">
        <v>12</v>
      </c>
      <c r="Y1737">
        <v>12</v>
      </c>
      <c r="Z1737">
        <v>3</v>
      </c>
      <c r="AA1737">
        <v>3</v>
      </c>
      <c r="AB1737">
        <v>0</v>
      </c>
      <c r="AC1737">
        <v>0</v>
      </c>
      <c r="AD1737">
        <v>10</v>
      </c>
      <c r="AE1737">
        <v>13</v>
      </c>
      <c r="AF1737">
        <v>4</v>
      </c>
      <c r="AG1737">
        <v>4</v>
      </c>
      <c r="AH1737">
        <v>1</v>
      </c>
      <c r="AI1737">
        <v>1</v>
      </c>
    </row>
    <row r="1738" spans="1:35" hidden="1" x14ac:dyDescent="0.25">
      <c r="A1738">
        <v>2019</v>
      </c>
      <c r="B1738" s="1">
        <v>43779</v>
      </c>
      <c r="C1738">
        <v>32</v>
      </c>
      <c r="D1738">
        <v>46093</v>
      </c>
      <c r="E1738">
        <v>60326</v>
      </c>
      <c r="F1738" t="s">
        <v>63</v>
      </c>
      <c r="G1738" t="s">
        <v>361</v>
      </c>
      <c r="H1738" t="s">
        <v>40</v>
      </c>
      <c r="I1738" t="s">
        <v>450</v>
      </c>
      <c r="J1738">
        <v>14</v>
      </c>
      <c r="K1738">
        <v>13</v>
      </c>
      <c r="L1738">
        <v>8750000</v>
      </c>
      <c r="M1738">
        <v>9150000</v>
      </c>
      <c r="N1738" t="s">
        <v>129</v>
      </c>
      <c r="O1738" t="s">
        <v>296</v>
      </c>
      <c r="P1738">
        <v>1</v>
      </c>
      <c r="Q1738">
        <v>0</v>
      </c>
      <c r="R1738">
        <v>1</v>
      </c>
      <c r="S1738">
        <v>0</v>
      </c>
      <c r="T1738">
        <v>3</v>
      </c>
      <c r="U1738">
        <v>8</v>
      </c>
      <c r="V1738">
        <v>13</v>
      </c>
      <c r="W1738">
        <v>17</v>
      </c>
      <c r="X1738">
        <v>17</v>
      </c>
      <c r="Y1738">
        <v>13</v>
      </c>
      <c r="Z1738">
        <v>3</v>
      </c>
      <c r="AA1738">
        <v>1</v>
      </c>
      <c r="AB1738">
        <v>0</v>
      </c>
      <c r="AC1738">
        <v>0</v>
      </c>
      <c r="AD1738">
        <v>9</v>
      </c>
      <c r="AE1738">
        <v>15</v>
      </c>
      <c r="AF1738">
        <v>4</v>
      </c>
      <c r="AG1738">
        <v>9</v>
      </c>
      <c r="AH1738">
        <v>1</v>
      </c>
      <c r="AI1738">
        <v>1</v>
      </c>
    </row>
    <row r="1739" spans="1:35" hidden="1" x14ac:dyDescent="0.25">
      <c r="A1739">
        <v>2019</v>
      </c>
      <c r="B1739" s="1">
        <v>43604</v>
      </c>
      <c r="C1739">
        <v>5</v>
      </c>
      <c r="D1739">
        <v>16347</v>
      </c>
      <c r="E1739">
        <v>50049</v>
      </c>
      <c r="F1739" t="s">
        <v>416</v>
      </c>
      <c r="G1739" t="s">
        <v>51</v>
      </c>
      <c r="H1739" t="s">
        <v>444</v>
      </c>
      <c r="I1739" t="s">
        <v>367</v>
      </c>
      <c r="J1739">
        <v>10</v>
      </c>
      <c r="K1739">
        <v>5</v>
      </c>
      <c r="L1739">
        <v>8750000</v>
      </c>
      <c r="M1739">
        <v>17750000</v>
      </c>
      <c r="N1739" t="s">
        <v>252</v>
      </c>
      <c r="O1739" t="s">
        <v>163</v>
      </c>
      <c r="P1739">
        <v>1</v>
      </c>
      <c r="Q1739">
        <v>0</v>
      </c>
      <c r="R1739">
        <v>0</v>
      </c>
      <c r="S1739">
        <v>0</v>
      </c>
      <c r="T1739">
        <v>9</v>
      </c>
      <c r="U1739">
        <v>3</v>
      </c>
      <c r="V1739">
        <v>17</v>
      </c>
      <c r="W1739">
        <v>14</v>
      </c>
      <c r="X1739">
        <v>14</v>
      </c>
      <c r="Y1739">
        <v>24</v>
      </c>
      <c r="Z1739">
        <v>2</v>
      </c>
      <c r="AA1739">
        <v>7</v>
      </c>
      <c r="AB1739">
        <v>7</v>
      </c>
      <c r="AC1739">
        <v>0</v>
      </c>
      <c r="AD1739">
        <v>8</v>
      </c>
      <c r="AE1739">
        <v>2</v>
      </c>
      <c r="AF1739">
        <v>9</v>
      </c>
      <c r="AG1739">
        <v>1</v>
      </c>
      <c r="AH1739">
        <v>1</v>
      </c>
      <c r="AI1739">
        <v>1</v>
      </c>
    </row>
    <row r="1740" spans="1:35" hidden="1" x14ac:dyDescent="0.25">
      <c r="A1740">
        <v>2019</v>
      </c>
      <c r="B1740" s="1">
        <v>43627</v>
      </c>
      <c r="C1740">
        <v>8</v>
      </c>
      <c r="D1740">
        <v>7756</v>
      </c>
      <c r="E1740">
        <v>50049</v>
      </c>
      <c r="F1740" t="s">
        <v>416</v>
      </c>
      <c r="G1740" t="s">
        <v>394</v>
      </c>
      <c r="H1740" t="s">
        <v>444</v>
      </c>
      <c r="I1740" t="s">
        <v>441</v>
      </c>
      <c r="J1740">
        <v>12</v>
      </c>
      <c r="K1740">
        <v>13</v>
      </c>
      <c r="L1740">
        <v>9950000</v>
      </c>
      <c r="M1740">
        <v>11300000</v>
      </c>
      <c r="N1740" t="s">
        <v>122</v>
      </c>
      <c r="O1740" t="s">
        <v>86</v>
      </c>
      <c r="P1740">
        <v>3</v>
      </c>
      <c r="Q1740">
        <v>1</v>
      </c>
      <c r="R1740">
        <v>1</v>
      </c>
      <c r="S1740">
        <v>1</v>
      </c>
      <c r="T1740">
        <v>6</v>
      </c>
      <c r="U1740">
        <v>6</v>
      </c>
      <c r="V1740">
        <v>14</v>
      </c>
      <c r="W1740">
        <v>15</v>
      </c>
      <c r="X1740">
        <v>15</v>
      </c>
      <c r="Y1740">
        <v>14</v>
      </c>
      <c r="Z1740">
        <v>1</v>
      </c>
      <c r="AA1740">
        <v>4</v>
      </c>
      <c r="AB1740">
        <v>0</v>
      </c>
      <c r="AC1740">
        <v>0</v>
      </c>
      <c r="AD1740">
        <v>7</v>
      </c>
      <c r="AE1740">
        <v>2</v>
      </c>
      <c r="AF1740">
        <v>6</v>
      </c>
      <c r="AG1740">
        <v>3</v>
      </c>
      <c r="AH1740">
        <v>2</v>
      </c>
      <c r="AI1740">
        <v>1</v>
      </c>
    </row>
    <row r="1741" spans="1:35" hidden="1" x14ac:dyDescent="0.25">
      <c r="A1741">
        <v>2019</v>
      </c>
      <c r="B1741" s="1">
        <v>43755</v>
      </c>
      <c r="C1741">
        <v>26</v>
      </c>
      <c r="D1741">
        <v>17577</v>
      </c>
      <c r="E1741">
        <v>50049</v>
      </c>
      <c r="F1741" t="s">
        <v>416</v>
      </c>
      <c r="G1741" t="s">
        <v>88</v>
      </c>
      <c r="H1741" t="s">
        <v>441</v>
      </c>
      <c r="I1741" t="s">
        <v>379</v>
      </c>
      <c r="J1741">
        <v>9</v>
      </c>
      <c r="K1741">
        <v>4</v>
      </c>
      <c r="L1741">
        <v>10050000</v>
      </c>
      <c r="M1741">
        <v>43050000</v>
      </c>
      <c r="N1741" t="s">
        <v>120</v>
      </c>
      <c r="O1741" t="s">
        <v>99</v>
      </c>
      <c r="P1741">
        <v>2</v>
      </c>
      <c r="Q1741">
        <v>2</v>
      </c>
      <c r="R1741">
        <v>1</v>
      </c>
      <c r="S1741">
        <v>1</v>
      </c>
      <c r="T1741">
        <v>5</v>
      </c>
      <c r="U1741">
        <v>5</v>
      </c>
      <c r="V1741">
        <v>10</v>
      </c>
      <c r="W1741">
        <v>16</v>
      </c>
      <c r="X1741">
        <v>16</v>
      </c>
      <c r="Y1741">
        <v>9</v>
      </c>
      <c r="Z1741">
        <v>3</v>
      </c>
      <c r="AA1741">
        <v>1</v>
      </c>
      <c r="AB1741">
        <v>2</v>
      </c>
      <c r="AC1741">
        <v>0</v>
      </c>
      <c r="AD1741">
        <v>20</v>
      </c>
      <c r="AE1741">
        <v>17</v>
      </c>
      <c r="AF1741">
        <v>10</v>
      </c>
      <c r="AG1741">
        <v>8</v>
      </c>
      <c r="AH1741">
        <v>0</v>
      </c>
      <c r="AI1741">
        <v>0</v>
      </c>
    </row>
    <row r="1742" spans="1:35" hidden="1" x14ac:dyDescent="0.25">
      <c r="A1742">
        <v>2019</v>
      </c>
      <c r="B1742" s="1">
        <v>43590</v>
      </c>
      <c r="C1742">
        <v>3</v>
      </c>
      <c r="D1742">
        <v>31549</v>
      </c>
      <c r="E1742">
        <v>43600</v>
      </c>
      <c r="F1742" t="s">
        <v>95</v>
      </c>
      <c r="G1742" t="s">
        <v>37</v>
      </c>
      <c r="H1742" t="s">
        <v>336</v>
      </c>
      <c r="I1742" t="s">
        <v>328</v>
      </c>
      <c r="J1742">
        <v>4</v>
      </c>
      <c r="K1742">
        <v>13</v>
      </c>
      <c r="L1742">
        <v>49750000</v>
      </c>
      <c r="M1742">
        <v>29050000</v>
      </c>
      <c r="N1742" t="s">
        <v>137</v>
      </c>
      <c r="O1742" t="s">
        <v>107</v>
      </c>
      <c r="P1742">
        <v>1</v>
      </c>
      <c r="Q1742">
        <v>0</v>
      </c>
      <c r="R1742">
        <v>1</v>
      </c>
      <c r="S1742">
        <v>0</v>
      </c>
      <c r="T1742">
        <v>4</v>
      </c>
      <c r="U1742">
        <v>5</v>
      </c>
      <c r="V1742">
        <v>15</v>
      </c>
      <c r="W1742">
        <v>17</v>
      </c>
      <c r="X1742">
        <v>17</v>
      </c>
      <c r="Y1742">
        <v>15</v>
      </c>
      <c r="Z1742">
        <v>2</v>
      </c>
      <c r="AA1742">
        <v>4</v>
      </c>
      <c r="AB1742">
        <v>0</v>
      </c>
      <c r="AC1742">
        <v>0</v>
      </c>
      <c r="AD1742">
        <v>7</v>
      </c>
      <c r="AE1742">
        <v>2</v>
      </c>
      <c r="AF1742">
        <v>4</v>
      </c>
      <c r="AG1742">
        <v>5</v>
      </c>
      <c r="AH1742">
        <v>1</v>
      </c>
      <c r="AI1742">
        <v>1</v>
      </c>
    </row>
    <row r="1743" spans="1:35" hidden="1" x14ac:dyDescent="0.25">
      <c r="A1743">
        <v>2019</v>
      </c>
      <c r="B1743" s="1">
        <v>43751</v>
      </c>
      <c r="C1743">
        <v>25</v>
      </c>
      <c r="D1743">
        <v>19028</v>
      </c>
      <c r="E1743">
        <v>37000</v>
      </c>
      <c r="F1743" t="s">
        <v>95</v>
      </c>
      <c r="G1743" t="s">
        <v>51</v>
      </c>
      <c r="H1743" t="s">
        <v>240</v>
      </c>
      <c r="I1743" t="s">
        <v>410</v>
      </c>
      <c r="J1743">
        <v>3</v>
      </c>
      <c r="K1743">
        <v>12</v>
      </c>
      <c r="L1743">
        <v>53750000</v>
      </c>
      <c r="M1743">
        <v>13350000</v>
      </c>
      <c r="N1743" t="s">
        <v>235</v>
      </c>
      <c r="O1743" t="s">
        <v>98</v>
      </c>
      <c r="P1743">
        <v>1</v>
      </c>
      <c r="Q1743">
        <v>0</v>
      </c>
      <c r="R1743">
        <v>1</v>
      </c>
      <c r="S1743">
        <v>0</v>
      </c>
      <c r="T1743">
        <v>7</v>
      </c>
      <c r="U1743">
        <v>2</v>
      </c>
      <c r="V1743">
        <v>22</v>
      </c>
      <c r="W1743">
        <v>13</v>
      </c>
      <c r="X1743">
        <v>13</v>
      </c>
      <c r="Y1743">
        <v>19</v>
      </c>
      <c r="Z1743">
        <v>0</v>
      </c>
      <c r="AA1743">
        <v>6</v>
      </c>
      <c r="AB1743">
        <v>2</v>
      </c>
      <c r="AC1743">
        <v>0</v>
      </c>
      <c r="AD1743">
        <v>19</v>
      </c>
      <c r="AE1743">
        <v>6</v>
      </c>
      <c r="AF1743">
        <v>9</v>
      </c>
      <c r="AG1743">
        <v>5</v>
      </c>
      <c r="AH1743">
        <v>1</v>
      </c>
      <c r="AI1743">
        <v>1</v>
      </c>
    </row>
    <row r="1744" spans="1:35" hidden="1" x14ac:dyDescent="0.25">
      <c r="A1744">
        <v>2019</v>
      </c>
      <c r="B1744" s="1">
        <v>43778</v>
      </c>
      <c r="C1744">
        <v>32</v>
      </c>
      <c r="D1744">
        <v>36290</v>
      </c>
      <c r="E1744">
        <v>37730</v>
      </c>
      <c r="F1744" t="s">
        <v>95</v>
      </c>
      <c r="G1744" t="s">
        <v>88</v>
      </c>
      <c r="H1744" t="s">
        <v>240</v>
      </c>
      <c r="I1744" t="s">
        <v>436</v>
      </c>
      <c r="J1744">
        <v>2</v>
      </c>
      <c r="K1744">
        <v>6</v>
      </c>
      <c r="L1744">
        <v>59750000</v>
      </c>
      <c r="M1744">
        <v>41150000</v>
      </c>
      <c r="N1744" t="s">
        <v>134</v>
      </c>
      <c r="O1744" t="s">
        <v>100</v>
      </c>
      <c r="P1744">
        <v>1</v>
      </c>
      <c r="Q1744">
        <v>1</v>
      </c>
      <c r="R1744">
        <v>0</v>
      </c>
      <c r="S1744">
        <v>0</v>
      </c>
      <c r="T1744">
        <v>9</v>
      </c>
      <c r="U1744">
        <v>2</v>
      </c>
      <c r="V1744">
        <v>12</v>
      </c>
      <c r="W1744">
        <v>18</v>
      </c>
      <c r="X1744">
        <v>15</v>
      </c>
      <c r="Y1744">
        <v>12</v>
      </c>
      <c r="Z1744">
        <v>1</v>
      </c>
      <c r="AA1744">
        <v>6</v>
      </c>
      <c r="AB1744">
        <v>3</v>
      </c>
      <c r="AC1744">
        <v>0</v>
      </c>
      <c r="AD1744">
        <v>21</v>
      </c>
      <c r="AE1744">
        <v>7</v>
      </c>
      <c r="AF1744">
        <v>12</v>
      </c>
      <c r="AG1744">
        <v>2</v>
      </c>
      <c r="AH1744">
        <v>0</v>
      </c>
      <c r="AI1744">
        <v>0</v>
      </c>
    </row>
    <row r="1745" spans="1:35" hidden="1" x14ac:dyDescent="0.25">
      <c r="A1745">
        <v>2019</v>
      </c>
      <c r="B1745" s="1">
        <v>43626</v>
      </c>
      <c r="C1745">
        <v>8</v>
      </c>
      <c r="D1745">
        <v>5794</v>
      </c>
      <c r="E1745">
        <v>20120</v>
      </c>
      <c r="F1745" t="s">
        <v>419</v>
      </c>
      <c r="G1745" t="s">
        <v>89</v>
      </c>
      <c r="H1745" t="s">
        <v>329</v>
      </c>
      <c r="I1745" t="s">
        <v>431</v>
      </c>
      <c r="J1745">
        <v>4</v>
      </c>
      <c r="K1745">
        <v>2</v>
      </c>
      <c r="L1745">
        <v>25150000</v>
      </c>
      <c r="M1745">
        <v>27500000</v>
      </c>
      <c r="N1745">
        <v>26</v>
      </c>
      <c r="O1745">
        <v>31</v>
      </c>
      <c r="P1745">
        <v>3</v>
      </c>
      <c r="Q1745">
        <v>1</v>
      </c>
      <c r="R1745">
        <v>2</v>
      </c>
      <c r="S1745">
        <v>0</v>
      </c>
      <c r="T1745">
        <v>3</v>
      </c>
      <c r="U1745">
        <v>9</v>
      </c>
      <c r="V1745">
        <v>13</v>
      </c>
      <c r="W1745">
        <v>12</v>
      </c>
      <c r="X1745">
        <v>12</v>
      </c>
      <c r="Y1745">
        <v>13</v>
      </c>
      <c r="Z1745">
        <v>5</v>
      </c>
      <c r="AA1745">
        <v>11</v>
      </c>
      <c r="AB1745">
        <v>0</v>
      </c>
      <c r="AC1745">
        <v>0</v>
      </c>
      <c r="AD1745">
        <v>3</v>
      </c>
      <c r="AE1745">
        <v>4</v>
      </c>
      <c r="AF1745">
        <v>5</v>
      </c>
      <c r="AG1745">
        <v>1</v>
      </c>
      <c r="AH1745">
        <v>2</v>
      </c>
      <c r="AI1745">
        <v>1</v>
      </c>
    </row>
    <row r="1746" spans="1:35" hidden="1" x14ac:dyDescent="0.25">
      <c r="A1746">
        <v>2019</v>
      </c>
      <c r="B1746" s="1">
        <v>43748</v>
      </c>
      <c r="C1746">
        <v>24</v>
      </c>
      <c r="D1746">
        <v>11408</v>
      </c>
      <c r="E1746">
        <v>20120</v>
      </c>
      <c r="F1746" t="s">
        <v>419</v>
      </c>
      <c r="G1746" t="s">
        <v>95</v>
      </c>
      <c r="H1746" t="s">
        <v>329</v>
      </c>
      <c r="I1746" t="s">
        <v>240</v>
      </c>
      <c r="J1746">
        <v>3</v>
      </c>
      <c r="K1746">
        <v>2</v>
      </c>
      <c r="L1746">
        <v>24250000</v>
      </c>
      <c r="M1746">
        <v>52250000</v>
      </c>
      <c r="N1746" t="s">
        <v>120</v>
      </c>
      <c r="O1746" t="s">
        <v>109</v>
      </c>
      <c r="P1746">
        <v>2</v>
      </c>
      <c r="Q1746">
        <v>0</v>
      </c>
      <c r="R1746">
        <v>2</v>
      </c>
      <c r="S1746">
        <v>0</v>
      </c>
      <c r="T1746">
        <v>2</v>
      </c>
      <c r="U1746">
        <v>3</v>
      </c>
      <c r="V1746">
        <v>16</v>
      </c>
      <c r="W1746">
        <v>13</v>
      </c>
      <c r="X1746">
        <v>11</v>
      </c>
      <c r="Y1746">
        <v>16</v>
      </c>
      <c r="Z1746">
        <v>3</v>
      </c>
      <c r="AA1746">
        <v>4</v>
      </c>
      <c r="AB1746">
        <v>3</v>
      </c>
      <c r="AC1746">
        <v>0</v>
      </c>
      <c r="AD1746">
        <v>15</v>
      </c>
      <c r="AE1746">
        <v>13</v>
      </c>
      <c r="AF1746">
        <v>8</v>
      </c>
      <c r="AG1746">
        <v>7</v>
      </c>
      <c r="AH1746">
        <v>2</v>
      </c>
      <c r="AI1746">
        <v>1</v>
      </c>
    </row>
    <row r="1747" spans="1:35" hidden="1" x14ac:dyDescent="0.25">
      <c r="A1747">
        <v>2019</v>
      </c>
      <c r="B1747" s="1">
        <v>43807</v>
      </c>
      <c r="C1747">
        <v>38</v>
      </c>
      <c r="D1747">
        <v>13310</v>
      </c>
      <c r="E1747">
        <v>20120</v>
      </c>
      <c r="F1747" t="s">
        <v>419</v>
      </c>
      <c r="G1747" t="s">
        <v>77</v>
      </c>
      <c r="H1747" t="s">
        <v>329</v>
      </c>
      <c r="I1747" t="s">
        <v>446</v>
      </c>
      <c r="J1747">
        <v>2</v>
      </c>
      <c r="K1747">
        <v>1</v>
      </c>
      <c r="L1747">
        <v>38300000</v>
      </c>
      <c r="M1747">
        <v>90900000</v>
      </c>
      <c r="N1747" t="s">
        <v>73</v>
      </c>
      <c r="O1747" t="s">
        <v>135</v>
      </c>
      <c r="P1747">
        <v>4</v>
      </c>
      <c r="Q1747">
        <v>0</v>
      </c>
      <c r="R1747">
        <v>2</v>
      </c>
      <c r="S1747">
        <v>0</v>
      </c>
      <c r="T1747">
        <v>3</v>
      </c>
      <c r="U1747">
        <v>5</v>
      </c>
      <c r="V1747">
        <v>12</v>
      </c>
      <c r="W1747">
        <v>15</v>
      </c>
      <c r="X1747">
        <v>13</v>
      </c>
      <c r="Y1747">
        <v>12</v>
      </c>
      <c r="Z1747">
        <v>1</v>
      </c>
      <c r="AA1747">
        <v>4</v>
      </c>
      <c r="AB1747">
        <v>4</v>
      </c>
      <c r="AC1747">
        <v>0</v>
      </c>
      <c r="AD1747">
        <v>21</v>
      </c>
      <c r="AE1747">
        <v>5</v>
      </c>
      <c r="AF1747">
        <v>9</v>
      </c>
      <c r="AG1747">
        <v>2</v>
      </c>
      <c r="AH1747">
        <v>4</v>
      </c>
      <c r="AI1747">
        <v>1</v>
      </c>
    </row>
    <row r="1748" spans="1:35" hidden="1" x14ac:dyDescent="0.25">
      <c r="A1748">
        <v>2019</v>
      </c>
      <c r="B1748" s="1">
        <v>43584</v>
      </c>
      <c r="C1748">
        <v>1</v>
      </c>
      <c r="D1748">
        <v>17420</v>
      </c>
      <c r="E1748">
        <v>82238</v>
      </c>
      <c r="F1748" t="s">
        <v>55</v>
      </c>
      <c r="G1748" t="s">
        <v>416</v>
      </c>
      <c r="H1748" t="s">
        <v>57</v>
      </c>
      <c r="I1748" t="s">
        <v>444</v>
      </c>
      <c r="J1748">
        <v>14</v>
      </c>
      <c r="K1748">
        <v>10</v>
      </c>
      <c r="L1748">
        <v>12100000</v>
      </c>
      <c r="M1748">
        <v>7700000</v>
      </c>
      <c r="N1748" t="s">
        <v>104</v>
      </c>
      <c r="O1748">
        <v>26</v>
      </c>
      <c r="P1748">
        <v>0</v>
      </c>
      <c r="Q1748">
        <v>1</v>
      </c>
      <c r="R1748">
        <v>0</v>
      </c>
      <c r="S1748">
        <v>0</v>
      </c>
      <c r="T1748">
        <v>5</v>
      </c>
      <c r="U1748">
        <v>5</v>
      </c>
      <c r="V1748">
        <v>13</v>
      </c>
      <c r="W1748">
        <v>8</v>
      </c>
      <c r="X1748">
        <v>8</v>
      </c>
      <c r="Y1748">
        <v>15</v>
      </c>
      <c r="Z1748">
        <v>0</v>
      </c>
      <c r="AA1748">
        <v>2</v>
      </c>
      <c r="AB1748">
        <v>2</v>
      </c>
      <c r="AC1748">
        <v>0</v>
      </c>
      <c r="AD1748">
        <v>2</v>
      </c>
      <c r="AE1748">
        <v>1</v>
      </c>
      <c r="AF1748">
        <v>7</v>
      </c>
      <c r="AG1748">
        <v>5</v>
      </c>
      <c r="AH1748">
        <v>-1</v>
      </c>
      <c r="AI1748">
        <v>0</v>
      </c>
    </row>
    <row r="1749" spans="1:35" hidden="1" x14ac:dyDescent="0.25">
      <c r="A1749">
        <v>2019</v>
      </c>
      <c r="B1749" s="1">
        <v>43626</v>
      </c>
      <c r="C1749">
        <v>8</v>
      </c>
      <c r="D1749">
        <v>42726</v>
      </c>
      <c r="E1749">
        <v>82238</v>
      </c>
      <c r="F1749" t="s">
        <v>55</v>
      </c>
      <c r="G1749" t="s">
        <v>77</v>
      </c>
      <c r="H1749" t="s">
        <v>57</v>
      </c>
      <c r="I1749" t="s">
        <v>284</v>
      </c>
      <c r="J1749">
        <v>16</v>
      </c>
      <c r="K1749">
        <v>5</v>
      </c>
      <c r="L1749">
        <v>30150000</v>
      </c>
      <c r="M1749">
        <v>54500000</v>
      </c>
      <c r="N1749" t="s">
        <v>348</v>
      </c>
      <c r="O1749" t="s">
        <v>107</v>
      </c>
      <c r="P1749">
        <v>0</v>
      </c>
      <c r="Q1749">
        <v>0</v>
      </c>
      <c r="R1749">
        <v>0</v>
      </c>
      <c r="S1749">
        <v>0</v>
      </c>
      <c r="T1749">
        <v>5</v>
      </c>
      <c r="U1749">
        <v>2</v>
      </c>
      <c r="V1749">
        <v>14</v>
      </c>
      <c r="W1749">
        <v>14</v>
      </c>
      <c r="X1749">
        <v>14</v>
      </c>
      <c r="Y1749">
        <v>16</v>
      </c>
      <c r="Z1749">
        <v>2</v>
      </c>
      <c r="AA1749">
        <v>7</v>
      </c>
      <c r="AB1749">
        <v>2</v>
      </c>
      <c r="AC1749">
        <v>0</v>
      </c>
      <c r="AD1749">
        <v>7</v>
      </c>
      <c r="AE1749">
        <v>2</v>
      </c>
      <c r="AF1749">
        <v>8</v>
      </c>
      <c r="AG1749">
        <v>6</v>
      </c>
      <c r="AH1749">
        <v>0</v>
      </c>
      <c r="AI1749">
        <v>0</v>
      </c>
    </row>
    <row r="1750" spans="1:35" hidden="1" x14ac:dyDescent="0.25">
      <c r="A1750">
        <v>2019</v>
      </c>
      <c r="B1750" s="1">
        <v>43751</v>
      </c>
      <c r="C1750">
        <v>25</v>
      </c>
      <c r="D1750">
        <v>17637</v>
      </c>
      <c r="E1750">
        <v>82238</v>
      </c>
      <c r="F1750" t="s">
        <v>55</v>
      </c>
      <c r="G1750" t="s">
        <v>38</v>
      </c>
      <c r="H1750" t="s">
        <v>223</v>
      </c>
      <c r="I1750" t="s">
        <v>46</v>
      </c>
      <c r="J1750">
        <v>15</v>
      </c>
      <c r="K1750">
        <v>8</v>
      </c>
      <c r="L1750">
        <v>34200000</v>
      </c>
      <c r="M1750">
        <v>12400000</v>
      </c>
      <c r="N1750" t="s">
        <v>209</v>
      </c>
      <c r="O1750" t="s">
        <v>135</v>
      </c>
      <c r="P1750">
        <v>2</v>
      </c>
      <c r="Q1750">
        <v>0</v>
      </c>
      <c r="R1750">
        <v>2</v>
      </c>
      <c r="S1750">
        <v>0</v>
      </c>
      <c r="T1750">
        <v>4</v>
      </c>
      <c r="U1750">
        <v>7</v>
      </c>
      <c r="V1750">
        <v>11</v>
      </c>
      <c r="W1750">
        <v>15</v>
      </c>
      <c r="X1750">
        <v>14</v>
      </c>
      <c r="Y1750">
        <v>10</v>
      </c>
      <c r="Z1750">
        <v>5</v>
      </c>
      <c r="AA1750">
        <v>1</v>
      </c>
      <c r="AB1750">
        <v>1</v>
      </c>
      <c r="AC1750">
        <v>0</v>
      </c>
      <c r="AD1750">
        <v>13</v>
      </c>
      <c r="AE1750">
        <v>17</v>
      </c>
      <c r="AF1750">
        <v>10</v>
      </c>
      <c r="AG1750">
        <v>8</v>
      </c>
      <c r="AH1750">
        <v>2</v>
      </c>
      <c r="AI1750">
        <v>1</v>
      </c>
    </row>
    <row r="1751" spans="1:35" hidden="1" x14ac:dyDescent="0.25">
      <c r="A1751">
        <v>2019</v>
      </c>
      <c r="B1751" s="1">
        <v>43604</v>
      </c>
      <c r="C1751">
        <v>5</v>
      </c>
      <c r="D1751">
        <v>44640</v>
      </c>
      <c r="E1751">
        <v>67428</v>
      </c>
      <c r="F1751" t="s">
        <v>62</v>
      </c>
      <c r="G1751" t="s">
        <v>38</v>
      </c>
      <c r="H1751" t="s">
        <v>71</v>
      </c>
      <c r="I1751" t="s">
        <v>46</v>
      </c>
      <c r="J1751">
        <v>3</v>
      </c>
      <c r="K1751">
        <v>8</v>
      </c>
      <c r="L1751">
        <v>32500000</v>
      </c>
      <c r="M1751">
        <v>14400000</v>
      </c>
      <c r="N1751" t="s">
        <v>239</v>
      </c>
      <c r="O1751" t="s">
        <v>209</v>
      </c>
      <c r="P1751">
        <v>0</v>
      </c>
      <c r="Q1751">
        <v>0</v>
      </c>
      <c r="R1751">
        <v>0</v>
      </c>
      <c r="S1751">
        <v>0</v>
      </c>
      <c r="T1751">
        <v>7</v>
      </c>
      <c r="U1751">
        <v>5</v>
      </c>
      <c r="V1751">
        <v>11</v>
      </c>
      <c r="W1751">
        <v>15</v>
      </c>
      <c r="X1751">
        <v>15</v>
      </c>
      <c r="Y1751">
        <v>13</v>
      </c>
      <c r="Z1751">
        <v>3</v>
      </c>
      <c r="AA1751">
        <v>6</v>
      </c>
      <c r="AB1751">
        <v>2</v>
      </c>
      <c r="AC1751">
        <v>0</v>
      </c>
      <c r="AD1751">
        <v>6</v>
      </c>
      <c r="AE1751">
        <v>4</v>
      </c>
      <c r="AF1751">
        <v>3</v>
      </c>
      <c r="AG1751">
        <v>6</v>
      </c>
      <c r="AH1751">
        <v>0</v>
      </c>
      <c r="AI1751">
        <v>0</v>
      </c>
    </row>
    <row r="1752" spans="1:35" hidden="1" x14ac:dyDescent="0.25">
      <c r="A1752">
        <v>2019</v>
      </c>
      <c r="B1752" s="1">
        <v>43751</v>
      </c>
      <c r="C1752">
        <v>25</v>
      </c>
      <c r="D1752">
        <v>37561</v>
      </c>
      <c r="E1752">
        <v>67428</v>
      </c>
      <c r="F1752" t="s">
        <v>62</v>
      </c>
      <c r="G1752" t="s">
        <v>88</v>
      </c>
      <c r="H1752" t="s">
        <v>57</v>
      </c>
      <c r="I1752" t="s">
        <v>379</v>
      </c>
      <c r="J1752">
        <v>5</v>
      </c>
      <c r="K1752">
        <v>4</v>
      </c>
      <c r="L1752">
        <v>35250000</v>
      </c>
      <c r="M1752">
        <v>35500000</v>
      </c>
      <c r="N1752">
        <v>27</v>
      </c>
      <c r="O1752" t="s">
        <v>74</v>
      </c>
      <c r="P1752">
        <v>1</v>
      </c>
      <c r="Q1752">
        <v>0</v>
      </c>
      <c r="R1752">
        <v>0</v>
      </c>
      <c r="S1752">
        <v>0</v>
      </c>
      <c r="T1752">
        <v>2</v>
      </c>
      <c r="U1752">
        <v>1</v>
      </c>
      <c r="V1752">
        <v>9</v>
      </c>
      <c r="W1752">
        <v>10</v>
      </c>
      <c r="X1752">
        <v>9</v>
      </c>
      <c r="Y1752">
        <v>9</v>
      </c>
      <c r="Z1752">
        <v>2</v>
      </c>
      <c r="AA1752">
        <v>2</v>
      </c>
      <c r="AB1752">
        <v>2</v>
      </c>
      <c r="AC1752">
        <v>0</v>
      </c>
      <c r="AD1752">
        <v>17</v>
      </c>
      <c r="AE1752">
        <v>3</v>
      </c>
      <c r="AF1752">
        <v>11</v>
      </c>
      <c r="AG1752">
        <v>1</v>
      </c>
      <c r="AH1752">
        <v>1</v>
      </c>
      <c r="AI1752">
        <v>1</v>
      </c>
    </row>
    <row r="1753" spans="1:35" hidden="1" x14ac:dyDescent="0.25">
      <c r="A1753">
        <v>2019</v>
      </c>
      <c r="B1753" s="1">
        <v>43779</v>
      </c>
      <c r="C1753">
        <v>32</v>
      </c>
      <c r="D1753">
        <v>13795</v>
      </c>
      <c r="E1753">
        <v>67428</v>
      </c>
      <c r="F1753" t="s">
        <v>62</v>
      </c>
      <c r="G1753" t="s">
        <v>69</v>
      </c>
      <c r="H1753" t="s">
        <v>57</v>
      </c>
      <c r="I1753" t="s">
        <v>286</v>
      </c>
      <c r="J1753">
        <v>5</v>
      </c>
      <c r="K1753">
        <v>7</v>
      </c>
      <c r="L1753">
        <v>43000000</v>
      </c>
      <c r="M1753">
        <v>14900000</v>
      </c>
      <c r="N1753" t="s">
        <v>41</v>
      </c>
      <c r="O1753" t="s">
        <v>135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-1</v>
      </c>
      <c r="AI1753">
        <v>0</v>
      </c>
    </row>
    <row r="1754" spans="1:35" hidden="1" x14ac:dyDescent="0.25">
      <c r="A1754">
        <v>2019</v>
      </c>
      <c r="B1754" s="1">
        <v>43590</v>
      </c>
      <c r="C1754">
        <v>3</v>
      </c>
      <c r="D1754">
        <v>6433</v>
      </c>
      <c r="E1754">
        <v>22600</v>
      </c>
      <c r="F1754" t="s">
        <v>394</v>
      </c>
      <c r="G1754" t="s">
        <v>69</v>
      </c>
      <c r="H1754" t="s">
        <v>441</v>
      </c>
      <c r="I1754" t="s">
        <v>333</v>
      </c>
      <c r="J1754">
        <v>8</v>
      </c>
      <c r="K1754">
        <v>6</v>
      </c>
      <c r="L1754">
        <v>11850000</v>
      </c>
      <c r="M1754">
        <v>12100000</v>
      </c>
      <c r="N1754" t="s">
        <v>137</v>
      </c>
      <c r="O1754" t="s">
        <v>151</v>
      </c>
      <c r="P1754">
        <v>1</v>
      </c>
      <c r="Q1754">
        <v>1</v>
      </c>
      <c r="R1754">
        <v>0</v>
      </c>
      <c r="S1754">
        <v>0</v>
      </c>
      <c r="T1754">
        <v>7</v>
      </c>
      <c r="U1754">
        <v>3</v>
      </c>
      <c r="V1754">
        <v>17</v>
      </c>
      <c r="W1754">
        <v>20</v>
      </c>
      <c r="X1754">
        <v>19</v>
      </c>
      <c r="Y1754">
        <v>17</v>
      </c>
      <c r="Z1754">
        <v>6</v>
      </c>
      <c r="AA1754">
        <v>2</v>
      </c>
      <c r="AB1754">
        <v>0</v>
      </c>
      <c r="AC1754">
        <v>0</v>
      </c>
      <c r="AD1754">
        <v>3</v>
      </c>
      <c r="AE1754">
        <v>7</v>
      </c>
      <c r="AF1754">
        <v>7</v>
      </c>
      <c r="AG1754">
        <v>7</v>
      </c>
      <c r="AH1754">
        <v>0</v>
      </c>
      <c r="AI1754">
        <v>0</v>
      </c>
    </row>
    <row r="1755" spans="1:35" hidden="1" x14ac:dyDescent="0.25">
      <c r="A1755">
        <v>2019</v>
      </c>
      <c r="B1755" s="1">
        <v>43619</v>
      </c>
      <c r="C1755">
        <v>7</v>
      </c>
      <c r="D1755">
        <v>10615</v>
      </c>
      <c r="E1755">
        <v>22600</v>
      </c>
      <c r="F1755" t="s">
        <v>394</v>
      </c>
      <c r="G1755" t="s">
        <v>95</v>
      </c>
      <c r="H1755" t="s">
        <v>441</v>
      </c>
      <c r="I1755" t="s">
        <v>336</v>
      </c>
      <c r="J1755">
        <v>13</v>
      </c>
      <c r="K1755">
        <v>1</v>
      </c>
      <c r="L1755">
        <v>12800000</v>
      </c>
      <c r="M1755">
        <v>49750000</v>
      </c>
      <c r="N1755" t="s">
        <v>128</v>
      </c>
      <c r="O1755" t="s">
        <v>123</v>
      </c>
      <c r="P1755">
        <v>1</v>
      </c>
      <c r="Q1755">
        <v>2</v>
      </c>
      <c r="R1755">
        <v>1</v>
      </c>
      <c r="S1755">
        <v>2</v>
      </c>
      <c r="T1755">
        <v>3</v>
      </c>
      <c r="U1755">
        <v>5</v>
      </c>
      <c r="V1755">
        <v>16</v>
      </c>
      <c r="W1755">
        <v>16</v>
      </c>
      <c r="X1755">
        <v>16</v>
      </c>
      <c r="Y1755">
        <v>17</v>
      </c>
      <c r="Z1755">
        <v>5</v>
      </c>
      <c r="AA1755">
        <v>4</v>
      </c>
      <c r="AB1755">
        <v>1</v>
      </c>
      <c r="AC1755">
        <v>0</v>
      </c>
      <c r="AD1755">
        <v>5</v>
      </c>
      <c r="AE1755">
        <v>7</v>
      </c>
      <c r="AF1755">
        <v>7</v>
      </c>
      <c r="AG1755">
        <v>5</v>
      </c>
      <c r="AH1755">
        <v>-1</v>
      </c>
      <c r="AI1755">
        <v>0</v>
      </c>
    </row>
    <row r="1756" spans="1:35" hidden="1" x14ac:dyDescent="0.25">
      <c r="A1756">
        <v>2019</v>
      </c>
      <c r="B1756" s="1">
        <v>43752</v>
      </c>
      <c r="C1756">
        <v>25</v>
      </c>
      <c r="D1756">
        <v>4399</v>
      </c>
      <c r="E1756">
        <v>22600</v>
      </c>
      <c r="F1756" t="s">
        <v>394</v>
      </c>
      <c r="G1756" t="s">
        <v>50</v>
      </c>
      <c r="H1756" t="s">
        <v>368</v>
      </c>
      <c r="I1756" t="s">
        <v>376</v>
      </c>
      <c r="J1756">
        <v>20</v>
      </c>
      <c r="K1756">
        <v>18</v>
      </c>
      <c r="L1756">
        <v>8850000</v>
      </c>
      <c r="M1756">
        <v>19500000</v>
      </c>
      <c r="N1756" t="s">
        <v>100</v>
      </c>
      <c r="O1756" t="s">
        <v>205</v>
      </c>
      <c r="P1756">
        <v>1</v>
      </c>
      <c r="Q1756">
        <v>1</v>
      </c>
      <c r="R1756">
        <v>0</v>
      </c>
      <c r="S1756">
        <v>1</v>
      </c>
      <c r="T1756">
        <v>9</v>
      </c>
      <c r="U1756">
        <v>7</v>
      </c>
      <c r="V1756">
        <v>12</v>
      </c>
      <c r="W1756">
        <v>13</v>
      </c>
      <c r="X1756">
        <v>11</v>
      </c>
      <c r="Y1756">
        <v>11</v>
      </c>
      <c r="Z1756">
        <v>5</v>
      </c>
      <c r="AA1756">
        <v>6</v>
      </c>
      <c r="AB1756">
        <v>0</v>
      </c>
      <c r="AC1756">
        <v>0</v>
      </c>
      <c r="AD1756">
        <v>19</v>
      </c>
      <c r="AE1756">
        <v>17</v>
      </c>
      <c r="AF1756">
        <v>7</v>
      </c>
      <c r="AG1756">
        <v>8</v>
      </c>
      <c r="AH1756">
        <v>0</v>
      </c>
      <c r="AI1756">
        <v>0</v>
      </c>
    </row>
    <row r="1757" spans="1:35" hidden="1" x14ac:dyDescent="0.25">
      <c r="A1757">
        <v>2019</v>
      </c>
      <c r="B1757" s="1">
        <v>43779</v>
      </c>
      <c r="C1757">
        <v>32</v>
      </c>
      <c r="D1757">
        <v>13335</v>
      </c>
      <c r="E1757">
        <v>22600</v>
      </c>
      <c r="F1757" t="s">
        <v>394</v>
      </c>
      <c r="G1757" t="s">
        <v>83</v>
      </c>
      <c r="H1757" t="s">
        <v>368</v>
      </c>
      <c r="I1757" t="s">
        <v>85</v>
      </c>
      <c r="J1757">
        <v>19</v>
      </c>
      <c r="K1757">
        <v>4</v>
      </c>
      <c r="L1757">
        <v>12150000</v>
      </c>
      <c r="M1757">
        <v>76800000</v>
      </c>
      <c r="N1757" t="s">
        <v>48</v>
      </c>
      <c r="O1757" t="s">
        <v>168</v>
      </c>
      <c r="P1757">
        <v>0</v>
      </c>
      <c r="Q1757">
        <v>1</v>
      </c>
      <c r="R1757">
        <v>0</v>
      </c>
      <c r="S1757">
        <v>1</v>
      </c>
      <c r="T1757">
        <v>5</v>
      </c>
      <c r="U1757">
        <v>2</v>
      </c>
      <c r="V1757">
        <v>10</v>
      </c>
      <c r="W1757">
        <v>13</v>
      </c>
      <c r="X1757">
        <v>13</v>
      </c>
      <c r="Y1757">
        <v>9</v>
      </c>
      <c r="Z1757">
        <v>1</v>
      </c>
      <c r="AA1757">
        <v>2</v>
      </c>
      <c r="AB1757">
        <v>0</v>
      </c>
      <c r="AC1757">
        <v>0</v>
      </c>
      <c r="AD1757">
        <v>17</v>
      </c>
      <c r="AE1757">
        <v>7</v>
      </c>
      <c r="AF1757">
        <v>8</v>
      </c>
      <c r="AG1757">
        <v>5</v>
      </c>
      <c r="AH1757">
        <v>-1</v>
      </c>
      <c r="AI1757">
        <v>0</v>
      </c>
    </row>
    <row r="1758" spans="1:35" hidden="1" x14ac:dyDescent="0.25">
      <c r="A1758">
        <v>2019</v>
      </c>
      <c r="B1758" s="1">
        <v>43660</v>
      </c>
      <c r="C1758">
        <v>10</v>
      </c>
      <c r="D1758">
        <v>34238</v>
      </c>
      <c r="E1758">
        <v>49205</v>
      </c>
      <c r="F1758" t="s">
        <v>88</v>
      </c>
      <c r="G1758" t="s">
        <v>443</v>
      </c>
      <c r="H1758" t="s">
        <v>379</v>
      </c>
      <c r="I1758" t="s">
        <v>445</v>
      </c>
      <c r="J1758">
        <v>8</v>
      </c>
      <c r="K1758">
        <v>19</v>
      </c>
      <c r="L1758">
        <v>44650000</v>
      </c>
      <c r="M1758">
        <v>9450000</v>
      </c>
      <c r="N1758" t="s">
        <v>296</v>
      </c>
      <c r="O1758" t="s">
        <v>47</v>
      </c>
      <c r="P1758">
        <v>1</v>
      </c>
      <c r="Q1758">
        <v>0</v>
      </c>
      <c r="R1758">
        <v>0</v>
      </c>
      <c r="S1758">
        <v>0</v>
      </c>
      <c r="T1758">
        <v>16</v>
      </c>
      <c r="U1758">
        <v>1</v>
      </c>
      <c r="V1758">
        <v>4</v>
      </c>
      <c r="W1758">
        <v>17</v>
      </c>
      <c r="X1758">
        <v>17</v>
      </c>
      <c r="Y1758">
        <v>5</v>
      </c>
      <c r="Z1758">
        <v>1</v>
      </c>
      <c r="AA1758">
        <v>4</v>
      </c>
      <c r="AB1758">
        <v>1</v>
      </c>
      <c r="AC1758">
        <v>0</v>
      </c>
      <c r="AD1758">
        <v>5</v>
      </c>
      <c r="AE1758">
        <v>1</v>
      </c>
      <c r="AF1758">
        <v>10</v>
      </c>
      <c r="AG1758">
        <v>1</v>
      </c>
      <c r="AH1758">
        <v>1</v>
      </c>
      <c r="AI1758">
        <v>1</v>
      </c>
    </row>
    <row r="1759" spans="1:35" hidden="1" x14ac:dyDescent="0.25">
      <c r="A1759">
        <v>2019</v>
      </c>
      <c r="B1759" s="1">
        <v>43749</v>
      </c>
      <c r="C1759">
        <v>24</v>
      </c>
      <c r="D1759">
        <v>22964</v>
      </c>
      <c r="E1759">
        <v>49205</v>
      </c>
      <c r="F1759" t="s">
        <v>88</v>
      </c>
      <c r="G1759" t="s">
        <v>69</v>
      </c>
      <c r="H1759" t="s">
        <v>379</v>
      </c>
      <c r="I1759" t="s">
        <v>333</v>
      </c>
      <c r="J1759">
        <v>4</v>
      </c>
      <c r="K1759">
        <v>9</v>
      </c>
      <c r="L1759">
        <v>35650000</v>
      </c>
      <c r="M1759">
        <v>14100000</v>
      </c>
      <c r="N1759" t="s">
        <v>208</v>
      </c>
      <c r="O1759" t="s">
        <v>116</v>
      </c>
      <c r="P1759">
        <v>2</v>
      </c>
      <c r="Q1759">
        <v>2</v>
      </c>
      <c r="R1759">
        <v>2</v>
      </c>
      <c r="S1759">
        <v>2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</v>
      </c>
      <c r="AE1759">
        <v>2</v>
      </c>
      <c r="AF1759">
        <v>0</v>
      </c>
      <c r="AG1759">
        <v>0</v>
      </c>
      <c r="AH1759">
        <v>0</v>
      </c>
      <c r="AI1759">
        <v>0</v>
      </c>
    </row>
    <row r="1760" spans="1:35" hidden="1" x14ac:dyDescent="0.25">
      <c r="A1760">
        <v>2019</v>
      </c>
      <c r="B1760" s="1">
        <v>43758</v>
      </c>
      <c r="C1760">
        <v>27</v>
      </c>
      <c r="D1760">
        <v>31882</v>
      </c>
      <c r="E1760">
        <v>49205</v>
      </c>
      <c r="F1760" t="s">
        <v>88</v>
      </c>
      <c r="G1760" t="s">
        <v>50</v>
      </c>
      <c r="H1760" t="s">
        <v>379</v>
      </c>
      <c r="I1760" t="s">
        <v>376</v>
      </c>
      <c r="J1760">
        <v>4</v>
      </c>
      <c r="K1760">
        <v>18</v>
      </c>
      <c r="L1760">
        <v>36650000</v>
      </c>
      <c r="M1760">
        <v>21650000</v>
      </c>
      <c r="N1760" t="s">
        <v>122</v>
      </c>
      <c r="O1760" t="s">
        <v>205</v>
      </c>
      <c r="P1760">
        <v>1</v>
      </c>
      <c r="Q1760">
        <v>2</v>
      </c>
      <c r="R1760">
        <v>1</v>
      </c>
      <c r="S1760">
        <v>1</v>
      </c>
      <c r="T1760">
        <v>4</v>
      </c>
      <c r="U1760">
        <v>4</v>
      </c>
      <c r="V1760">
        <v>15</v>
      </c>
      <c r="W1760">
        <v>18</v>
      </c>
      <c r="X1760">
        <v>17</v>
      </c>
      <c r="Y1760">
        <v>11</v>
      </c>
      <c r="Z1760">
        <v>3</v>
      </c>
      <c r="AA1760">
        <v>3</v>
      </c>
      <c r="AB1760">
        <v>0</v>
      </c>
      <c r="AC1760">
        <v>0</v>
      </c>
      <c r="AD1760">
        <v>13</v>
      </c>
      <c r="AE1760">
        <v>14</v>
      </c>
      <c r="AF1760">
        <v>6</v>
      </c>
      <c r="AG1760">
        <v>4</v>
      </c>
      <c r="AH1760">
        <v>-1</v>
      </c>
      <c r="AI1760">
        <v>0</v>
      </c>
    </row>
    <row r="1761" spans="1:35" hidden="1" x14ac:dyDescent="0.25">
      <c r="A1761">
        <v>2019</v>
      </c>
      <c r="B1761" s="1">
        <v>43618</v>
      </c>
      <c r="C1761">
        <v>7</v>
      </c>
      <c r="D1761">
        <v>12548</v>
      </c>
      <c r="E1761">
        <v>42372</v>
      </c>
      <c r="F1761" t="s">
        <v>69</v>
      </c>
      <c r="G1761" t="s">
        <v>55</v>
      </c>
      <c r="H1761" t="s">
        <v>333</v>
      </c>
      <c r="I1761" t="s">
        <v>57</v>
      </c>
      <c r="J1761">
        <v>12</v>
      </c>
      <c r="K1761">
        <v>15</v>
      </c>
      <c r="L1761">
        <v>17050000</v>
      </c>
      <c r="M1761">
        <v>28950000</v>
      </c>
      <c r="N1761" t="s">
        <v>73</v>
      </c>
      <c r="O1761" t="s">
        <v>202</v>
      </c>
      <c r="P1761">
        <v>3</v>
      </c>
      <c r="Q1761">
        <v>0</v>
      </c>
      <c r="R1761">
        <v>2</v>
      </c>
      <c r="S1761">
        <v>0</v>
      </c>
      <c r="T1761">
        <v>6</v>
      </c>
      <c r="U1761">
        <v>4</v>
      </c>
      <c r="V1761">
        <v>15</v>
      </c>
      <c r="W1761">
        <v>15</v>
      </c>
      <c r="X1761">
        <v>15</v>
      </c>
      <c r="Y1761">
        <v>16</v>
      </c>
      <c r="Z1761">
        <v>5</v>
      </c>
      <c r="AA1761">
        <v>11</v>
      </c>
      <c r="AB1761">
        <v>1</v>
      </c>
      <c r="AC1761">
        <v>0</v>
      </c>
      <c r="AD1761">
        <v>5</v>
      </c>
      <c r="AE1761">
        <v>0</v>
      </c>
      <c r="AF1761">
        <v>4</v>
      </c>
      <c r="AG1761">
        <v>0</v>
      </c>
      <c r="AH1761">
        <v>3</v>
      </c>
      <c r="AI1761">
        <v>1</v>
      </c>
    </row>
    <row r="1762" spans="1:35" hidden="1" x14ac:dyDescent="0.25">
      <c r="A1762">
        <v>2019</v>
      </c>
      <c r="B1762" s="1">
        <v>43738</v>
      </c>
      <c r="C1762">
        <v>22</v>
      </c>
      <c r="D1762">
        <v>13669</v>
      </c>
      <c r="E1762">
        <v>42372</v>
      </c>
      <c r="F1762" t="s">
        <v>69</v>
      </c>
      <c r="G1762" t="s">
        <v>394</v>
      </c>
      <c r="H1762" t="s">
        <v>333</v>
      </c>
      <c r="I1762" t="s">
        <v>368</v>
      </c>
      <c r="J1762">
        <v>9</v>
      </c>
      <c r="K1762">
        <v>20</v>
      </c>
      <c r="L1762">
        <v>18900000</v>
      </c>
      <c r="M1762">
        <v>10550000</v>
      </c>
      <c r="N1762" t="s">
        <v>239</v>
      </c>
      <c r="O1762" t="s">
        <v>144</v>
      </c>
      <c r="P1762">
        <v>1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255</v>
      </c>
      <c r="W1762">
        <v>255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hidden="1" x14ac:dyDescent="0.25">
      <c r="A1763">
        <v>2019</v>
      </c>
      <c r="B1763" s="1">
        <v>43751</v>
      </c>
      <c r="C1763">
        <v>25</v>
      </c>
      <c r="D1763">
        <v>25473</v>
      </c>
      <c r="E1763">
        <v>42372</v>
      </c>
      <c r="F1763" t="s">
        <v>69</v>
      </c>
      <c r="G1763" t="s">
        <v>77</v>
      </c>
      <c r="H1763" t="s">
        <v>333</v>
      </c>
      <c r="I1763" t="s">
        <v>446</v>
      </c>
      <c r="J1763">
        <v>9</v>
      </c>
      <c r="K1763">
        <v>1</v>
      </c>
      <c r="L1763">
        <v>13850000</v>
      </c>
      <c r="M1763">
        <v>52350000</v>
      </c>
      <c r="N1763" t="s">
        <v>137</v>
      </c>
      <c r="O1763" t="s">
        <v>66</v>
      </c>
      <c r="P1763">
        <v>0</v>
      </c>
      <c r="Q1763">
        <v>2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2</v>
      </c>
      <c r="AF1763">
        <v>0</v>
      </c>
      <c r="AG1763">
        <v>0</v>
      </c>
      <c r="AH1763">
        <v>-2</v>
      </c>
      <c r="AI1763">
        <v>0</v>
      </c>
    </row>
    <row r="1764" spans="1:35" hidden="1" x14ac:dyDescent="0.25">
      <c r="A1764">
        <v>2019</v>
      </c>
      <c r="B1764" s="1">
        <v>43604</v>
      </c>
      <c r="C1764">
        <v>5</v>
      </c>
      <c r="D1764">
        <v>13616</v>
      </c>
      <c r="E1764">
        <v>23018</v>
      </c>
      <c r="F1764" t="s">
        <v>89</v>
      </c>
      <c r="G1764" t="s">
        <v>77</v>
      </c>
      <c r="H1764" t="s">
        <v>431</v>
      </c>
      <c r="I1764" t="s">
        <v>376</v>
      </c>
      <c r="J1764">
        <v>4</v>
      </c>
      <c r="K1764">
        <v>7</v>
      </c>
      <c r="L1764">
        <v>25900000</v>
      </c>
      <c r="M1764">
        <v>65000000</v>
      </c>
      <c r="N1764" t="s">
        <v>92</v>
      </c>
      <c r="O1764" t="s">
        <v>114</v>
      </c>
      <c r="P1764">
        <v>2</v>
      </c>
      <c r="Q1764">
        <v>1</v>
      </c>
      <c r="R1764">
        <v>1</v>
      </c>
      <c r="S1764">
        <v>1</v>
      </c>
      <c r="T1764">
        <v>2</v>
      </c>
      <c r="U1764">
        <v>18</v>
      </c>
      <c r="V1764">
        <v>11</v>
      </c>
      <c r="W1764">
        <v>8</v>
      </c>
      <c r="X1764">
        <v>8</v>
      </c>
      <c r="Y1764">
        <v>11</v>
      </c>
      <c r="Z1764">
        <v>9</v>
      </c>
      <c r="AA1764">
        <v>2</v>
      </c>
      <c r="AB1764">
        <v>0</v>
      </c>
      <c r="AC1764">
        <v>0</v>
      </c>
      <c r="AD1764">
        <v>5</v>
      </c>
      <c r="AE1764">
        <v>11</v>
      </c>
      <c r="AF1764">
        <v>4</v>
      </c>
      <c r="AG1764">
        <v>7</v>
      </c>
      <c r="AH1764">
        <v>1</v>
      </c>
      <c r="AI1764">
        <v>1</v>
      </c>
    </row>
    <row r="1765" spans="1:35" hidden="1" x14ac:dyDescent="0.25">
      <c r="A1765">
        <v>2019</v>
      </c>
      <c r="B1765" s="1">
        <v>43619</v>
      </c>
      <c r="C1765">
        <v>7</v>
      </c>
      <c r="D1765">
        <v>14116</v>
      </c>
      <c r="E1765">
        <v>23018</v>
      </c>
      <c r="F1765" t="s">
        <v>89</v>
      </c>
      <c r="G1765" t="s">
        <v>443</v>
      </c>
      <c r="H1765" t="s">
        <v>431</v>
      </c>
      <c r="I1765" t="s">
        <v>408</v>
      </c>
      <c r="J1765">
        <v>2</v>
      </c>
      <c r="K1765">
        <v>17</v>
      </c>
      <c r="L1765">
        <v>29400000</v>
      </c>
      <c r="M1765">
        <v>8500000</v>
      </c>
      <c r="N1765" t="s">
        <v>200</v>
      </c>
      <c r="O1765" t="s">
        <v>129</v>
      </c>
      <c r="P1765">
        <v>4</v>
      </c>
      <c r="Q1765">
        <v>0</v>
      </c>
      <c r="R1765">
        <v>2</v>
      </c>
      <c r="S1765">
        <v>0</v>
      </c>
      <c r="T1765">
        <v>11</v>
      </c>
      <c r="U1765">
        <v>2</v>
      </c>
      <c r="V1765">
        <v>3</v>
      </c>
      <c r="W1765">
        <v>9</v>
      </c>
      <c r="X1765">
        <v>9</v>
      </c>
      <c r="Y1765">
        <v>4</v>
      </c>
      <c r="Z1765">
        <v>0</v>
      </c>
      <c r="AA1765">
        <v>1</v>
      </c>
      <c r="AB1765">
        <v>1</v>
      </c>
      <c r="AC1765">
        <v>0</v>
      </c>
      <c r="AD1765">
        <v>6</v>
      </c>
      <c r="AE1765">
        <v>0</v>
      </c>
      <c r="AF1765">
        <v>13</v>
      </c>
      <c r="AG1765">
        <v>5</v>
      </c>
      <c r="AH1765">
        <v>4</v>
      </c>
      <c r="AI1765">
        <v>1</v>
      </c>
    </row>
    <row r="1766" spans="1:35" hidden="1" x14ac:dyDescent="0.25">
      <c r="A1766">
        <v>2019</v>
      </c>
      <c r="B1766" s="1">
        <v>43630</v>
      </c>
      <c r="C1766">
        <v>9</v>
      </c>
      <c r="D1766">
        <v>19761</v>
      </c>
      <c r="E1766">
        <v>23018</v>
      </c>
      <c r="F1766" t="s">
        <v>89</v>
      </c>
      <c r="G1766" t="s">
        <v>62</v>
      </c>
      <c r="H1766" t="s">
        <v>431</v>
      </c>
      <c r="I1766" t="s">
        <v>71</v>
      </c>
      <c r="J1766">
        <v>3</v>
      </c>
      <c r="K1766">
        <v>9</v>
      </c>
      <c r="L1766">
        <v>29400000</v>
      </c>
      <c r="M1766">
        <v>28100000</v>
      </c>
      <c r="N1766" t="s">
        <v>200</v>
      </c>
      <c r="O1766" t="s">
        <v>168</v>
      </c>
      <c r="P1766">
        <v>1</v>
      </c>
      <c r="Q1766">
        <v>1</v>
      </c>
      <c r="R1766">
        <v>1</v>
      </c>
      <c r="S1766">
        <v>0</v>
      </c>
      <c r="T1766">
        <v>12</v>
      </c>
      <c r="U1766">
        <v>5</v>
      </c>
      <c r="V1766">
        <v>13</v>
      </c>
      <c r="W1766">
        <v>15</v>
      </c>
      <c r="X1766">
        <v>15</v>
      </c>
      <c r="Y1766">
        <v>13</v>
      </c>
      <c r="Z1766">
        <v>3</v>
      </c>
      <c r="AA1766">
        <v>7</v>
      </c>
      <c r="AB1766">
        <v>0</v>
      </c>
      <c r="AC1766">
        <v>0</v>
      </c>
      <c r="AD1766">
        <v>8</v>
      </c>
      <c r="AE1766">
        <v>4</v>
      </c>
      <c r="AF1766">
        <v>6</v>
      </c>
      <c r="AG1766">
        <v>3</v>
      </c>
      <c r="AH1766">
        <v>0</v>
      </c>
      <c r="AI1766">
        <v>0</v>
      </c>
    </row>
    <row r="1767" spans="1:35" hidden="1" x14ac:dyDescent="0.25">
      <c r="A1767">
        <v>2019</v>
      </c>
      <c r="B1767" s="1">
        <v>43667</v>
      </c>
      <c r="C1767">
        <v>11</v>
      </c>
      <c r="D1767">
        <v>16043</v>
      </c>
      <c r="E1767">
        <v>23018</v>
      </c>
      <c r="F1767" t="s">
        <v>89</v>
      </c>
      <c r="G1767" t="s">
        <v>63</v>
      </c>
      <c r="H1767" t="s">
        <v>431</v>
      </c>
      <c r="I1767" t="s">
        <v>40</v>
      </c>
      <c r="J1767">
        <v>4</v>
      </c>
      <c r="K1767">
        <v>13</v>
      </c>
      <c r="L1767">
        <v>20900000</v>
      </c>
      <c r="M1767">
        <v>7800000</v>
      </c>
      <c r="N1767" t="s">
        <v>149</v>
      </c>
      <c r="O1767">
        <v>29</v>
      </c>
      <c r="P1767">
        <v>2</v>
      </c>
      <c r="Q1767">
        <v>2</v>
      </c>
      <c r="R1767">
        <v>2</v>
      </c>
      <c r="S1767">
        <v>0</v>
      </c>
      <c r="T1767">
        <v>3</v>
      </c>
      <c r="U1767">
        <v>2</v>
      </c>
      <c r="V1767">
        <v>13</v>
      </c>
      <c r="W1767">
        <v>10</v>
      </c>
      <c r="X1767">
        <v>10</v>
      </c>
      <c r="Y1767">
        <v>13</v>
      </c>
      <c r="Z1767">
        <v>3</v>
      </c>
      <c r="AA1767">
        <v>4</v>
      </c>
      <c r="AB1767">
        <v>0</v>
      </c>
      <c r="AC1767">
        <v>0</v>
      </c>
      <c r="AD1767">
        <v>6</v>
      </c>
      <c r="AE1767">
        <v>5</v>
      </c>
      <c r="AF1767">
        <v>11</v>
      </c>
      <c r="AG1767">
        <v>5</v>
      </c>
      <c r="AH1767">
        <v>0</v>
      </c>
      <c r="AI1767">
        <v>0</v>
      </c>
    </row>
    <row r="1768" spans="1:35" hidden="1" x14ac:dyDescent="0.25">
      <c r="A1768">
        <v>2019</v>
      </c>
      <c r="B1768" s="1">
        <v>43597</v>
      </c>
      <c r="C1768">
        <v>4</v>
      </c>
      <c r="D1768">
        <v>23416</v>
      </c>
      <c r="E1768">
        <v>56000</v>
      </c>
      <c r="F1768" t="s">
        <v>37</v>
      </c>
      <c r="G1768" t="s">
        <v>50</v>
      </c>
      <c r="H1768" t="s">
        <v>328</v>
      </c>
      <c r="I1768" t="s">
        <v>240</v>
      </c>
      <c r="J1768">
        <v>15</v>
      </c>
      <c r="K1768">
        <v>6</v>
      </c>
      <c r="L1768">
        <v>25950000</v>
      </c>
      <c r="M1768">
        <v>25000000</v>
      </c>
      <c r="N1768" t="s">
        <v>74</v>
      </c>
      <c r="O1768" t="s">
        <v>144</v>
      </c>
      <c r="P1768">
        <v>3</v>
      </c>
      <c r="Q1768">
        <v>1</v>
      </c>
      <c r="R1768">
        <v>1</v>
      </c>
      <c r="S1768">
        <v>1</v>
      </c>
      <c r="T1768">
        <v>4</v>
      </c>
      <c r="U1768">
        <v>3</v>
      </c>
      <c r="V1768">
        <v>10</v>
      </c>
      <c r="W1768">
        <v>12</v>
      </c>
      <c r="X1768">
        <v>12</v>
      </c>
      <c r="Y1768">
        <v>10</v>
      </c>
      <c r="Z1768">
        <v>7</v>
      </c>
      <c r="AA1768">
        <v>2</v>
      </c>
      <c r="AB1768">
        <v>0</v>
      </c>
      <c r="AC1768">
        <v>0</v>
      </c>
      <c r="AD1768">
        <v>5</v>
      </c>
      <c r="AE1768">
        <v>8</v>
      </c>
      <c r="AF1768">
        <v>6</v>
      </c>
      <c r="AG1768">
        <v>4</v>
      </c>
      <c r="AH1768">
        <v>2</v>
      </c>
      <c r="AI1768">
        <v>1</v>
      </c>
    </row>
    <row r="1769" spans="1:35" hidden="1" x14ac:dyDescent="0.25">
      <c r="A1769">
        <v>2019</v>
      </c>
      <c r="B1769" s="1">
        <v>43629</v>
      </c>
      <c r="C1769">
        <v>9</v>
      </c>
      <c r="D1769">
        <v>17153</v>
      </c>
      <c r="E1769">
        <v>56000</v>
      </c>
      <c r="F1769" t="s">
        <v>37</v>
      </c>
      <c r="G1769" t="s">
        <v>38</v>
      </c>
      <c r="H1769" t="s">
        <v>328</v>
      </c>
      <c r="I1769" t="s">
        <v>46</v>
      </c>
      <c r="J1769">
        <v>8</v>
      </c>
      <c r="K1769">
        <v>7</v>
      </c>
      <c r="L1769">
        <v>22500000</v>
      </c>
      <c r="M1769">
        <v>17550000</v>
      </c>
      <c r="N1769">
        <v>29</v>
      </c>
      <c r="O1769" t="s">
        <v>73</v>
      </c>
      <c r="P1769">
        <v>3</v>
      </c>
      <c r="Q1769">
        <v>1</v>
      </c>
      <c r="R1769">
        <v>1</v>
      </c>
      <c r="S1769">
        <v>0</v>
      </c>
      <c r="T1769">
        <v>3</v>
      </c>
      <c r="U1769">
        <v>3</v>
      </c>
      <c r="V1769">
        <v>11</v>
      </c>
      <c r="W1769">
        <v>8</v>
      </c>
      <c r="X1769">
        <v>8</v>
      </c>
      <c r="Y1769">
        <v>11</v>
      </c>
      <c r="Z1769">
        <v>1</v>
      </c>
      <c r="AA1769">
        <v>4</v>
      </c>
      <c r="AB1769">
        <v>0</v>
      </c>
      <c r="AC1769">
        <v>0</v>
      </c>
      <c r="AD1769">
        <v>8</v>
      </c>
      <c r="AE1769">
        <v>2</v>
      </c>
      <c r="AF1769">
        <v>4</v>
      </c>
      <c r="AG1769">
        <v>9</v>
      </c>
      <c r="AH1769">
        <v>2</v>
      </c>
      <c r="AI1769">
        <v>1</v>
      </c>
    </row>
    <row r="1770" spans="1:35" hidden="1" x14ac:dyDescent="0.25">
      <c r="A1770">
        <v>2019</v>
      </c>
      <c r="B1770" s="1">
        <v>43667</v>
      </c>
      <c r="C1770">
        <v>11</v>
      </c>
      <c r="D1770">
        <v>38201</v>
      </c>
      <c r="E1770">
        <v>56000</v>
      </c>
      <c r="F1770" t="s">
        <v>37</v>
      </c>
      <c r="G1770" t="s">
        <v>83</v>
      </c>
      <c r="H1770" t="s">
        <v>328</v>
      </c>
      <c r="I1770" t="s">
        <v>85</v>
      </c>
      <c r="J1770">
        <v>6</v>
      </c>
      <c r="K1770">
        <v>10</v>
      </c>
      <c r="L1770">
        <v>22800000</v>
      </c>
      <c r="M1770">
        <v>26350000</v>
      </c>
      <c r="N1770" t="s">
        <v>168</v>
      </c>
      <c r="O1770" t="s">
        <v>235</v>
      </c>
      <c r="P1770">
        <v>1</v>
      </c>
      <c r="Q1770">
        <v>1</v>
      </c>
      <c r="R1770">
        <v>1</v>
      </c>
      <c r="S1770">
        <v>0</v>
      </c>
      <c r="T1770">
        <v>1</v>
      </c>
      <c r="U1770">
        <v>2</v>
      </c>
      <c r="V1770">
        <v>10</v>
      </c>
      <c r="W1770">
        <v>14</v>
      </c>
      <c r="X1770">
        <v>14</v>
      </c>
      <c r="Y1770">
        <v>10</v>
      </c>
      <c r="Z1770">
        <v>1</v>
      </c>
      <c r="AA1770">
        <v>4</v>
      </c>
      <c r="AB1770">
        <v>0</v>
      </c>
      <c r="AC1770">
        <v>0</v>
      </c>
      <c r="AD1770">
        <v>4</v>
      </c>
      <c r="AE1770">
        <v>2</v>
      </c>
      <c r="AF1770">
        <v>2</v>
      </c>
      <c r="AG1770">
        <v>4</v>
      </c>
      <c r="AH1770">
        <v>0</v>
      </c>
      <c r="AI1770">
        <v>0</v>
      </c>
    </row>
    <row r="1771" spans="1:35" hidden="1" x14ac:dyDescent="0.25">
      <c r="A1771">
        <v>2019</v>
      </c>
      <c r="B1771" s="1">
        <v>43779</v>
      </c>
      <c r="C1771">
        <v>32</v>
      </c>
      <c r="D1771">
        <v>13251</v>
      </c>
      <c r="E1771">
        <v>56000</v>
      </c>
      <c r="F1771" t="s">
        <v>37</v>
      </c>
      <c r="G1771" t="s">
        <v>55</v>
      </c>
      <c r="H1771" t="s">
        <v>323</v>
      </c>
      <c r="I1771" t="s">
        <v>223</v>
      </c>
      <c r="J1771">
        <v>8</v>
      </c>
      <c r="K1771">
        <v>15</v>
      </c>
      <c r="L1771">
        <v>28650000</v>
      </c>
      <c r="M1771">
        <v>22550000</v>
      </c>
      <c r="N1771" t="s">
        <v>48</v>
      </c>
      <c r="O1771" t="s">
        <v>149</v>
      </c>
      <c r="P1771">
        <v>2</v>
      </c>
      <c r="Q1771">
        <v>1</v>
      </c>
      <c r="R1771">
        <v>2</v>
      </c>
      <c r="S1771">
        <v>0</v>
      </c>
      <c r="T1771">
        <v>4</v>
      </c>
      <c r="U1771">
        <v>3</v>
      </c>
      <c r="V1771">
        <v>16</v>
      </c>
      <c r="W1771">
        <v>9</v>
      </c>
      <c r="X1771">
        <v>9</v>
      </c>
      <c r="Y1771">
        <v>12</v>
      </c>
      <c r="Z1771">
        <v>4</v>
      </c>
      <c r="AA1771">
        <v>3</v>
      </c>
      <c r="AB1771">
        <v>1</v>
      </c>
      <c r="AC1771">
        <v>0</v>
      </c>
      <c r="AD1771">
        <v>15</v>
      </c>
      <c r="AE1771">
        <v>14</v>
      </c>
      <c r="AF1771">
        <v>3</v>
      </c>
      <c r="AG1771">
        <v>5</v>
      </c>
      <c r="AH1771">
        <v>1</v>
      </c>
      <c r="AI1771">
        <v>1</v>
      </c>
    </row>
    <row r="1772" spans="1:35" hidden="1" x14ac:dyDescent="0.25">
      <c r="A1772">
        <v>2019</v>
      </c>
      <c r="B1772" s="1">
        <v>43590</v>
      </c>
      <c r="C1772">
        <v>3</v>
      </c>
      <c r="D1772">
        <v>25779</v>
      </c>
      <c r="E1772">
        <v>40000</v>
      </c>
      <c r="F1772" t="s">
        <v>82</v>
      </c>
      <c r="G1772" t="s">
        <v>88</v>
      </c>
      <c r="H1772" t="s">
        <v>451</v>
      </c>
      <c r="I1772" t="s">
        <v>379</v>
      </c>
      <c r="J1772">
        <v>20</v>
      </c>
      <c r="K1772">
        <v>10</v>
      </c>
      <c r="L1772">
        <v>11150000</v>
      </c>
      <c r="M1772">
        <v>14500000</v>
      </c>
      <c r="N1772" t="s">
        <v>104</v>
      </c>
      <c r="O1772" t="s">
        <v>98</v>
      </c>
      <c r="P1772">
        <v>1</v>
      </c>
      <c r="Q1772">
        <v>1</v>
      </c>
      <c r="R1772">
        <v>1</v>
      </c>
      <c r="S1772">
        <v>1</v>
      </c>
      <c r="T1772">
        <v>8</v>
      </c>
      <c r="U1772">
        <v>2</v>
      </c>
      <c r="V1772">
        <v>22</v>
      </c>
      <c r="W1772">
        <v>8</v>
      </c>
      <c r="X1772">
        <v>8</v>
      </c>
      <c r="Y1772">
        <v>22</v>
      </c>
      <c r="Z1772">
        <v>1</v>
      </c>
      <c r="AA1772">
        <v>3</v>
      </c>
      <c r="AB1772">
        <v>0</v>
      </c>
      <c r="AC1772">
        <v>0</v>
      </c>
      <c r="AD1772">
        <v>4</v>
      </c>
      <c r="AE1772">
        <v>2</v>
      </c>
      <c r="AF1772">
        <v>5</v>
      </c>
      <c r="AG1772">
        <v>6</v>
      </c>
      <c r="AH1772">
        <v>0</v>
      </c>
      <c r="AI1772">
        <v>0</v>
      </c>
    </row>
    <row r="1773" spans="1:35" hidden="1" x14ac:dyDescent="0.25">
      <c r="A1773">
        <v>2019</v>
      </c>
      <c r="B1773" s="1">
        <v>43807</v>
      </c>
      <c r="C1773">
        <v>38</v>
      </c>
      <c r="D1773">
        <v>67395</v>
      </c>
      <c r="E1773">
        <v>72000</v>
      </c>
      <c r="F1773" t="s">
        <v>82</v>
      </c>
      <c r="G1773" t="s">
        <v>394</v>
      </c>
      <c r="H1773" t="s">
        <v>317</v>
      </c>
      <c r="I1773" t="s">
        <v>368</v>
      </c>
      <c r="J1773">
        <v>13</v>
      </c>
      <c r="K1773">
        <v>19</v>
      </c>
      <c r="L1773">
        <v>16350000</v>
      </c>
      <c r="M1773">
        <v>7050000</v>
      </c>
      <c r="N1773" t="s">
        <v>128</v>
      </c>
      <c r="O1773" t="s">
        <v>144</v>
      </c>
      <c r="P1773">
        <v>1</v>
      </c>
      <c r="Q1773">
        <v>1</v>
      </c>
      <c r="R1773">
        <v>0</v>
      </c>
      <c r="S1773">
        <v>0</v>
      </c>
      <c r="T1773">
        <v>7</v>
      </c>
      <c r="U1773">
        <v>2</v>
      </c>
      <c r="V1773">
        <v>18</v>
      </c>
      <c r="W1773">
        <v>16</v>
      </c>
      <c r="X1773">
        <v>15</v>
      </c>
      <c r="Y1773">
        <v>17</v>
      </c>
      <c r="Z1773">
        <v>1</v>
      </c>
      <c r="AA1773">
        <v>6</v>
      </c>
      <c r="AB1773">
        <v>1</v>
      </c>
      <c r="AC1773">
        <v>0</v>
      </c>
      <c r="AD1773">
        <v>24</v>
      </c>
      <c r="AE1773">
        <v>9</v>
      </c>
      <c r="AF1773">
        <v>11</v>
      </c>
      <c r="AG1773">
        <v>4</v>
      </c>
      <c r="AH1773">
        <v>0</v>
      </c>
      <c r="AI1773">
        <v>0</v>
      </c>
    </row>
    <row r="1774" spans="1:35" hidden="1" x14ac:dyDescent="0.25">
      <c r="A1774">
        <v>2019</v>
      </c>
      <c r="B1774" s="1">
        <v>43590</v>
      </c>
      <c r="C1774">
        <v>3</v>
      </c>
      <c r="D1774">
        <v>10313</v>
      </c>
      <c r="E1774">
        <v>20000</v>
      </c>
      <c r="F1774" t="s">
        <v>443</v>
      </c>
      <c r="G1774" t="s">
        <v>419</v>
      </c>
      <c r="H1774" t="s">
        <v>408</v>
      </c>
      <c r="I1774" t="s">
        <v>329</v>
      </c>
      <c r="J1774">
        <v>18</v>
      </c>
      <c r="K1774">
        <v>3</v>
      </c>
      <c r="L1774">
        <v>8100000</v>
      </c>
      <c r="M1774">
        <v>68000000</v>
      </c>
      <c r="N1774" t="s">
        <v>86</v>
      </c>
      <c r="O1774" t="s">
        <v>99</v>
      </c>
      <c r="P1774">
        <v>0</v>
      </c>
      <c r="Q1774">
        <v>0</v>
      </c>
      <c r="R1774">
        <v>0</v>
      </c>
      <c r="S1774">
        <v>0</v>
      </c>
      <c r="T1774">
        <v>2</v>
      </c>
      <c r="U1774">
        <v>12</v>
      </c>
      <c r="V1774">
        <v>10</v>
      </c>
      <c r="W1774">
        <v>12</v>
      </c>
      <c r="X1774">
        <v>13</v>
      </c>
      <c r="Y1774">
        <v>11</v>
      </c>
      <c r="Z1774">
        <v>10</v>
      </c>
      <c r="AA1774">
        <v>4</v>
      </c>
      <c r="AB1774">
        <v>1</v>
      </c>
      <c r="AC1774">
        <v>1</v>
      </c>
      <c r="AD1774">
        <v>4</v>
      </c>
      <c r="AE1774">
        <v>10</v>
      </c>
      <c r="AF1774">
        <v>5</v>
      </c>
      <c r="AG1774">
        <v>6</v>
      </c>
      <c r="AH1774">
        <v>0</v>
      </c>
      <c r="AI1774">
        <v>0</v>
      </c>
    </row>
    <row r="1775" spans="1:35" hidden="1" x14ac:dyDescent="0.25">
      <c r="A1775">
        <v>2019</v>
      </c>
      <c r="B1775" s="1">
        <v>43629</v>
      </c>
      <c r="C1775">
        <v>9</v>
      </c>
      <c r="D1775">
        <v>37673</v>
      </c>
      <c r="E1775">
        <v>70000</v>
      </c>
      <c r="F1775" t="s">
        <v>443</v>
      </c>
      <c r="G1775" t="s">
        <v>77</v>
      </c>
      <c r="H1775" t="s">
        <v>408</v>
      </c>
      <c r="I1775" t="s">
        <v>284</v>
      </c>
      <c r="J1775">
        <v>19</v>
      </c>
      <c r="K1775">
        <v>6</v>
      </c>
      <c r="L1775">
        <v>9100000</v>
      </c>
      <c r="M1775">
        <v>52500000</v>
      </c>
      <c r="N1775" t="s">
        <v>92</v>
      </c>
      <c r="O1775">
        <v>26</v>
      </c>
      <c r="P1775">
        <v>0</v>
      </c>
      <c r="Q1775">
        <v>2</v>
      </c>
      <c r="R1775">
        <v>0</v>
      </c>
      <c r="S1775">
        <v>0</v>
      </c>
      <c r="T1775">
        <v>3</v>
      </c>
      <c r="U1775">
        <v>12</v>
      </c>
      <c r="V1775">
        <v>9</v>
      </c>
      <c r="W1775">
        <v>8</v>
      </c>
      <c r="X1775">
        <v>9</v>
      </c>
      <c r="Y1775">
        <v>10</v>
      </c>
      <c r="Z1775">
        <v>12</v>
      </c>
      <c r="AA1775">
        <v>4</v>
      </c>
      <c r="AB1775">
        <v>1</v>
      </c>
      <c r="AC1775">
        <v>1</v>
      </c>
      <c r="AD1775">
        <v>1</v>
      </c>
      <c r="AE1775">
        <v>6</v>
      </c>
      <c r="AF1775">
        <v>0</v>
      </c>
      <c r="AG1775">
        <v>4</v>
      </c>
      <c r="AH1775">
        <v>-2</v>
      </c>
      <c r="AI1775">
        <v>0</v>
      </c>
    </row>
    <row r="1776" spans="1:35" hidden="1" x14ac:dyDescent="0.25">
      <c r="A1776">
        <v>2019</v>
      </c>
      <c r="B1776" s="1">
        <v>43807</v>
      </c>
      <c r="C1776">
        <v>38</v>
      </c>
      <c r="D1776">
        <v>9498</v>
      </c>
      <c r="E1776">
        <v>20000</v>
      </c>
      <c r="F1776" t="s">
        <v>443</v>
      </c>
      <c r="G1776" t="s">
        <v>62</v>
      </c>
      <c r="H1776" t="s">
        <v>452</v>
      </c>
      <c r="I1776" t="s">
        <v>57</v>
      </c>
      <c r="J1776">
        <v>18</v>
      </c>
      <c r="K1776">
        <v>6</v>
      </c>
      <c r="L1776">
        <v>6050000</v>
      </c>
      <c r="M1776">
        <v>17500000</v>
      </c>
      <c r="N1776" t="s">
        <v>114</v>
      </c>
      <c r="O1776">
        <v>21</v>
      </c>
      <c r="P1776">
        <v>1</v>
      </c>
      <c r="Q1776">
        <v>2</v>
      </c>
      <c r="R1776">
        <v>1</v>
      </c>
      <c r="S1776">
        <v>2</v>
      </c>
      <c r="T1776">
        <v>6</v>
      </c>
      <c r="U1776">
        <v>4</v>
      </c>
      <c r="V1776">
        <v>17</v>
      </c>
      <c r="W1776">
        <v>24</v>
      </c>
      <c r="X1776">
        <v>23</v>
      </c>
      <c r="Y1776">
        <v>17</v>
      </c>
      <c r="Z1776">
        <v>2</v>
      </c>
      <c r="AA1776">
        <v>5</v>
      </c>
      <c r="AB1776">
        <v>1</v>
      </c>
      <c r="AC1776">
        <v>1</v>
      </c>
      <c r="AD1776">
        <v>24</v>
      </c>
      <c r="AE1776">
        <v>13</v>
      </c>
      <c r="AF1776">
        <v>13</v>
      </c>
      <c r="AG1776">
        <v>6</v>
      </c>
      <c r="AH1776">
        <v>-1</v>
      </c>
      <c r="AI1776">
        <v>0</v>
      </c>
    </row>
    <row r="1777" spans="1:35" hidden="1" x14ac:dyDescent="0.25">
      <c r="A1777">
        <v>2019</v>
      </c>
      <c r="B1777" s="1">
        <v>43583</v>
      </c>
      <c r="C1777">
        <v>1</v>
      </c>
      <c r="D1777">
        <v>34291</v>
      </c>
      <c r="E1777">
        <v>60540</v>
      </c>
      <c r="F1777" t="s">
        <v>83</v>
      </c>
      <c r="G1777" t="s">
        <v>419</v>
      </c>
      <c r="H1777" t="s">
        <v>85</v>
      </c>
      <c r="I1777" t="s">
        <v>329</v>
      </c>
      <c r="J1777">
        <v>12</v>
      </c>
      <c r="K1777">
        <v>9</v>
      </c>
      <c r="L1777">
        <v>37350000</v>
      </c>
      <c r="M1777">
        <v>25400000</v>
      </c>
      <c r="N1777" t="s">
        <v>120</v>
      </c>
      <c r="O1777">
        <v>26</v>
      </c>
      <c r="P1777">
        <v>1</v>
      </c>
      <c r="Q1777">
        <v>2</v>
      </c>
      <c r="R1777">
        <v>0</v>
      </c>
      <c r="S1777">
        <v>2</v>
      </c>
      <c r="T1777">
        <v>12</v>
      </c>
      <c r="U1777">
        <v>2</v>
      </c>
      <c r="V1777">
        <v>13</v>
      </c>
      <c r="W1777">
        <v>18</v>
      </c>
      <c r="X1777">
        <v>19</v>
      </c>
      <c r="Y1777">
        <v>15</v>
      </c>
      <c r="Z1777">
        <v>3</v>
      </c>
      <c r="AA1777">
        <v>9</v>
      </c>
      <c r="AB1777">
        <v>2</v>
      </c>
      <c r="AC1777">
        <v>1</v>
      </c>
      <c r="AD1777">
        <v>11</v>
      </c>
      <c r="AE1777">
        <v>5</v>
      </c>
      <c r="AF1777">
        <v>8</v>
      </c>
      <c r="AG1777">
        <v>3</v>
      </c>
      <c r="AH1777">
        <v>-1</v>
      </c>
      <c r="AI1777">
        <v>0</v>
      </c>
    </row>
    <row r="1778" spans="1:35" hidden="1" x14ac:dyDescent="0.25">
      <c r="A1778">
        <v>2019</v>
      </c>
      <c r="B1778" s="1">
        <v>43659</v>
      </c>
      <c r="C1778">
        <v>10</v>
      </c>
      <c r="D1778">
        <v>11281</v>
      </c>
      <c r="E1778">
        <v>60540</v>
      </c>
      <c r="F1778" t="s">
        <v>83</v>
      </c>
      <c r="G1778" t="s">
        <v>82</v>
      </c>
      <c r="H1778" t="s">
        <v>85</v>
      </c>
      <c r="I1778" t="s">
        <v>317</v>
      </c>
      <c r="J1778">
        <v>11</v>
      </c>
      <c r="K1778">
        <v>15</v>
      </c>
      <c r="L1778">
        <v>28550000</v>
      </c>
      <c r="M1778">
        <v>13000000</v>
      </c>
      <c r="N1778" t="s">
        <v>151</v>
      </c>
      <c r="O1778" t="s">
        <v>168</v>
      </c>
      <c r="P1778">
        <v>2</v>
      </c>
      <c r="Q1778">
        <v>1</v>
      </c>
      <c r="R1778">
        <v>0</v>
      </c>
      <c r="S1778">
        <v>1</v>
      </c>
      <c r="T1778">
        <v>4</v>
      </c>
      <c r="U1778">
        <v>6</v>
      </c>
      <c r="V1778">
        <v>15</v>
      </c>
      <c r="W1778">
        <v>12</v>
      </c>
      <c r="X1778">
        <v>13</v>
      </c>
      <c r="Y1778">
        <v>16</v>
      </c>
      <c r="Z1778">
        <v>3</v>
      </c>
      <c r="AA1778">
        <v>5</v>
      </c>
      <c r="AB1778">
        <v>1</v>
      </c>
      <c r="AC1778">
        <v>1</v>
      </c>
      <c r="AD1778">
        <v>7</v>
      </c>
      <c r="AE1778">
        <v>4</v>
      </c>
      <c r="AF1778">
        <v>3</v>
      </c>
      <c r="AG1778">
        <v>3</v>
      </c>
      <c r="AH1778">
        <v>1</v>
      </c>
      <c r="AI1778">
        <v>1</v>
      </c>
    </row>
    <row r="1779" spans="1:35" hidden="1" x14ac:dyDescent="0.25">
      <c r="A1779">
        <v>2019</v>
      </c>
      <c r="B1779" s="1">
        <v>43613</v>
      </c>
      <c r="C1779">
        <v>6</v>
      </c>
      <c r="D1779">
        <v>5543</v>
      </c>
      <c r="E1779">
        <v>17800</v>
      </c>
      <c r="F1779" t="s">
        <v>365</v>
      </c>
      <c r="G1779" t="s">
        <v>361</v>
      </c>
      <c r="H1779" t="s">
        <v>447</v>
      </c>
      <c r="I1779" t="s">
        <v>420</v>
      </c>
      <c r="J1779">
        <v>17</v>
      </c>
      <c r="K1779">
        <v>12</v>
      </c>
      <c r="L1779">
        <v>5050000</v>
      </c>
      <c r="M1779">
        <v>9500000</v>
      </c>
      <c r="N1779" t="s">
        <v>151</v>
      </c>
      <c r="O1779" t="s">
        <v>105</v>
      </c>
      <c r="P1779">
        <v>1</v>
      </c>
      <c r="Q1779">
        <v>2</v>
      </c>
      <c r="R1779">
        <v>1</v>
      </c>
      <c r="S1779">
        <v>0</v>
      </c>
      <c r="T1779">
        <v>3</v>
      </c>
      <c r="U1779">
        <v>0</v>
      </c>
      <c r="V1779">
        <v>22</v>
      </c>
      <c r="W1779">
        <v>15</v>
      </c>
      <c r="X1779">
        <v>16</v>
      </c>
      <c r="Y1779">
        <v>24</v>
      </c>
      <c r="Z1779">
        <v>2</v>
      </c>
      <c r="AA1779">
        <v>4</v>
      </c>
      <c r="AB1779">
        <v>2</v>
      </c>
      <c r="AC1779">
        <v>1</v>
      </c>
      <c r="AD1779">
        <v>5</v>
      </c>
      <c r="AE1779">
        <v>4</v>
      </c>
      <c r="AF1779">
        <v>6</v>
      </c>
      <c r="AG1779">
        <v>4</v>
      </c>
      <c r="AH1779">
        <v>-1</v>
      </c>
      <c r="AI1779">
        <v>0</v>
      </c>
    </row>
    <row r="1780" spans="1:35" hidden="1" x14ac:dyDescent="0.25">
      <c r="A1780">
        <v>2019</v>
      </c>
      <c r="B1780" s="1">
        <v>43625</v>
      </c>
      <c r="C1780">
        <v>8</v>
      </c>
      <c r="D1780">
        <v>8084</v>
      </c>
      <c r="E1780">
        <v>17800</v>
      </c>
      <c r="F1780" t="s">
        <v>365</v>
      </c>
      <c r="G1780" t="s">
        <v>62</v>
      </c>
      <c r="H1780" t="s">
        <v>447</v>
      </c>
      <c r="I1780" t="s">
        <v>71</v>
      </c>
      <c r="J1780">
        <v>19</v>
      </c>
      <c r="K1780">
        <v>9</v>
      </c>
      <c r="L1780">
        <v>5500000</v>
      </c>
      <c r="M1780">
        <v>35500000</v>
      </c>
      <c r="N1780">
        <v>26</v>
      </c>
      <c r="O1780" t="s">
        <v>114</v>
      </c>
      <c r="P1780">
        <v>0</v>
      </c>
      <c r="Q1780">
        <v>0</v>
      </c>
      <c r="R1780">
        <v>0</v>
      </c>
      <c r="S1780">
        <v>0</v>
      </c>
      <c r="T1780">
        <v>4</v>
      </c>
      <c r="U1780">
        <v>10</v>
      </c>
      <c r="V1780">
        <v>17</v>
      </c>
      <c r="W1780">
        <v>18</v>
      </c>
      <c r="X1780">
        <v>19</v>
      </c>
      <c r="Y1780">
        <v>17</v>
      </c>
      <c r="Z1780">
        <v>2</v>
      </c>
      <c r="AA1780">
        <v>2</v>
      </c>
      <c r="AB1780">
        <v>0</v>
      </c>
      <c r="AC1780">
        <v>1</v>
      </c>
      <c r="AD1780">
        <v>2</v>
      </c>
      <c r="AE1780">
        <v>2</v>
      </c>
      <c r="AF1780">
        <v>3</v>
      </c>
      <c r="AG1780">
        <v>7</v>
      </c>
      <c r="AH1780">
        <v>0</v>
      </c>
      <c r="AI1780">
        <v>0</v>
      </c>
    </row>
    <row r="1781" spans="1:35" hidden="1" x14ac:dyDescent="0.25">
      <c r="A1781">
        <v>2019</v>
      </c>
      <c r="B1781" s="1">
        <v>43749</v>
      </c>
      <c r="C1781">
        <v>24</v>
      </c>
      <c r="D1781">
        <v>7401</v>
      </c>
      <c r="E1781">
        <v>17800</v>
      </c>
      <c r="F1781" t="s">
        <v>365</v>
      </c>
      <c r="G1781" t="s">
        <v>82</v>
      </c>
      <c r="H1781" t="s">
        <v>378</v>
      </c>
      <c r="I1781" t="s">
        <v>317</v>
      </c>
      <c r="J1781">
        <v>19</v>
      </c>
      <c r="K1781">
        <v>13</v>
      </c>
      <c r="L1781">
        <v>4150000</v>
      </c>
      <c r="M1781">
        <v>13550000</v>
      </c>
      <c r="N1781" t="s">
        <v>137</v>
      </c>
      <c r="O1781" t="s">
        <v>221</v>
      </c>
      <c r="P1781">
        <v>0</v>
      </c>
      <c r="Q1781">
        <v>0</v>
      </c>
      <c r="R1781">
        <v>0</v>
      </c>
      <c r="S1781">
        <v>0</v>
      </c>
      <c r="T1781">
        <v>7</v>
      </c>
      <c r="U1781">
        <v>6</v>
      </c>
      <c r="V1781">
        <v>18</v>
      </c>
      <c r="W1781">
        <v>11</v>
      </c>
      <c r="X1781">
        <v>9</v>
      </c>
      <c r="Y1781">
        <v>16</v>
      </c>
      <c r="Z1781">
        <v>4</v>
      </c>
      <c r="AA1781">
        <v>2</v>
      </c>
      <c r="AB1781">
        <v>0</v>
      </c>
      <c r="AC1781">
        <v>1</v>
      </c>
      <c r="AD1781">
        <v>16</v>
      </c>
      <c r="AE1781">
        <v>12</v>
      </c>
      <c r="AF1781">
        <v>10</v>
      </c>
      <c r="AG1781">
        <v>5</v>
      </c>
      <c r="AH1781">
        <v>0</v>
      </c>
      <c r="AI1781">
        <v>0</v>
      </c>
    </row>
    <row r="1782" spans="1:35" hidden="1" x14ac:dyDescent="0.25">
      <c r="A1782">
        <v>2019</v>
      </c>
      <c r="B1782" s="1">
        <v>43590</v>
      </c>
      <c r="C1782">
        <v>3</v>
      </c>
      <c r="D1782">
        <v>13749</v>
      </c>
      <c r="E1782">
        <v>46931</v>
      </c>
      <c r="F1782" t="s">
        <v>51</v>
      </c>
      <c r="G1782" t="s">
        <v>63</v>
      </c>
      <c r="H1782" t="s">
        <v>367</v>
      </c>
      <c r="I1782" t="s">
        <v>40</v>
      </c>
      <c r="J1782">
        <v>12</v>
      </c>
      <c r="K1782">
        <v>15</v>
      </c>
      <c r="L1782">
        <v>18250000</v>
      </c>
      <c r="M1782">
        <v>7650000</v>
      </c>
      <c r="N1782" t="s">
        <v>86</v>
      </c>
      <c r="O1782" t="s">
        <v>100</v>
      </c>
      <c r="P1782">
        <v>1</v>
      </c>
      <c r="Q1782">
        <v>0</v>
      </c>
      <c r="R1782">
        <v>0</v>
      </c>
      <c r="S1782">
        <v>0</v>
      </c>
      <c r="T1782">
        <v>7</v>
      </c>
      <c r="U1782">
        <v>4</v>
      </c>
      <c r="V1782">
        <v>10</v>
      </c>
      <c r="W1782">
        <v>15</v>
      </c>
      <c r="X1782">
        <v>16</v>
      </c>
      <c r="Y1782">
        <v>10</v>
      </c>
      <c r="Z1782">
        <v>3</v>
      </c>
      <c r="AA1782">
        <v>2</v>
      </c>
      <c r="AB1782">
        <v>0</v>
      </c>
      <c r="AC1782">
        <v>1</v>
      </c>
      <c r="AD1782">
        <v>3</v>
      </c>
      <c r="AE1782">
        <v>3</v>
      </c>
      <c r="AF1782">
        <v>4</v>
      </c>
      <c r="AG1782">
        <v>8</v>
      </c>
      <c r="AH1782">
        <v>1</v>
      </c>
      <c r="AI1782">
        <v>1</v>
      </c>
    </row>
    <row r="1783" spans="1:35" hidden="1" x14ac:dyDescent="0.25">
      <c r="A1783">
        <v>2019</v>
      </c>
      <c r="B1783" s="1">
        <v>43618</v>
      </c>
      <c r="C1783">
        <v>7</v>
      </c>
      <c r="D1783">
        <v>19503</v>
      </c>
      <c r="E1783">
        <v>46931</v>
      </c>
      <c r="F1783" t="s">
        <v>51</v>
      </c>
      <c r="G1783" t="s">
        <v>82</v>
      </c>
      <c r="H1783" t="s">
        <v>367</v>
      </c>
      <c r="I1783" t="s">
        <v>317</v>
      </c>
      <c r="J1783">
        <v>11</v>
      </c>
      <c r="K1783">
        <v>20</v>
      </c>
      <c r="L1783">
        <v>19650000</v>
      </c>
      <c r="M1783">
        <v>11850000</v>
      </c>
      <c r="N1783" t="s">
        <v>128</v>
      </c>
      <c r="O1783" t="s">
        <v>99</v>
      </c>
      <c r="P1783">
        <v>1</v>
      </c>
      <c r="Q1783">
        <v>0</v>
      </c>
      <c r="R1783">
        <v>0</v>
      </c>
      <c r="S1783">
        <v>0</v>
      </c>
      <c r="T1783">
        <v>4</v>
      </c>
      <c r="U1783">
        <v>9</v>
      </c>
      <c r="V1783">
        <v>15</v>
      </c>
      <c r="W1783">
        <v>15</v>
      </c>
      <c r="X1783">
        <v>16</v>
      </c>
      <c r="Y1783">
        <v>16</v>
      </c>
      <c r="Z1783">
        <v>4</v>
      </c>
      <c r="AA1783">
        <v>2</v>
      </c>
      <c r="AB1783">
        <v>1</v>
      </c>
      <c r="AC1783">
        <v>1</v>
      </c>
      <c r="AD1783">
        <v>1</v>
      </c>
      <c r="AE1783">
        <v>2</v>
      </c>
      <c r="AF1783">
        <v>4</v>
      </c>
      <c r="AG1783">
        <v>4</v>
      </c>
      <c r="AH1783">
        <v>1</v>
      </c>
      <c r="AI1783">
        <v>1</v>
      </c>
    </row>
    <row r="1784" spans="1:35" hidden="1" x14ac:dyDescent="0.25">
      <c r="A1784">
        <v>2019</v>
      </c>
      <c r="B1784" s="1">
        <v>43667</v>
      </c>
      <c r="C1784">
        <v>11</v>
      </c>
      <c r="D1784">
        <v>16248</v>
      </c>
      <c r="E1784">
        <v>46931</v>
      </c>
      <c r="F1784" t="s">
        <v>51</v>
      </c>
      <c r="G1784" t="s">
        <v>419</v>
      </c>
      <c r="H1784" t="s">
        <v>367</v>
      </c>
      <c r="I1784" t="s">
        <v>329</v>
      </c>
      <c r="J1784">
        <v>7</v>
      </c>
      <c r="K1784">
        <v>2</v>
      </c>
      <c r="L1784">
        <v>21300000</v>
      </c>
      <c r="M1784">
        <v>26900000</v>
      </c>
      <c r="N1784" t="s">
        <v>134</v>
      </c>
      <c r="O1784" t="s">
        <v>163</v>
      </c>
      <c r="P1784">
        <v>0</v>
      </c>
      <c r="Q1784">
        <v>1</v>
      </c>
      <c r="R1784">
        <v>0</v>
      </c>
      <c r="S1784">
        <v>0</v>
      </c>
      <c r="T1784">
        <v>9</v>
      </c>
      <c r="U1784">
        <v>2</v>
      </c>
      <c r="V1784">
        <v>12</v>
      </c>
      <c r="W1784">
        <v>13</v>
      </c>
      <c r="X1784">
        <v>14</v>
      </c>
      <c r="Y1784">
        <v>13</v>
      </c>
      <c r="Z1784">
        <v>5</v>
      </c>
      <c r="AA1784">
        <v>1</v>
      </c>
      <c r="AB1784">
        <v>1</v>
      </c>
      <c r="AC1784">
        <v>1</v>
      </c>
      <c r="AD1784">
        <v>1</v>
      </c>
      <c r="AE1784">
        <v>6</v>
      </c>
      <c r="AF1784">
        <v>5</v>
      </c>
      <c r="AG1784">
        <v>5</v>
      </c>
      <c r="AH1784">
        <v>-1</v>
      </c>
      <c r="AI1784">
        <v>0</v>
      </c>
    </row>
    <row r="1785" spans="1:35" hidden="1" x14ac:dyDescent="0.25">
      <c r="A1785">
        <v>2019</v>
      </c>
      <c r="B1785" s="1">
        <v>43780</v>
      </c>
      <c r="C1785">
        <v>32</v>
      </c>
      <c r="D1785">
        <v>19075</v>
      </c>
      <c r="E1785">
        <v>46931</v>
      </c>
      <c r="F1785" t="s">
        <v>51</v>
      </c>
      <c r="G1785" t="s">
        <v>365</v>
      </c>
      <c r="H1785" t="s">
        <v>378</v>
      </c>
      <c r="I1785" t="s">
        <v>448</v>
      </c>
      <c r="J1785">
        <v>17</v>
      </c>
      <c r="K1785">
        <v>20</v>
      </c>
      <c r="L1785">
        <v>12700000</v>
      </c>
      <c r="M1785">
        <v>5900000</v>
      </c>
      <c r="N1785" t="s">
        <v>104</v>
      </c>
      <c r="O1785" t="s">
        <v>163</v>
      </c>
      <c r="P1785">
        <v>2</v>
      </c>
      <c r="Q1785">
        <v>0</v>
      </c>
      <c r="R1785">
        <v>1</v>
      </c>
      <c r="S1785">
        <v>0</v>
      </c>
      <c r="T1785">
        <v>4</v>
      </c>
      <c r="U1785">
        <v>4</v>
      </c>
      <c r="V1785">
        <v>19</v>
      </c>
      <c r="W1785">
        <v>16</v>
      </c>
      <c r="X1785">
        <v>15</v>
      </c>
      <c r="Y1785">
        <v>18</v>
      </c>
      <c r="Z1785">
        <v>5</v>
      </c>
      <c r="AA1785">
        <v>3</v>
      </c>
      <c r="AB1785">
        <v>1</v>
      </c>
      <c r="AC1785">
        <v>1</v>
      </c>
      <c r="AD1785">
        <v>17</v>
      </c>
      <c r="AE1785">
        <v>17</v>
      </c>
      <c r="AF1785">
        <v>7</v>
      </c>
      <c r="AG1785">
        <v>9</v>
      </c>
      <c r="AH1785">
        <v>2</v>
      </c>
      <c r="AI1785">
        <v>1</v>
      </c>
    </row>
    <row r="1786" spans="1:35" hidden="1" x14ac:dyDescent="0.25">
      <c r="A1786">
        <v>2019</v>
      </c>
      <c r="B1786" s="1">
        <v>43590</v>
      </c>
      <c r="C1786">
        <v>3</v>
      </c>
      <c r="D1786">
        <v>19735</v>
      </c>
      <c r="E1786">
        <v>57483</v>
      </c>
      <c r="F1786" t="s">
        <v>50</v>
      </c>
      <c r="G1786" t="s">
        <v>416</v>
      </c>
      <c r="H1786" t="s">
        <v>240</v>
      </c>
      <c r="I1786" t="s">
        <v>444</v>
      </c>
      <c r="J1786">
        <v>14</v>
      </c>
      <c r="K1786">
        <v>11</v>
      </c>
      <c r="L1786">
        <v>26750000</v>
      </c>
      <c r="M1786">
        <v>8000000</v>
      </c>
      <c r="N1786">
        <v>31</v>
      </c>
      <c r="O1786" t="s">
        <v>239</v>
      </c>
      <c r="P1786">
        <v>2</v>
      </c>
      <c r="Q1786">
        <v>1</v>
      </c>
      <c r="R1786">
        <v>0</v>
      </c>
      <c r="S1786">
        <v>0</v>
      </c>
      <c r="T1786">
        <v>5</v>
      </c>
      <c r="U1786">
        <v>4</v>
      </c>
      <c r="V1786">
        <v>13</v>
      </c>
      <c r="W1786">
        <v>9</v>
      </c>
      <c r="X1786">
        <v>10</v>
      </c>
      <c r="Y1786">
        <v>14</v>
      </c>
      <c r="Z1786">
        <v>3</v>
      </c>
      <c r="AA1786">
        <v>6</v>
      </c>
      <c r="AB1786">
        <v>1</v>
      </c>
      <c r="AC1786">
        <v>1</v>
      </c>
      <c r="AD1786">
        <v>8</v>
      </c>
      <c r="AE1786">
        <v>5</v>
      </c>
      <c r="AF1786">
        <v>8</v>
      </c>
      <c r="AG1786">
        <v>5</v>
      </c>
      <c r="AH1786">
        <v>1</v>
      </c>
      <c r="AI1786">
        <v>1</v>
      </c>
    </row>
    <row r="1787" spans="1:35" hidden="1" x14ac:dyDescent="0.25">
      <c r="A1787">
        <v>2019</v>
      </c>
      <c r="B1787" s="1">
        <v>43625</v>
      </c>
      <c r="C1787">
        <v>8</v>
      </c>
      <c r="D1787">
        <v>21370</v>
      </c>
      <c r="E1787">
        <v>57483</v>
      </c>
      <c r="F1787" t="s">
        <v>50</v>
      </c>
      <c r="G1787" t="s">
        <v>88</v>
      </c>
      <c r="H1787" t="s">
        <v>240</v>
      </c>
      <c r="I1787" t="s">
        <v>379</v>
      </c>
      <c r="J1787">
        <v>15</v>
      </c>
      <c r="K1787">
        <v>3</v>
      </c>
      <c r="L1787">
        <v>26000000</v>
      </c>
      <c r="M1787">
        <v>18150000</v>
      </c>
      <c r="N1787" t="s">
        <v>142</v>
      </c>
      <c r="O1787" t="s">
        <v>92</v>
      </c>
      <c r="P1787">
        <v>0</v>
      </c>
      <c r="Q1787">
        <v>0</v>
      </c>
      <c r="R1787">
        <v>0</v>
      </c>
      <c r="S1787">
        <v>0</v>
      </c>
      <c r="T1787">
        <v>11</v>
      </c>
      <c r="U1787">
        <v>5</v>
      </c>
      <c r="V1787">
        <v>7</v>
      </c>
      <c r="W1787">
        <v>9</v>
      </c>
      <c r="X1787">
        <v>10</v>
      </c>
      <c r="Y1787">
        <v>8</v>
      </c>
      <c r="Z1787">
        <v>5</v>
      </c>
      <c r="AA1787">
        <v>7</v>
      </c>
      <c r="AB1787">
        <v>1</v>
      </c>
      <c r="AC1787">
        <v>1</v>
      </c>
      <c r="AD1787">
        <v>5</v>
      </c>
      <c r="AE1787">
        <v>1</v>
      </c>
      <c r="AF1787">
        <v>6</v>
      </c>
      <c r="AG1787">
        <v>1</v>
      </c>
      <c r="AH1787">
        <v>0</v>
      </c>
      <c r="AI1787">
        <v>0</v>
      </c>
    </row>
    <row r="1788" spans="1:35" hidden="1" x14ac:dyDescent="0.25">
      <c r="A1788">
        <v>2019</v>
      </c>
      <c r="B1788" s="1">
        <v>43744</v>
      </c>
      <c r="C1788">
        <v>23</v>
      </c>
      <c r="D1788">
        <v>22561</v>
      </c>
      <c r="E1788">
        <v>57483</v>
      </c>
      <c r="F1788" t="s">
        <v>50</v>
      </c>
      <c r="G1788" t="s">
        <v>37</v>
      </c>
      <c r="H1788" t="s">
        <v>376</v>
      </c>
      <c r="I1788" t="s">
        <v>328</v>
      </c>
      <c r="J1788">
        <v>17</v>
      </c>
      <c r="K1788">
        <v>5</v>
      </c>
      <c r="L1788">
        <v>16350000</v>
      </c>
      <c r="M1788">
        <v>27500000</v>
      </c>
      <c r="N1788" t="s">
        <v>129</v>
      </c>
      <c r="O1788" t="s">
        <v>73</v>
      </c>
      <c r="P1788">
        <v>1</v>
      </c>
      <c r="Q1788">
        <v>1</v>
      </c>
      <c r="R1788">
        <v>0</v>
      </c>
      <c r="S1788">
        <v>1</v>
      </c>
      <c r="T1788">
        <v>3</v>
      </c>
      <c r="U1788">
        <v>3</v>
      </c>
      <c r="V1788">
        <v>18</v>
      </c>
      <c r="W1788">
        <v>14</v>
      </c>
      <c r="X1788">
        <v>13</v>
      </c>
      <c r="Y1788">
        <v>18</v>
      </c>
      <c r="Z1788">
        <v>1</v>
      </c>
      <c r="AA1788">
        <v>4</v>
      </c>
      <c r="AB1788">
        <v>0</v>
      </c>
      <c r="AC1788">
        <v>1</v>
      </c>
      <c r="AD1788">
        <v>15</v>
      </c>
      <c r="AE1788">
        <v>12</v>
      </c>
      <c r="AF1788">
        <v>7</v>
      </c>
      <c r="AG1788">
        <v>8</v>
      </c>
      <c r="AH1788">
        <v>0</v>
      </c>
      <c r="AI1788">
        <v>0</v>
      </c>
    </row>
    <row r="1789" spans="1:35" hidden="1" x14ac:dyDescent="0.25">
      <c r="A1789">
        <v>2019</v>
      </c>
      <c r="B1789" s="1">
        <v>43591</v>
      </c>
      <c r="C1789">
        <v>3</v>
      </c>
      <c r="D1789">
        <v>18673</v>
      </c>
      <c r="E1789">
        <v>55000</v>
      </c>
      <c r="F1789" t="s">
        <v>38</v>
      </c>
      <c r="G1789" t="s">
        <v>365</v>
      </c>
      <c r="H1789" t="s">
        <v>46</v>
      </c>
      <c r="I1789" t="s">
        <v>447</v>
      </c>
      <c r="J1789">
        <v>9</v>
      </c>
      <c r="K1789">
        <v>17</v>
      </c>
      <c r="L1789">
        <v>15200000</v>
      </c>
      <c r="M1789">
        <v>4600000</v>
      </c>
      <c r="N1789">
        <v>27</v>
      </c>
      <c r="O1789" t="s">
        <v>86</v>
      </c>
      <c r="P1789">
        <v>1</v>
      </c>
      <c r="Q1789">
        <v>0</v>
      </c>
      <c r="R1789">
        <v>1</v>
      </c>
      <c r="S1789">
        <v>0</v>
      </c>
      <c r="T1789">
        <v>9</v>
      </c>
      <c r="U1789">
        <v>1</v>
      </c>
      <c r="V1789">
        <v>26</v>
      </c>
      <c r="W1789">
        <v>14</v>
      </c>
      <c r="X1789">
        <v>15</v>
      </c>
      <c r="Y1789">
        <v>26</v>
      </c>
      <c r="Z1789">
        <v>0</v>
      </c>
      <c r="AA1789">
        <v>8</v>
      </c>
      <c r="AB1789">
        <v>0</v>
      </c>
      <c r="AC1789">
        <v>1</v>
      </c>
      <c r="AD1789">
        <v>9</v>
      </c>
      <c r="AE1789">
        <v>1</v>
      </c>
      <c r="AF1789">
        <v>6</v>
      </c>
      <c r="AG1789">
        <v>7</v>
      </c>
      <c r="AH1789">
        <v>1</v>
      </c>
      <c r="AI1789">
        <v>1</v>
      </c>
    </row>
    <row r="1790" spans="1:35" hidden="1" x14ac:dyDescent="0.25">
      <c r="A1790">
        <v>2019</v>
      </c>
      <c r="B1790" s="1">
        <v>43660</v>
      </c>
      <c r="C1790">
        <v>10</v>
      </c>
      <c r="D1790">
        <v>18853</v>
      </c>
      <c r="E1790">
        <v>31000</v>
      </c>
      <c r="F1790" t="s">
        <v>38</v>
      </c>
      <c r="G1790" t="s">
        <v>419</v>
      </c>
      <c r="H1790" t="s">
        <v>46</v>
      </c>
      <c r="I1790" t="s">
        <v>329</v>
      </c>
      <c r="J1790">
        <v>9</v>
      </c>
      <c r="K1790">
        <v>2</v>
      </c>
      <c r="L1790">
        <v>16850000</v>
      </c>
      <c r="M1790">
        <v>27900000</v>
      </c>
      <c r="N1790" t="s">
        <v>122</v>
      </c>
      <c r="O1790" t="s">
        <v>41</v>
      </c>
      <c r="P1790">
        <v>0</v>
      </c>
      <c r="Q1790">
        <v>1</v>
      </c>
      <c r="R1790">
        <v>0</v>
      </c>
      <c r="S1790">
        <v>0</v>
      </c>
      <c r="T1790">
        <v>5</v>
      </c>
      <c r="U1790">
        <v>7</v>
      </c>
      <c r="V1790">
        <v>13</v>
      </c>
      <c r="W1790">
        <v>10</v>
      </c>
      <c r="X1790">
        <v>11</v>
      </c>
      <c r="Y1790">
        <v>14</v>
      </c>
      <c r="Z1790">
        <v>4</v>
      </c>
      <c r="AA1790">
        <v>2</v>
      </c>
      <c r="AB1790">
        <v>1</v>
      </c>
      <c r="AC1790">
        <v>1</v>
      </c>
      <c r="AD1790">
        <v>2</v>
      </c>
      <c r="AE1790">
        <v>5</v>
      </c>
      <c r="AF1790">
        <v>4</v>
      </c>
      <c r="AG1790">
        <v>8</v>
      </c>
      <c r="AH1790">
        <v>-1</v>
      </c>
      <c r="AI1790">
        <v>0</v>
      </c>
    </row>
    <row r="1791" spans="1:35" hidden="1" x14ac:dyDescent="0.25">
      <c r="A1791">
        <v>2019</v>
      </c>
      <c r="B1791" s="1">
        <v>43744</v>
      </c>
      <c r="C1791">
        <v>23</v>
      </c>
      <c r="D1791">
        <v>38571</v>
      </c>
      <c r="E1791">
        <v>55000</v>
      </c>
      <c r="F1791" t="s">
        <v>38</v>
      </c>
      <c r="G1791" t="s">
        <v>69</v>
      </c>
      <c r="H1791" t="s">
        <v>46</v>
      </c>
      <c r="I1791" t="s">
        <v>333</v>
      </c>
      <c r="J1791">
        <v>6</v>
      </c>
      <c r="K1791">
        <v>9</v>
      </c>
      <c r="L1791">
        <v>13200000</v>
      </c>
      <c r="M1791">
        <v>20400000</v>
      </c>
      <c r="N1791" t="s">
        <v>66</v>
      </c>
      <c r="O1791" t="s">
        <v>66</v>
      </c>
      <c r="P1791">
        <v>1</v>
      </c>
      <c r="Q1791">
        <v>2</v>
      </c>
      <c r="R1791">
        <v>0</v>
      </c>
      <c r="S1791">
        <v>0</v>
      </c>
      <c r="T1791">
        <v>4</v>
      </c>
      <c r="U1791">
        <v>4</v>
      </c>
      <c r="V1791">
        <v>9</v>
      </c>
      <c r="W1791">
        <v>14</v>
      </c>
      <c r="X1791">
        <v>13</v>
      </c>
      <c r="Y1791">
        <v>9</v>
      </c>
      <c r="Z1791">
        <v>3</v>
      </c>
      <c r="AA1791">
        <v>3</v>
      </c>
      <c r="AB1791">
        <v>1</v>
      </c>
      <c r="AC1791">
        <v>1</v>
      </c>
      <c r="AD1791">
        <v>13</v>
      </c>
      <c r="AE1791">
        <v>13</v>
      </c>
      <c r="AF1791">
        <v>8</v>
      </c>
      <c r="AG1791">
        <v>6</v>
      </c>
      <c r="AH1791">
        <v>-1</v>
      </c>
      <c r="AI1791">
        <v>0</v>
      </c>
    </row>
    <row r="1792" spans="1:35" hidden="1" x14ac:dyDescent="0.25">
      <c r="A1792">
        <v>2019</v>
      </c>
      <c r="B1792" s="1">
        <v>43583</v>
      </c>
      <c r="C1792">
        <v>1</v>
      </c>
      <c r="D1792">
        <v>29459</v>
      </c>
      <c r="E1792">
        <v>78838</v>
      </c>
      <c r="F1792" t="s">
        <v>77</v>
      </c>
      <c r="G1792" t="s">
        <v>50</v>
      </c>
      <c r="H1792" t="s">
        <v>376</v>
      </c>
      <c r="I1792" t="s">
        <v>240</v>
      </c>
      <c r="J1792">
        <v>4</v>
      </c>
      <c r="K1792">
        <v>15</v>
      </c>
      <c r="L1792">
        <v>61900000</v>
      </c>
      <c r="M1792">
        <v>25000000</v>
      </c>
      <c r="N1792" t="s">
        <v>117</v>
      </c>
      <c r="O1792" t="s">
        <v>193</v>
      </c>
      <c r="P1792">
        <v>3</v>
      </c>
      <c r="Q1792">
        <v>1</v>
      </c>
      <c r="R1792">
        <v>1</v>
      </c>
      <c r="S1792">
        <v>1</v>
      </c>
      <c r="T1792">
        <v>6</v>
      </c>
      <c r="U1792">
        <v>2</v>
      </c>
      <c r="V1792">
        <v>13</v>
      </c>
      <c r="W1792">
        <v>18</v>
      </c>
      <c r="X1792">
        <v>19</v>
      </c>
      <c r="Y1792">
        <v>13</v>
      </c>
      <c r="Z1792">
        <v>0</v>
      </c>
      <c r="AA1792">
        <v>2</v>
      </c>
      <c r="AB1792">
        <v>0</v>
      </c>
      <c r="AC1792">
        <v>1</v>
      </c>
      <c r="AD1792">
        <v>5</v>
      </c>
      <c r="AE1792">
        <v>1</v>
      </c>
      <c r="AF1792">
        <v>5</v>
      </c>
      <c r="AG1792">
        <v>0</v>
      </c>
      <c r="AH1792">
        <v>2</v>
      </c>
      <c r="AI1792">
        <v>1</v>
      </c>
    </row>
    <row r="1793" spans="1:35" hidden="1" x14ac:dyDescent="0.25">
      <c r="A1793">
        <v>2019</v>
      </c>
      <c r="B1793" s="1">
        <v>43617</v>
      </c>
      <c r="C1793">
        <v>7</v>
      </c>
      <c r="D1793">
        <v>37658</v>
      </c>
      <c r="E1793">
        <v>46931</v>
      </c>
      <c r="F1793" t="s">
        <v>77</v>
      </c>
      <c r="G1793" t="s">
        <v>63</v>
      </c>
      <c r="H1793" t="s">
        <v>284</v>
      </c>
      <c r="I1793" t="s">
        <v>40</v>
      </c>
      <c r="J1793">
        <v>6</v>
      </c>
      <c r="K1793">
        <v>14</v>
      </c>
      <c r="L1793">
        <v>63250000</v>
      </c>
      <c r="M1793">
        <v>8050000</v>
      </c>
      <c r="N1793">
        <v>28</v>
      </c>
      <c r="O1793" t="s">
        <v>137</v>
      </c>
      <c r="P1793">
        <v>2</v>
      </c>
      <c r="Q1793">
        <v>0</v>
      </c>
      <c r="R1793">
        <v>1</v>
      </c>
      <c r="S1793">
        <v>0</v>
      </c>
      <c r="T1793">
        <v>8</v>
      </c>
      <c r="U1793">
        <v>2</v>
      </c>
      <c r="V1793">
        <v>12</v>
      </c>
      <c r="W1793">
        <v>4</v>
      </c>
      <c r="X1793">
        <v>5</v>
      </c>
      <c r="Y1793">
        <v>13</v>
      </c>
      <c r="Z1793">
        <v>5</v>
      </c>
      <c r="AA1793">
        <v>9</v>
      </c>
      <c r="AB1793">
        <v>1</v>
      </c>
      <c r="AC1793">
        <v>1</v>
      </c>
      <c r="AD1793">
        <v>7</v>
      </c>
      <c r="AE1793">
        <v>3</v>
      </c>
      <c r="AF1793">
        <v>3</v>
      </c>
      <c r="AG1793">
        <v>1</v>
      </c>
      <c r="AH1793">
        <v>2</v>
      </c>
      <c r="AI1793">
        <v>1</v>
      </c>
    </row>
    <row r="1794" spans="1:35" hidden="1" x14ac:dyDescent="0.25">
      <c r="A1794">
        <v>2019</v>
      </c>
      <c r="B1794" s="1">
        <v>43749</v>
      </c>
      <c r="C1794">
        <v>24</v>
      </c>
      <c r="D1794">
        <v>63385</v>
      </c>
      <c r="E1794">
        <v>78838</v>
      </c>
      <c r="F1794" t="s">
        <v>77</v>
      </c>
      <c r="G1794" t="s">
        <v>89</v>
      </c>
      <c r="H1794" t="s">
        <v>446</v>
      </c>
      <c r="I1794" t="s">
        <v>431</v>
      </c>
      <c r="J1794">
        <v>1</v>
      </c>
      <c r="K1794">
        <v>11</v>
      </c>
      <c r="L1794">
        <v>57300000</v>
      </c>
      <c r="M1794">
        <v>21650000</v>
      </c>
      <c r="N1794" t="s">
        <v>135</v>
      </c>
      <c r="O1794" t="s">
        <v>47</v>
      </c>
      <c r="P1794">
        <v>3</v>
      </c>
      <c r="Q1794">
        <v>1</v>
      </c>
      <c r="R1794">
        <v>1</v>
      </c>
      <c r="S1794">
        <v>0</v>
      </c>
      <c r="T1794">
        <v>9</v>
      </c>
      <c r="U1794">
        <v>2</v>
      </c>
      <c r="V1794">
        <v>10</v>
      </c>
      <c r="W1794">
        <v>9</v>
      </c>
      <c r="X1794">
        <v>9</v>
      </c>
      <c r="Y1794">
        <v>10</v>
      </c>
      <c r="Z1794">
        <v>1</v>
      </c>
      <c r="AA1794">
        <v>3</v>
      </c>
      <c r="AB1794">
        <v>0</v>
      </c>
      <c r="AC1794">
        <v>1</v>
      </c>
      <c r="AD1794">
        <v>19</v>
      </c>
      <c r="AE1794">
        <v>5</v>
      </c>
      <c r="AF1794">
        <v>7</v>
      </c>
      <c r="AG1794">
        <v>1</v>
      </c>
      <c r="AH1794">
        <v>2</v>
      </c>
      <c r="AI1794">
        <v>1</v>
      </c>
    </row>
    <row r="1795" spans="1:35" hidden="1" x14ac:dyDescent="0.25">
      <c r="A1795">
        <v>2019</v>
      </c>
      <c r="B1795" s="1">
        <v>43758</v>
      </c>
      <c r="C1795">
        <v>27</v>
      </c>
      <c r="D1795">
        <v>52279</v>
      </c>
      <c r="E1795">
        <v>78838</v>
      </c>
      <c r="F1795" t="s">
        <v>77</v>
      </c>
      <c r="G1795" t="s">
        <v>55</v>
      </c>
      <c r="H1795" t="s">
        <v>446</v>
      </c>
      <c r="I1795" t="s">
        <v>223</v>
      </c>
      <c r="J1795">
        <v>1</v>
      </c>
      <c r="K1795">
        <v>14</v>
      </c>
      <c r="L1795">
        <v>72000000</v>
      </c>
      <c r="M1795">
        <v>18950000</v>
      </c>
      <c r="N1795" t="s">
        <v>73</v>
      </c>
      <c r="O1795" t="s">
        <v>117</v>
      </c>
      <c r="P1795">
        <v>2</v>
      </c>
      <c r="Q1795">
        <v>0</v>
      </c>
      <c r="R1795">
        <v>0</v>
      </c>
      <c r="S1795">
        <v>0</v>
      </c>
      <c r="T1795">
        <v>10</v>
      </c>
      <c r="U1795">
        <v>7</v>
      </c>
      <c r="V1795">
        <v>23</v>
      </c>
      <c r="W1795">
        <v>13</v>
      </c>
      <c r="X1795">
        <v>13</v>
      </c>
      <c r="Y1795">
        <v>23</v>
      </c>
      <c r="Z1795">
        <v>4</v>
      </c>
      <c r="AA1795">
        <v>5</v>
      </c>
      <c r="AB1795">
        <v>0</v>
      </c>
      <c r="AC1795">
        <v>1</v>
      </c>
      <c r="AD1795">
        <v>16</v>
      </c>
      <c r="AE1795">
        <v>10</v>
      </c>
      <c r="AF1795">
        <v>3</v>
      </c>
      <c r="AG1795">
        <v>5</v>
      </c>
      <c r="AH1795">
        <v>2</v>
      </c>
      <c r="AI1795">
        <v>1</v>
      </c>
    </row>
    <row r="1796" spans="1:35" hidden="1" x14ac:dyDescent="0.25">
      <c r="A1796">
        <v>2019</v>
      </c>
      <c r="B1796" s="1">
        <v>43583</v>
      </c>
      <c r="C1796">
        <v>1</v>
      </c>
      <c r="D1796">
        <v>12550</v>
      </c>
      <c r="E1796">
        <v>60326</v>
      </c>
      <c r="F1796" t="s">
        <v>361</v>
      </c>
      <c r="G1796" t="s">
        <v>443</v>
      </c>
      <c r="H1796" t="s">
        <v>420</v>
      </c>
      <c r="I1796" t="s">
        <v>408</v>
      </c>
      <c r="J1796">
        <v>2</v>
      </c>
      <c r="K1796">
        <v>20</v>
      </c>
      <c r="L1796">
        <v>9000000</v>
      </c>
      <c r="M1796">
        <v>9150000</v>
      </c>
      <c r="N1796" t="s">
        <v>208</v>
      </c>
      <c r="O1796" t="s">
        <v>128</v>
      </c>
      <c r="P1796">
        <v>4</v>
      </c>
      <c r="Q1796">
        <v>0</v>
      </c>
      <c r="R1796">
        <v>2</v>
      </c>
      <c r="S1796">
        <v>0</v>
      </c>
      <c r="T1796">
        <v>3</v>
      </c>
      <c r="U1796">
        <v>6</v>
      </c>
      <c r="V1796">
        <v>18</v>
      </c>
      <c r="W1796">
        <v>5</v>
      </c>
      <c r="X1796">
        <v>6</v>
      </c>
      <c r="Y1796">
        <v>20</v>
      </c>
      <c r="Z1796">
        <v>1</v>
      </c>
      <c r="AA1796">
        <v>2</v>
      </c>
      <c r="AB1796">
        <v>2</v>
      </c>
      <c r="AC1796">
        <v>1</v>
      </c>
      <c r="AD1796">
        <v>6</v>
      </c>
      <c r="AE1796">
        <v>1</v>
      </c>
      <c r="AF1796">
        <v>5</v>
      </c>
      <c r="AG1796">
        <v>4</v>
      </c>
      <c r="AH1796">
        <v>4</v>
      </c>
      <c r="AI1796">
        <v>1</v>
      </c>
    </row>
    <row r="1797" spans="1:35" hidden="1" x14ac:dyDescent="0.25">
      <c r="A1797">
        <v>2019</v>
      </c>
      <c r="B1797" s="1">
        <v>43590</v>
      </c>
      <c r="C1797">
        <v>3</v>
      </c>
      <c r="D1797">
        <v>16815</v>
      </c>
      <c r="E1797">
        <v>60326</v>
      </c>
      <c r="F1797" t="s">
        <v>361</v>
      </c>
      <c r="G1797" t="s">
        <v>89</v>
      </c>
      <c r="H1797" t="s">
        <v>420</v>
      </c>
      <c r="I1797" t="s">
        <v>431</v>
      </c>
      <c r="J1797">
        <v>5</v>
      </c>
      <c r="K1797">
        <v>2</v>
      </c>
      <c r="L1797">
        <v>8000000</v>
      </c>
      <c r="M1797">
        <v>20550000</v>
      </c>
      <c r="N1797" t="s">
        <v>67</v>
      </c>
      <c r="O1797" t="s">
        <v>111</v>
      </c>
      <c r="P1797">
        <v>1</v>
      </c>
      <c r="Q1797">
        <v>2</v>
      </c>
      <c r="R1797">
        <v>1</v>
      </c>
      <c r="S1797">
        <v>1</v>
      </c>
      <c r="T1797">
        <v>6</v>
      </c>
      <c r="U1797">
        <v>4</v>
      </c>
      <c r="V1797">
        <v>12</v>
      </c>
      <c r="W1797">
        <v>8</v>
      </c>
      <c r="X1797">
        <v>9</v>
      </c>
      <c r="Y1797">
        <v>13</v>
      </c>
      <c r="Z1797">
        <v>4</v>
      </c>
      <c r="AA1797">
        <v>2</v>
      </c>
      <c r="AB1797">
        <v>1</v>
      </c>
      <c r="AC1797">
        <v>1</v>
      </c>
      <c r="AD1797">
        <v>3</v>
      </c>
      <c r="AE1797">
        <v>6</v>
      </c>
      <c r="AF1797">
        <v>4</v>
      </c>
      <c r="AG1797">
        <v>6</v>
      </c>
      <c r="AH1797">
        <v>-1</v>
      </c>
      <c r="AI1797">
        <v>0</v>
      </c>
    </row>
    <row r="1798" spans="1:35" hidden="1" x14ac:dyDescent="0.25">
      <c r="A1798">
        <v>2019</v>
      </c>
      <c r="B1798" s="1">
        <v>43605</v>
      </c>
      <c r="C1798">
        <v>5</v>
      </c>
      <c r="D1798">
        <v>17506</v>
      </c>
      <c r="E1798">
        <v>60326</v>
      </c>
      <c r="F1798" t="s">
        <v>361</v>
      </c>
      <c r="G1798" t="s">
        <v>83</v>
      </c>
      <c r="H1798" t="s">
        <v>420</v>
      </c>
      <c r="I1798" t="s">
        <v>85</v>
      </c>
      <c r="J1798">
        <v>14</v>
      </c>
      <c r="K1798">
        <v>18</v>
      </c>
      <c r="L1798">
        <v>9650000</v>
      </c>
      <c r="M1798">
        <v>31750000</v>
      </c>
      <c r="N1798" t="s">
        <v>134</v>
      </c>
      <c r="O1798" t="s">
        <v>122</v>
      </c>
      <c r="P1798">
        <v>2</v>
      </c>
      <c r="Q1798">
        <v>1</v>
      </c>
      <c r="R1798">
        <v>2</v>
      </c>
      <c r="S1798">
        <v>1</v>
      </c>
      <c r="T1798">
        <v>2</v>
      </c>
      <c r="U1798">
        <v>7</v>
      </c>
      <c r="V1798">
        <v>15</v>
      </c>
      <c r="W1798">
        <v>15</v>
      </c>
      <c r="X1798">
        <v>16</v>
      </c>
      <c r="Y1798">
        <v>16</v>
      </c>
      <c r="Z1798">
        <v>4</v>
      </c>
      <c r="AA1798">
        <v>0</v>
      </c>
      <c r="AB1798">
        <v>1</v>
      </c>
      <c r="AC1798">
        <v>1</v>
      </c>
      <c r="AD1798">
        <v>1</v>
      </c>
      <c r="AE1798">
        <v>5</v>
      </c>
      <c r="AF1798">
        <v>4</v>
      </c>
      <c r="AG1798">
        <v>5</v>
      </c>
      <c r="AH1798">
        <v>1</v>
      </c>
      <c r="AI1798">
        <v>1</v>
      </c>
    </row>
    <row r="1799" spans="1:35" hidden="1" x14ac:dyDescent="0.25">
      <c r="A1799">
        <v>2019</v>
      </c>
      <c r="B1799" s="1">
        <v>43667</v>
      </c>
      <c r="C1799">
        <v>11</v>
      </c>
      <c r="D1799">
        <v>32287</v>
      </c>
      <c r="E1799">
        <v>60326</v>
      </c>
      <c r="F1799" t="s">
        <v>361</v>
      </c>
      <c r="G1799" t="s">
        <v>95</v>
      </c>
      <c r="H1799" t="s">
        <v>420</v>
      </c>
      <c r="I1799" t="s">
        <v>336</v>
      </c>
      <c r="J1799">
        <v>14</v>
      </c>
      <c r="K1799">
        <v>1</v>
      </c>
      <c r="L1799">
        <v>8300000</v>
      </c>
      <c r="M1799">
        <v>49750000</v>
      </c>
      <c r="N1799" t="s">
        <v>129</v>
      </c>
      <c r="O1799" t="s">
        <v>134</v>
      </c>
      <c r="P1799">
        <v>2</v>
      </c>
      <c r="Q1799">
        <v>0</v>
      </c>
      <c r="R1799">
        <v>1</v>
      </c>
      <c r="S1799">
        <v>0</v>
      </c>
      <c r="T1799">
        <v>3</v>
      </c>
      <c r="U1799">
        <v>9</v>
      </c>
      <c r="V1799">
        <v>26</v>
      </c>
      <c r="W1799">
        <v>13</v>
      </c>
      <c r="X1799">
        <v>14</v>
      </c>
      <c r="Y1799">
        <v>26</v>
      </c>
      <c r="Z1799">
        <v>6</v>
      </c>
      <c r="AA1799">
        <v>3</v>
      </c>
      <c r="AB1799">
        <v>0</v>
      </c>
      <c r="AC1799">
        <v>1</v>
      </c>
      <c r="AD1799">
        <v>5</v>
      </c>
      <c r="AE1799">
        <v>6</v>
      </c>
      <c r="AF1799">
        <v>1</v>
      </c>
      <c r="AG1799">
        <v>9</v>
      </c>
      <c r="AH1799">
        <v>2</v>
      </c>
      <c r="AI1799">
        <v>1</v>
      </c>
    </row>
    <row r="1800" spans="1:35" hidden="1" x14ac:dyDescent="0.25">
      <c r="A1800">
        <v>2019</v>
      </c>
      <c r="B1800" s="1">
        <v>43744</v>
      </c>
      <c r="C1800">
        <v>23</v>
      </c>
      <c r="D1800">
        <v>18054</v>
      </c>
      <c r="E1800">
        <v>60326</v>
      </c>
      <c r="F1800" t="s">
        <v>361</v>
      </c>
      <c r="G1800" t="s">
        <v>416</v>
      </c>
      <c r="H1800" t="s">
        <v>450</v>
      </c>
      <c r="I1800" t="s">
        <v>441</v>
      </c>
      <c r="J1800">
        <v>15</v>
      </c>
      <c r="K1800">
        <v>11</v>
      </c>
      <c r="L1800">
        <v>9350000</v>
      </c>
      <c r="M1800">
        <v>9700000</v>
      </c>
      <c r="N1800" t="s">
        <v>235</v>
      </c>
      <c r="O1800" t="s">
        <v>120</v>
      </c>
      <c r="P1800">
        <v>0</v>
      </c>
      <c r="Q1800">
        <v>1</v>
      </c>
      <c r="R1800">
        <v>0</v>
      </c>
      <c r="S1800">
        <v>1</v>
      </c>
      <c r="T1800">
        <v>15</v>
      </c>
      <c r="U1800">
        <v>9</v>
      </c>
      <c r="V1800">
        <v>7</v>
      </c>
      <c r="W1800">
        <v>12</v>
      </c>
      <c r="X1800">
        <v>11</v>
      </c>
      <c r="Y1800">
        <v>7</v>
      </c>
      <c r="Z1800">
        <v>2</v>
      </c>
      <c r="AA1800">
        <v>5</v>
      </c>
      <c r="AB1800">
        <v>2</v>
      </c>
      <c r="AC1800">
        <v>1</v>
      </c>
      <c r="AD1800">
        <v>23</v>
      </c>
      <c r="AE1800">
        <v>9</v>
      </c>
      <c r="AF1800">
        <v>9</v>
      </c>
      <c r="AG1800">
        <v>4</v>
      </c>
      <c r="AH1800">
        <v>-1</v>
      </c>
      <c r="AI1800">
        <v>0</v>
      </c>
    </row>
    <row r="1801" spans="1:35" hidden="1" x14ac:dyDescent="0.25">
      <c r="A1801">
        <v>2019</v>
      </c>
      <c r="B1801" s="1">
        <v>43629</v>
      </c>
      <c r="C1801">
        <v>9</v>
      </c>
      <c r="D1801">
        <v>17099</v>
      </c>
      <c r="E1801">
        <v>60326</v>
      </c>
      <c r="F1801" t="s">
        <v>63</v>
      </c>
      <c r="G1801" t="s">
        <v>50</v>
      </c>
      <c r="H1801" t="s">
        <v>40</v>
      </c>
      <c r="I1801" t="s">
        <v>240</v>
      </c>
      <c r="J1801">
        <v>17</v>
      </c>
      <c r="K1801">
        <v>14</v>
      </c>
      <c r="L1801">
        <v>7750000</v>
      </c>
      <c r="M1801">
        <v>26000000</v>
      </c>
      <c r="N1801">
        <v>27</v>
      </c>
      <c r="O1801" t="s">
        <v>142</v>
      </c>
      <c r="P1801">
        <v>2</v>
      </c>
      <c r="Q1801">
        <v>1</v>
      </c>
      <c r="R1801">
        <v>2</v>
      </c>
      <c r="S1801">
        <v>1</v>
      </c>
      <c r="T1801">
        <v>6</v>
      </c>
      <c r="U1801">
        <v>5</v>
      </c>
      <c r="V1801">
        <v>10</v>
      </c>
      <c r="W1801">
        <v>15</v>
      </c>
      <c r="X1801">
        <v>16</v>
      </c>
      <c r="Y1801">
        <v>11</v>
      </c>
      <c r="Z1801">
        <v>3</v>
      </c>
      <c r="AA1801">
        <v>1</v>
      </c>
      <c r="AB1801">
        <v>1</v>
      </c>
      <c r="AC1801">
        <v>1</v>
      </c>
      <c r="AD1801">
        <v>4</v>
      </c>
      <c r="AE1801">
        <v>4</v>
      </c>
      <c r="AF1801">
        <v>3</v>
      </c>
      <c r="AG1801">
        <v>1</v>
      </c>
      <c r="AH1801">
        <v>1</v>
      </c>
      <c r="AI1801">
        <v>1</v>
      </c>
    </row>
    <row r="1802" spans="1:35" hidden="1" x14ac:dyDescent="0.25">
      <c r="A1802">
        <v>2019</v>
      </c>
      <c r="B1802" s="1">
        <v>43659</v>
      </c>
      <c r="C1802">
        <v>10</v>
      </c>
      <c r="D1802">
        <v>24864</v>
      </c>
      <c r="E1802">
        <v>60326</v>
      </c>
      <c r="F1802" t="s">
        <v>63</v>
      </c>
      <c r="G1802" t="s">
        <v>365</v>
      </c>
      <c r="H1802" t="s">
        <v>40</v>
      </c>
      <c r="I1802" t="s">
        <v>378</v>
      </c>
      <c r="J1802">
        <v>14</v>
      </c>
      <c r="K1802">
        <v>20</v>
      </c>
      <c r="L1802">
        <v>7450000</v>
      </c>
      <c r="M1802">
        <v>6050000</v>
      </c>
      <c r="N1802" t="s">
        <v>105</v>
      </c>
      <c r="O1802" t="s">
        <v>86</v>
      </c>
      <c r="P1802">
        <v>2</v>
      </c>
      <c r="Q1802">
        <v>0</v>
      </c>
      <c r="R1802">
        <v>1</v>
      </c>
      <c r="S1802">
        <v>0</v>
      </c>
      <c r="T1802">
        <v>5</v>
      </c>
      <c r="U1802">
        <v>13</v>
      </c>
      <c r="V1802">
        <v>15</v>
      </c>
      <c r="W1802">
        <v>12</v>
      </c>
      <c r="X1802">
        <v>13</v>
      </c>
      <c r="Y1802">
        <v>15</v>
      </c>
      <c r="Z1802">
        <v>4</v>
      </c>
      <c r="AA1802">
        <v>2</v>
      </c>
      <c r="AB1802">
        <v>0</v>
      </c>
      <c r="AC1802">
        <v>1</v>
      </c>
      <c r="AD1802">
        <v>4</v>
      </c>
      <c r="AE1802">
        <v>4</v>
      </c>
      <c r="AF1802">
        <v>3</v>
      </c>
      <c r="AG1802">
        <v>4</v>
      </c>
      <c r="AH1802">
        <v>2</v>
      </c>
      <c r="AI1802">
        <v>1</v>
      </c>
    </row>
    <row r="1803" spans="1:35" hidden="1" x14ac:dyDescent="0.25">
      <c r="A1803">
        <v>2019</v>
      </c>
      <c r="B1803" s="1">
        <v>43748</v>
      </c>
      <c r="C1803">
        <v>24</v>
      </c>
      <c r="D1803">
        <v>25425</v>
      </c>
      <c r="E1803">
        <v>60326</v>
      </c>
      <c r="F1803" t="s">
        <v>63</v>
      </c>
      <c r="G1803" t="s">
        <v>394</v>
      </c>
      <c r="H1803" t="s">
        <v>40</v>
      </c>
      <c r="I1803" t="s">
        <v>368</v>
      </c>
      <c r="J1803">
        <v>14</v>
      </c>
      <c r="K1803">
        <v>20</v>
      </c>
      <c r="L1803">
        <v>9800000</v>
      </c>
      <c r="M1803">
        <v>12250000</v>
      </c>
      <c r="N1803">
        <v>30</v>
      </c>
      <c r="O1803" t="s">
        <v>208</v>
      </c>
      <c r="P1803">
        <v>2</v>
      </c>
      <c r="Q1803">
        <v>0</v>
      </c>
      <c r="R1803">
        <v>0</v>
      </c>
      <c r="S1803">
        <v>0</v>
      </c>
      <c r="T1803">
        <v>2</v>
      </c>
      <c r="U1803">
        <v>6</v>
      </c>
      <c r="V1803">
        <v>18</v>
      </c>
      <c r="W1803">
        <v>17</v>
      </c>
      <c r="X1803">
        <v>16</v>
      </c>
      <c r="Y1803">
        <v>18</v>
      </c>
      <c r="Z1803">
        <v>5</v>
      </c>
      <c r="AA1803">
        <v>3</v>
      </c>
      <c r="AB1803">
        <v>4</v>
      </c>
      <c r="AC1803">
        <v>1</v>
      </c>
      <c r="AD1803">
        <v>11</v>
      </c>
      <c r="AE1803">
        <v>15</v>
      </c>
      <c r="AF1803">
        <v>3</v>
      </c>
      <c r="AG1803">
        <v>6</v>
      </c>
      <c r="AH1803">
        <v>2</v>
      </c>
      <c r="AI1803">
        <v>1</v>
      </c>
    </row>
    <row r="1804" spans="1:35" hidden="1" x14ac:dyDescent="0.25">
      <c r="A1804">
        <v>2019</v>
      </c>
      <c r="B1804" s="1">
        <v>43786</v>
      </c>
      <c r="C1804">
        <v>33</v>
      </c>
      <c r="D1804">
        <v>34231</v>
      </c>
      <c r="E1804">
        <v>60326</v>
      </c>
      <c r="F1804" t="s">
        <v>63</v>
      </c>
      <c r="G1804" t="s">
        <v>443</v>
      </c>
      <c r="H1804" t="s">
        <v>40</v>
      </c>
      <c r="I1804" t="s">
        <v>445</v>
      </c>
      <c r="J1804">
        <v>13</v>
      </c>
      <c r="K1804">
        <v>18</v>
      </c>
      <c r="L1804">
        <v>9100000</v>
      </c>
      <c r="M1804">
        <v>7450000</v>
      </c>
      <c r="N1804" t="s">
        <v>86</v>
      </c>
      <c r="O1804" t="s">
        <v>74</v>
      </c>
      <c r="P1804">
        <v>3</v>
      </c>
      <c r="Q1804">
        <v>0</v>
      </c>
      <c r="R1804">
        <v>1</v>
      </c>
      <c r="S1804">
        <v>0</v>
      </c>
      <c r="T1804">
        <v>4</v>
      </c>
      <c r="U1804">
        <v>3</v>
      </c>
      <c r="V1804">
        <v>10</v>
      </c>
      <c r="W1804">
        <v>20</v>
      </c>
      <c r="X1804">
        <v>19</v>
      </c>
      <c r="Y1804">
        <v>10</v>
      </c>
      <c r="Z1804">
        <v>2</v>
      </c>
      <c r="AA1804">
        <v>3</v>
      </c>
      <c r="AB1804">
        <v>0</v>
      </c>
      <c r="AC1804">
        <v>1</v>
      </c>
      <c r="AD1804">
        <v>15</v>
      </c>
      <c r="AE1804">
        <v>8</v>
      </c>
      <c r="AF1804">
        <v>6</v>
      </c>
      <c r="AG1804">
        <v>5</v>
      </c>
      <c r="AH1804">
        <v>3</v>
      </c>
      <c r="AI1804">
        <v>1</v>
      </c>
    </row>
    <row r="1805" spans="1:35" hidden="1" x14ac:dyDescent="0.25">
      <c r="A1805">
        <v>2019</v>
      </c>
      <c r="B1805" s="1">
        <v>43587</v>
      </c>
      <c r="C1805">
        <v>2</v>
      </c>
      <c r="D1805">
        <v>29644</v>
      </c>
      <c r="E1805">
        <v>50049</v>
      </c>
      <c r="F1805" t="s">
        <v>416</v>
      </c>
      <c r="G1805" t="s">
        <v>62</v>
      </c>
      <c r="H1805" t="s">
        <v>444</v>
      </c>
      <c r="I1805" t="s">
        <v>71</v>
      </c>
      <c r="J1805">
        <v>10</v>
      </c>
      <c r="K1805">
        <v>5</v>
      </c>
      <c r="L1805">
        <v>7700000</v>
      </c>
      <c r="M1805">
        <v>35000000</v>
      </c>
      <c r="N1805">
        <v>26</v>
      </c>
      <c r="O1805" t="s">
        <v>104</v>
      </c>
      <c r="P1805">
        <v>1</v>
      </c>
      <c r="Q1805">
        <v>2</v>
      </c>
      <c r="R1805">
        <v>1</v>
      </c>
      <c r="S1805">
        <v>2</v>
      </c>
      <c r="T1805">
        <v>5</v>
      </c>
      <c r="U1805">
        <v>10</v>
      </c>
      <c r="V1805">
        <v>15</v>
      </c>
      <c r="W1805">
        <v>12</v>
      </c>
      <c r="X1805">
        <v>13</v>
      </c>
      <c r="Y1805">
        <v>15</v>
      </c>
      <c r="Z1805">
        <v>3</v>
      </c>
      <c r="AA1805">
        <v>2</v>
      </c>
      <c r="AB1805">
        <v>0</v>
      </c>
      <c r="AC1805">
        <v>1</v>
      </c>
      <c r="AD1805">
        <v>3</v>
      </c>
      <c r="AE1805">
        <v>5</v>
      </c>
      <c r="AF1805">
        <v>5</v>
      </c>
      <c r="AG1805">
        <v>7</v>
      </c>
      <c r="AH1805">
        <v>-1</v>
      </c>
      <c r="AI1805">
        <v>0</v>
      </c>
    </row>
    <row r="1806" spans="1:35" hidden="1" x14ac:dyDescent="0.25">
      <c r="A1806">
        <v>2019</v>
      </c>
      <c r="B1806" s="1">
        <v>43630</v>
      </c>
      <c r="C1806">
        <v>9</v>
      </c>
      <c r="D1806">
        <v>10468</v>
      </c>
      <c r="E1806">
        <v>50049</v>
      </c>
      <c r="F1806" t="s">
        <v>416</v>
      </c>
      <c r="G1806" t="s">
        <v>69</v>
      </c>
      <c r="H1806" t="s">
        <v>444</v>
      </c>
      <c r="I1806" t="s">
        <v>333</v>
      </c>
      <c r="J1806">
        <v>10</v>
      </c>
      <c r="K1806">
        <v>11</v>
      </c>
      <c r="L1806">
        <v>10150000</v>
      </c>
      <c r="M1806">
        <v>15350000</v>
      </c>
      <c r="N1806" t="s">
        <v>163</v>
      </c>
      <c r="O1806">
        <v>28</v>
      </c>
      <c r="P1806">
        <v>2</v>
      </c>
      <c r="Q1806">
        <v>1</v>
      </c>
      <c r="R1806">
        <v>2</v>
      </c>
      <c r="S1806">
        <v>0</v>
      </c>
      <c r="T1806">
        <v>3</v>
      </c>
      <c r="U1806">
        <v>7</v>
      </c>
      <c r="V1806">
        <v>12</v>
      </c>
      <c r="W1806">
        <v>10</v>
      </c>
      <c r="X1806">
        <v>11</v>
      </c>
      <c r="Y1806">
        <v>13</v>
      </c>
      <c r="Z1806">
        <v>6</v>
      </c>
      <c r="AA1806">
        <v>2</v>
      </c>
      <c r="AB1806">
        <v>1</v>
      </c>
      <c r="AC1806">
        <v>1</v>
      </c>
      <c r="AD1806">
        <v>7</v>
      </c>
      <c r="AE1806">
        <v>6</v>
      </c>
      <c r="AF1806">
        <v>6</v>
      </c>
      <c r="AG1806">
        <v>5</v>
      </c>
      <c r="AH1806">
        <v>1</v>
      </c>
      <c r="AI1806">
        <v>1</v>
      </c>
    </row>
    <row r="1807" spans="1:35" hidden="1" x14ac:dyDescent="0.25">
      <c r="A1807">
        <v>2019</v>
      </c>
      <c r="B1807" s="1">
        <v>43584</v>
      </c>
      <c r="C1807">
        <v>1</v>
      </c>
      <c r="D1807">
        <v>26701</v>
      </c>
      <c r="E1807">
        <v>43600</v>
      </c>
      <c r="F1807" t="s">
        <v>95</v>
      </c>
      <c r="G1807" t="s">
        <v>63</v>
      </c>
      <c r="H1807" t="s">
        <v>336</v>
      </c>
      <c r="I1807" t="s">
        <v>40</v>
      </c>
      <c r="J1807">
        <v>1</v>
      </c>
      <c r="K1807">
        <v>19</v>
      </c>
      <c r="L1807">
        <v>61250000</v>
      </c>
      <c r="M1807">
        <v>7250000</v>
      </c>
      <c r="N1807" t="s">
        <v>134</v>
      </c>
      <c r="O1807">
        <v>29</v>
      </c>
      <c r="P1807">
        <v>4</v>
      </c>
      <c r="Q1807">
        <v>0</v>
      </c>
      <c r="R1807">
        <v>1</v>
      </c>
      <c r="S1807">
        <v>0</v>
      </c>
      <c r="T1807">
        <v>6</v>
      </c>
      <c r="U1807">
        <v>1</v>
      </c>
      <c r="V1807">
        <v>12</v>
      </c>
      <c r="W1807">
        <v>15</v>
      </c>
      <c r="X1807">
        <v>16</v>
      </c>
      <c r="Y1807">
        <v>14</v>
      </c>
      <c r="Z1807">
        <v>4</v>
      </c>
      <c r="AA1807">
        <v>3</v>
      </c>
      <c r="AB1807">
        <v>2</v>
      </c>
      <c r="AC1807">
        <v>1</v>
      </c>
      <c r="AD1807">
        <v>7</v>
      </c>
      <c r="AE1807">
        <v>4</v>
      </c>
      <c r="AF1807">
        <v>5</v>
      </c>
      <c r="AG1807">
        <v>2</v>
      </c>
      <c r="AH1807">
        <v>4</v>
      </c>
      <c r="AI1807">
        <v>1</v>
      </c>
    </row>
    <row r="1808" spans="1:35" hidden="1" x14ac:dyDescent="0.25">
      <c r="A1808">
        <v>2019</v>
      </c>
      <c r="B1808" s="1">
        <v>43604</v>
      </c>
      <c r="C1808">
        <v>5</v>
      </c>
      <c r="D1808">
        <v>32501</v>
      </c>
      <c r="E1808">
        <v>37500</v>
      </c>
      <c r="F1808" t="s">
        <v>95</v>
      </c>
      <c r="G1808" t="s">
        <v>419</v>
      </c>
      <c r="H1808" t="s">
        <v>336</v>
      </c>
      <c r="I1808" t="s">
        <v>329</v>
      </c>
      <c r="J1808">
        <v>1</v>
      </c>
      <c r="K1808">
        <v>2</v>
      </c>
      <c r="L1808">
        <v>43750000</v>
      </c>
      <c r="M1808">
        <v>25400000</v>
      </c>
      <c r="N1808" t="s">
        <v>66</v>
      </c>
      <c r="O1808" t="s">
        <v>80</v>
      </c>
      <c r="P1808">
        <v>4</v>
      </c>
      <c r="Q1808">
        <v>0</v>
      </c>
      <c r="R1808">
        <v>2</v>
      </c>
      <c r="S1808">
        <v>0</v>
      </c>
      <c r="T1808">
        <v>5</v>
      </c>
      <c r="U1808">
        <v>5</v>
      </c>
      <c r="V1808">
        <v>14</v>
      </c>
      <c r="W1808">
        <v>18</v>
      </c>
      <c r="X1808">
        <v>19</v>
      </c>
      <c r="Y1808">
        <v>14</v>
      </c>
      <c r="Z1808">
        <v>6</v>
      </c>
      <c r="AA1808">
        <v>6</v>
      </c>
      <c r="AB1808">
        <v>0</v>
      </c>
      <c r="AC1808">
        <v>1</v>
      </c>
      <c r="AD1808">
        <v>7</v>
      </c>
      <c r="AE1808">
        <v>1</v>
      </c>
      <c r="AF1808">
        <v>1</v>
      </c>
      <c r="AG1808">
        <v>1</v>
      </c>
      <c r="AH1808">
        <v>4</v>
      </c>
      <c r="AI1808">
        <v>1</v>
      </c>
    </row>
    <row r="1809" spans="1:35" hidden="1" x14ac:dyDescent="0.25">
      <c r="A1809">
        <v>2019</v>
      </c>
      <c r="B1809" s="1">
        <v>43624</v>
      </c>
      <c r="C1809">
        <v>8</v>
      </c>
      <c r="D1809">
        <v>37086</v>
      </c>
      <c r="E1809">
        <v>43600</v>
      </c>
      <c r="F1809" t="s">
        <v>95</v>
      </c>
      <c r="G1809" t="s">
        <v>69</v>
      </c>
      <c r="H1809" t="s">
        <v>336</v>
      </c>
      <c r="I1809" t="s">
        <v>333</v>
      </c>
      <c r="J1809">
        <v>1</v>
      </c>
      <c r="K1809">
        <v>10</v>
      </c>
      <c r="L1809">
        <v>46950000</v>
      </c>
      <c r="M1809">
        <v>17550000</v>
      </c>
      <c r="N1809" t="s">
        <v>200</v>
      </c>
      <c r="O1809">
        <v>27</v>
      </c>
      <c r="P1809">
        <v>1</v>
      </c>
      <c r="Q1809">
        <v>0</v>
      </c>
      <c r="R1809">
        <v>0</v>
      </c>
      <c r="S1809">
        <v>0</v>
      </c>
      <c r="T1809">
        <v>7</v>
      </c>
      <c r="U1809">
        <v>7</v>
      </c>
      <c r="V1809">
        <v>15</v>
      </c>
      <c r="W1809">
        <v>27</v>
      </c>
      <c r="X1809">
        <v>28</v>
      </c>
      <c r="Y1809">
        <v>17</v>
      </c>
      <c r="Z1809">
        <v>2</v>
      </c>
      <c r="AA1809">
        <v>4</v>
      </c>
      <c r="AB1809">
        <v>2</v>
      </c>
      <c r="AC1809">
        <v>1</v>
      </c>
      <c r="AD1809">
        <v>5</v>
      </c>
      <c r="AE1809">
        <v>2</v>
      </c>
      <c r="AF1809">
        <v>10</v>
      </c>
      <c r="AG1809">
        <v>0</v>
      </c>
      <c r="AH1809">
        <v>1</v>
      </c>
      <c r="AI1809">
        <v>1</v>
      </c>
    </row>
    <row r="1810" spans="1:35" hidden="1" x14ac:dyDescent="0.25">
      <c r="A1810">
        <v>2019</v>
      </c>
      <c r="B1810" s="1">
        <v>43630</v>
      </c>
      <c r="C1810">
        <v>9</v>
      </c>
      <c r="D1810">
        <v>31946</v>
      </c>
      <c r="E1810">
        <v>43600</v>
      </c>
      <c r="F1810" t="s">
        <v>95</v>
      </c>
      <c r="G1810" t="s">
        <v>365</v>
      </c>
      <c r="H1810" t="s">
        <v>336</v>
      </c>
      <c r="I1810" t="s">
        <v>447</v>
      </c>
      <c r="J1810">
        <v>1</v>
      </c>
      <c r="K1810">
        <v>20</v>
      </c>
      <c r="L1810">
        <v>46950000</v>
      </c>
      <c r="M1810">
        <v>4600000</v>
      </c>
      <c r="N1810">
        <v>30</v>
      </c>
      <c r="O1810" t="s">
        <v>80</v>
      </c>
      <c r="P1810">
        <v>2</v>
      </c>
      <c r="Q1810">
        <v>0</v>
      </c>
      <c r="R1810">
        <v>1</v>
      </c>
      <c r="S1810">
        <v>0</v>
      </c>
      <c r="T1810">
        <v>9</v>
      </c>
      <c r="U1810">
        <v>1</v>
      </c>
      <c r="V1810">
        <v>12</v>
      </c>
      <c r="W1810">
        <v>16</v>
      </c>
      <c r="X1810">
        <v>17</v>
      </c>
      <c r="Y1810">
        <v>13</v>
      </c>
      <c r="Z1810">
        <v>6</v>
      </c>
      <c r="AA1810">
        <v>8</v>
      </c>
      <c r="AB1810">
        <v>1</v>
      </c>
      <c r="AC1810">
        <v>1</v>
      </c>
      <c r="AD1810">
        <v>6</v>
      </c>
      <c r="AE1810">
        <v>1</v>
      </c>
      <c r="AF1810">
        <v>3</v>
      </c>
      <c r="AG1810">
        <v>2</v>
      </c>
      <c r="AH1810">
        <v>2</v>
      </c>
      <c r="AI1810">
        <v>1</v>
      </c>
    </row>
    <row r="1811" spans="1:35" hidden="1" x14ac:dyDescent="0.25">
      <c r="A1811">
        <v>2019</v>
      </c>
      <c r="B1811" s="1">
        <v>43629</v>
      </c>
      <c r="C1811">
        <v>9</v>
      </c>
      <c r="D1811">
        <v>11831</v>
      </c>
      <c r="E1811">
        <v>20120</v>
      </c>
      <c r="F1811" t="s">
        <v>419</v>
      </c>
      <c r="G1811" t="s">
        <v>88</v>
      </c>
      <c r="H1811" t="s">
        <v>329</v>
      </c>
      <c r="I1811" t="s">
        <v>379</v>
      </c>
      <c r="J1811">
        <v>2</v>
      </c>
      <c r="K1811">
        <v>5</v>
      </c>
      <c r="L1811">
        <v>23150000</v>
      </c>
      <c r="M1811">
        <v>20550000</v>
      </c>
      <c r="N1811" t="s">
        <v>80</v>
      </c>
      <c r="O1811">
        <v>30</v>
      </c>
      <c r="P1811">
        <v>1</v>
      </c>
      <c r="Q1811">
        <v>0</v>
      </c>
      <c r="R1811">
        <v>0</v>
      </c>
      <c r="S1811">
        <v>0</v>
      </c>
      <c r="T1811">
        <v>2</v>
      </c>
      <c r="U1811">
        <v>3</v>
      </c>
      <c r="V1811">
        <v>16</v>
      </c>
      <c r="W1811">
        <v>13</v>
      </c>
      <c r="X1811">
        <v>14</v>
      </c>
      <c r="Y1811">
        <v>18</v>
      </c>
      <c r="Z1811">
        <v>0</v>
      </c>
      <c r="AA1811">
        <v>3</v>
      </c>
      <c r="AB1811">
        <v>2</v>
      </c>
      <c r="AC1811">
        <v>1</v>
      </c>
      <c r="AD1811">
        <v>5</v>
      </c>
      <c r="AE1811">
        <v>0</v>
      </c>
      <c r="AF1811">
        <v>6</v>
      </c>
      <c r="AG1811">
        <v>1</v>
      </c>
      <c r="AH1811">
        <v>1</v>
      </c>
      <c r="AI1811">
        <v>1</v>
      </c>
    </row>
    <row r="1812" spans="1:35" hidden="1" x14ac:dyDescent="0.25">
      <c r="A1812">
        <v>2019</v>
      </c>
      <c r="B1812" s="1">
        <v>43603</v>
      </c>
      <c r="C1812">
        <v>5</v>
      </c>
      <c r="D1812">
        <v>11437</v>
      </c>
      <c r="E1812">
        <v>82238</v>
      </c>
      <c r="F1812" t="s">
        <v>55</v>
      </c>
      <c r="G1812" t="s">
        <v>50</v>
      </c>
      <c r="H1812" t="s">
        <v>57</v>
      </c>
      <c r="I1812" t="s">
        <v>240</v>
      </c>
      <c r="J1812">
        <v>15</v>
      </c>
      <c r="K1812">
        <v>11</v>
      </c>
      <c r="L1812">
        <v>12350000</v>
      </c>
      <c r="M1812">
        <v>27250000</v>
      </c>
      <c r="N1812" t="s">
        <v>221</v>
      </c>
      <c r="O1812" t="s">
        <v>197</v>
      </c>
      <c r="P1812">
        <v>4</v>
      </c>
      <c r="Q1812">
        <v>1</v>
      </c>
      <c r="R1812">
        <v>1</v>
      </c>
      <c r="S1812">
        <v>0</v>
      </c>
      <c r="T1812">
        <v>6</v>
      </c>
      <c r="U1812">
        <v>1</v>
      </c>
      <c r="V1812">
        <v>12</v>
      </c>
      <c r="W1812">
        <v>11</v>
      </c>
      <c r="X1812">
        <v>12</v>
      </c>
      <c r="Y1812">
        <v>15</v>
      </c>
      <c r="Z1812">
        <v>1</v>
      </c>
      <c r="AA1812">
        <v>7</v>
      </c>
      <c r="AB1812">
        <v>3</v>
      </c>
      <c r="AC1812">
        <v>1</v>
      </c>
      <c r="AD1812">
        <v>5</v>
      </c>
      <c r="AE1812">
        <v>1</v>
      </c>
      <c r="AF1812">
        <v>4</v>
      </c>
      <c r="AG1812">
        <v>0</v>
      </c>
      <c r="AH1812">
        <v>3</v>
      </c>
      <c r="AI1812">
        <v>1</v>
      </c>
    </row>
    <row r="1813" spans="1:35" hidden="1" x14ac:dyDescent="0.25">
      <c r="A1813">
        <v>2019</v>
      </c>
      <c r="B1813" s="1">
        <v>43737</v>
      </c>
      <c r="C1813">
        <v>22</v>
      </c>
      <c r="D1813">
        <v>17991</v>
      </c>
      <c r="E1813">
        <v>82238</v>
      </c>
      <c r="F1813" t="s">
        <v>55</v>
      </c>
      <c r="G1813" t="s">
        <v>83</v>
      </c>
      <c r="H1813" t="s">
        <v>223</v>
      </c>
      <c r="I1813" t="s">
        <v>85</v>
      </c>
      <c r="J1813">
        <v>16</v>
      </c>
      <c r="K1813">
        <v>7</v>
      </c>
      <c r="L1813">
        <v>37550000</v>
      </c>
      <c r="M1813">
        <v>11900000</v>
      </c>
      <c r="N1813" t="s">
        <v>99</v>
      </c>
      <c r="O1813" t="s">
        <v>120</v>
      </c>
      <c r="P1813">
        <v>2</v>
      </c>
      <c r="Q1813">
        <v>1</v>
      </c>
      <c r="R1813">
        <v>1</v>
      </c>
      <c r="S1813">
        <v>0</v>
      </c>
      <c r="T1813">
        <v>2</v>
      </c>
      <c r="U1813">
        <v>6</v>
      </c>
      <c r="V1813">
        <v>255</v>
      </c>
      <c r="W1813">
        <v>210</v>
      </c>
      <c r="X1813">
        <v>9</v>
      </c>
      <c r="Y1813">
        <v>15</v>
      </c>
      <c r="Z1813">
        <v>3</v>
      </c>
      <c r="AA1813">
        <v>3</v>
      </c>
      <c r="AB1813">
        <v>0</v>
      </c>
      <c r="AC1813">
        <v>1</v>
      </c>
      <c r="AD1813">
        <v>3</v>
      </c>
      <c r="AE1813">
        <v>3</v>
      </c>
      <c r="AF1813">
        <v>6</v>
      </c>
      <c r="AG1813">
        <v>6</v>
      </c>
      <c r="AH1813">
        <v>1</v>
      </c>
      <c r="AI1813">
        <v>1</v>
      </c>
    </row>
    <row r="1814" spans="1:35" hidden="1" x14ac:dyDescent="0.25">
      <c r="A1814">
        <v>2019</v>
      </c>
      <c r="B1814" s="1">
        <v>43582</v>
      </c>
      <c r="C1814">
        <v>1</v>
      </c>
      <c r="D1814">
        <v>26533</v>
      </c>
      <c r="E1814">
        <v>67428</v>
      </c>
      <c r="F1814" t="s">
        <v>62</v>
      </c>
      <c r="G1814" t="s">
        <v>51</v>
      </c>
      <c r="H1814" t="s">
        <v>71</v>
      </c>
      <c r="I1814" t="s">
        <v>367</v>
      </c>
      <c r="J1814">
        <v>5</v>
      </c>
      <c r="K1814">
        <v>17</v>
      </c>
      <c r="L1814">
        <v>35050000</v>
      </c>
      <c r="M1814">
        <v>15850000</v>
      </c>
      <c r="N1814" t="s">
        <v>104</v>
      </c>
      <c r="O1814" t="s">
        <v>117</v>
      </c>
      <c r="P1814">
        <v>2</v>
      </c>
      <c r="Q1814">
        <v>0</v>
      </c>
      <c r="R1814">
        <v>1</v>
      </c>
      <c r="S1814">
        <v>0</v>
      </c>
      <c r="T1814">
        <v>3</v>
      </c>
      <c r="U1814">
        <v>2</v>
      </c>
      <c r="V1814">
        <v>19</v>
      </c>
      <c r="W1814">
        <v>7</v>
      </c>
      <c r="X1814">
        <v>8</v>
      </c>
      <c r="Y1814">
        <v>21</v>
      </c>
      <c r="Z1814">
        <v>2</v>
      </c>
      <c r="AA1814">
        <v>2</v>
      </c>
      <c r="AB1814">
        <v>2</v>
      </c>
      <c r="AC1814">
        <v>1</v>
      </c>
      <c r="AD1814">
        <v>4</v>
      </c>
      <c r="AE1814">
        <v>2</v>
      </c>
      <c r="AF1814">
        <v>1</v>
      </c>
      <c r="AG1814">
        <v>2</v>
      </c>
      <c r="AH1814">
        <v>2</v>
      </c>
      <c r="AI1814">
        <v>1</v>
      </c>
    </row>
    <row r="1815" spans="1:35" hidden="1" x14ac:dyDescent="0.25">
      <c r="A1815">
        <v>2019</v>
      </c>
      <c r="B1815" s="1">
        <v>43590</v>
      </c>
      <c r="C1815">
        <v>3</v>
      </c>
      <c r="D1815">
        <v>38749</v>
      </c>
      <c r="E1815">
        <v>67428</v>
      </c>
      <c r="F1815" t="s">
        <v>62</v>
      </c>
      <c r="G1815" t="s">
        <v>77</v>
      </c>
      <c r="H1815" t="s">
        <v>71</v>
      </c>
      <c r="I1815" t="s">
        <v>376</v>
      </c>
      <c r="J1815">
        <v>1</v>
      </c>
      <c r="K1815">
        <v>7</v>
      </c>
      <c r="L1815">
        <v>32000000</v>
      </c>
      <c r="M1815">
        <v>18350000</v>
      </c>
      <c r="N1815">
        <v>26</v>
      </c>
      <c r="O1815" t="s">
        <v>339</v>
      </c>
      <c r="P1815">
        <v>1</v>
      </c>
      <c r="Q1815">
        <v>1</v>
      </c>
      <c r="R1815">
        <v>0</v>
      </c>
      <c r="S1815">
        <v>1</v>
      </c>
      <c r="T1815">
        <v>6</v>
      </c>
      <c r="U1815">
        <v>2</v>
      </c>
      <c r="V1815">
        <v>16</v>
      </c>
      <c r="W1815">
        <v>16</v>
      </c>
      <c r="X1815">
        <v>17</v>
      </c>
      <c r="Y1815">
        <v>16</v>
      </c>
      <c r="Z1815">
        <v>1</v>
      </c>
      <c r="AA1815">
        <v>8</v>
      </c>
      <c r="AB1815">
        <v>0</v>
      </c>
      <c r="AC1815">
        <v>1</v>
      </c>
      <c r="AD1815">
        <v>9</v>
      </c>
      <c r="AE1815">
        <v>2</v>
      </c>
      <c r="AF1815">
        <v>7</v>
      </c>
      <c r="AG1815">
        <v>3</v>
      </c>
      <c r="AH1815">
        <v>0</v>
      </c>
      <c r="AI1815">
        <v>0</v>
      </c>
    </row>
    <row r="1816" spans="1:35" hidden="1" x14ac:dyDescent="0.25">
      <c r="A1816">
        <v>2019</v>
      </c>
      <c r="B1816" s="1">
        <v>43758</v>
      </c>
      <c r="C1816">
        <v>27</v>
      </c>
      <c r="D1816">
        <v>20763</v>
      </c>
      <c r="E1816">
        <v>67428</v>
      </c>
      <c r="F1816" t="s">
        <v>62</v>
      </c>
      <c r="G1816" t="s">
        <v>365</v>
      </c>
      <c r="H1816" t="s">
        <v>57</v>
      </c>
      <c r="I1816" t="s">
        <v>448</v>
      </c>
      <c r="J1816">
        <v>5</v>
      </c>
      <c r="K1816">
        <v>19</v>
      </c>
      <c r="L1816">
        <v>44000000</v>
      </c>
      <c r="M1816">
        <v>5750000</v>
      </c>
      <c r="N1816" t="s">
        <v>149</v>
      </c>
      <c r="O1816" t="s">
        <v>114</v>
      </c>
      <c r="P1816">
        <v>1</v>
      </c>
      <c r="Q1816">
        <v>0</v>
      </c>
      <c r="R1816">
        <v>0</v>
      </c>
      <c r="S1816">
        <v>0</v>
      </c>
      <c r="T1816">
        <v>13</v>
      </c>
      <c r="U1816">
        <v>0</v>
      </c>
      <c r="V1816">
        <v>23</v>
      </c>
      <c r="W1816">
        <v>11</v>
      </c>
      <c r="X1816">
        <v>11</v>
      </c>
      <c r="Y1816">
        <v>22</v>
      </c>
      <c r="Z1816">
        <v>1</v>
      </c>
      <c r="AA1816">
        <v>6</v>
      </c>
      <c r="AB1816">
        <v>2</v>
      </c>
      <c r="AC1816">
        <v>1</v>
      </c>
      <c r="AD1816">
        <v>22</v>
      </c>
      <c r="AE1816">
        <v>6</v>
      </c>
      <c r="AF1816">
        <v>10</v>
      </c>
      <c r="AG1816">
        <v>4</v>
      </c>
      <c r="AH1816">
        <v>1</v>
      </c>
      <c r="AI1816">
        <v>1</v>
      </c>
    </row>
    <row r="1817" spans="1:35" hidden="1" x14ac:dyDescent="0.25">
      <c r="A1817">
        <v>2019</v>
      </c>
      <c r="B1817" s="1">
        <v>43630</v>
      </c>
      <c r="C1817">
        <v>9</v>
      </c>
      <c r="D1817">
        <v>6257</v>
      </c>
      <c r="E1817">
        <v>22600</v>
      </c>
      <c r="F1817" t="s">
        <v>394</v>
      </c>
      <c r="G1817" t="s">
        <v>55</v>
      </c>
      <c r="H1817" t="s">
        <v>441</v>
      </c>
      <c r="I1817" t="s">
        <v>57</v>
      </c>
      <c r="J1817">
        <v>16</v>
      </c>
      <c r="K1817">
        <v>15</v>
      </c>
      <c r="L1817">
        <v>12300000</v>
      </c>
      <c r="M1817">
        <v>28850000</v>
      </c>
      <c r="N1817" t="s">
        <v>123</v>
      </c>
      <c r="O1817" t="s">
        <v>453</v>
      </c>
      <c r="P1817">
        <v>1</v>
      </c>
      <c r="Q1817">
        <v>1</v>
      </c>
      <c r="R1817">
        <v>1</v>
      </c>
      <c r="S1817">
        <v>0</v>
      </c>
      <c r="T1817">
        <v>5</v>
      </c>
      <c r="U1817">
        <v>3</v>
      </c>
      <c r="V1817">
        <v>11</v>
      </c>
      <c r="W1817">
        <v>20</v>
      </c>
      <c r="X1817">
        <v>21</v>
      </c>
      <c r="Y1817">
        <v>12</v>
      </c>
      <c r="Z1817">
        <v>3</v>
      </c>
      <c r="AA1817">
        <v>4</v>
      </c>
      <c r="AB1817">
        <v>1</v>
      </c>
      <c r="AC1817">
        <v>1</v>
      </c>
      <c r="AD1817">
        <v>5</v>
      </c>
      <c r="AE1817">
        <v>4</v>
      </c>
      <c r="AF1817">
        <v>9</v>
      </c>
      <c r="AG1817">
        <v>5</v>
      </c>
      <c r="AH1817">
        <v>0</v>
      </c>
      <c r="AI1817">
        <v>0</v>
      </c>
    </row>
    <row r="1818" spans="1:35" hidden="1" x14ac:dyDescent="0.25">
      <c r="A1818">
        <v>2019</v>
      </c>
      <c r="B1818" s="1">
        <v>43661</v>
      </c>
      <c r="C1818">
        <v>10</v>
      </c>
      <c r="D1818">
        <v>2600</v>
      </c>
      <c r="E1818">
        <v>22600</v>
      </c>
      <c r="F1818" t="s">
        <v>394</v>
      </c>
      <c r="G1818" t="s">
        <v>89</v>
      </c>
      <c r="H1818" t="s">
        <v>441</v>
      </c>
      <c r="I1818" t="s">
        <v>431</v>
      </c>
      <c r="J1818">
        <v>17</v>
      </c>
      <c r="K1818">
        <v>5</v>
      </c>
      <c r="L1818">
        <v>13150000</v>
      </c>
      <c r="M1818">
        <v>13250000</v>
      </c>
      <c r="N1818">
        <v>29</v>
      </c>
      <c r="O1818" t="s">
        <v>41</v>
      </c>
      <c r="P1818">
        <v>1</v>
      </c>
      <c r="Q1818">
        <v>2</v>
      </c>
      <c r="R1818">
        <v>1</v>
      </c>
      <c r="S1818">
        <v>0</v>
      </c>
      <c r="T1818">
        <v>5</v>
      </c>
      <c r="U1818">
        <v>10</v>
      </c>
      <c r="V1818">
        <v>14</v>
      </c>
      <c r="W1818">
        <v>13</v>
      </c>
      <c r="X1818">
        <v>14</v>
      </c>
      <c r="Y1818">
        <v>15</v>
      </c>
      <c r="Z1818">
        <v>8</v>
      </c>
      <c r="AA1818">
        <v>2</v>
      </c>
      <c r="AB1818">
        <v>1</v>
      </c>
      <c r="AC1818">
        <v>1</v>
      </c>
      <c r="AD1818">
        <v>3</v>
      </c>
      <c r="AE1818">
        <v>6</v>
      </c>
      <c r="AF1818">
        <v>6</v>
      </c>
      <c r="AG1818">
        <v>7</v>
      </c>
      <c r="AH1818">
        <v>-1</v>
      </c>
      <c r="AI1818">
        <v>0</v>
      </c>
    </row>
    <row r="1819" spans="1:35" hidden="1" x14ac:dyDescent="0.25">
      <c r="A1819">
        <v>2019</v>
      </c>
      <c r="B1819" s="1">
        <v>43597</v>
      </c>
      <c r="C1819">
        <v>4</v>
      </c>
      <c r="D1819">
        <v>36624</v>
      </c>
      <c r="E1819">
        <v>49205</v>
      </c>
      <c r="F1819" t="s">
        <v>88</v>
      </c>
      <c r="G1819" t="s">
        <v>83</v>
      </c>
      <c r="H1819" t="s">
        <v>379</v>
      </c>
      <c r="I1819" t="s">
        <v>85</v>
      </c>
      <c r="J1819">
        <v>11</v>
      </c>
      <c r="K1819">
        <v>18</v>
      </c>
      <c r="L1819">
        <v>30400000</v>
      </c>
      <c r="M1819">
        <v>53850000</v>
      </c>
      <c r="N1819">
        <v>29</v>
      </c>
      <c r="O1819" t="s">
        <v>151</v>
      </c>
      <c r="P1819">
        <v>0</v>
      </c>
      <c r="Q1819">
        <v>0</v>
      </c>
      <c r="R1819">
        <v>0</v>
      </c>
      <c r="S1819">
        <v>0</v>
      </c>
      <c r="T1819">
        <v>3</v>
      </c>
      <c r="U1819">
        <v>2</v>
      </c>
      <c r="V1819">
        <v>13</v>
      </c>
      <c r="W1819">
        <v>18</v>
      </c>
      <c r="X1819">
        <v>19</v>
      </c>
      <c r="Y1819">
        <v>13</v>
      </c>
      <c r="Z1819">
        <v>1</v>
      </c>
      <c r="AA1819">
        <v>5</v>
      </c>
      <c r="AB1819">
        <v>0</v>
      </c>
      <c r="AC1819">
        <v>1</v>
      </c>
      <c r="AD1819">
        <v>5</v>
      </c>
      <c r="AE1819">
        <v>1</v>
      </c>
      <c r="AF1819">
        <v>2</v>
      </c>
      <c r="AG1819">
        <v>2</v>
      </c>
      <c r="AH1819">
        <v>0</v>
      </c>
      <c r="AI1819">
        <v>0</v>
      </c>
    </row>
    <row r="1820" spans="1:35" hidden="1" x14ac:dyDescent="0.25">
      <c r="A1820">
        <v>2019</v>
      </c>
      <c r="B1820" s="1">
        <v>43667</v>
      </c>
      <c r="C1820">
        <v>11</v>
      </c>
      <c r="D1820">
        <v>34737</v>
      </c>
      <c r="E1820">
        <v>49205</v>
      </c>
      <c r="F1820" t="s">
        <v>88</v>
      </c>
      <c r="G1820" t="s">
        <v>77</v>
      </c>
      <c r="H1820" t="s">
        <v>379</v>
      </c>
      <c r="I1820" t="s">
        <v>446</v>
      </c>
      <c r="J1820">
        <v>5</v>
      </c>
      <c r="K1820">
        <v>3</v>
      </c>
      <c r="L1820">
        <v>47750000</v>
      </c>
      <c r="M1820">
        <v>63500000</v>
      </c>
      <c r="N1820" t="s">
        <v>86</v>
      </c>
      <c r="O1820" t="s">
        <v>116</v>
      </c>
      <c r="P1820">
        <v>1</v>
      </c>
      <c r="Q1820">
        <v>1</v>
      </c>
      <c r="R1820">
        <v>0</v>
      </c>
      <c r="S1820">
        <v>0</v>
      </c>
      <c r="T1820">
        <v>4</v>
      </c>
      <c r="U1820">
        <v>5</v>
      </c>
      <c r="V1820">
        <v>19</v>
      </c>
      <c r="W1820">
        <v>17</v>
      </c>
      <c r="X1820">
        <v>18</v>
      </c>
      <c r="Y1820">
        <v>20</v>
      </c>
      <c r="Z1820">
        <v>1</v>
      </c>
      <c r="AA1820">
        <v>2</v>
      </c>
      <c r="AB1820">
        <v>1</v>
      </c>
      <c r="AC1820">
        <v>1</v>
      </c>
      <c r="AD1820">
        <v>3</v>
      </c>
      <c r="AE1820">
        <v>2</v>
      </c>
      <c r="AF1820">
        <v>8</v>
      </c>
      <c r="AG1820">
        <v>2</v>
      </c>
      <c r="AH1820">
        <v>0</v>
      </c>
      <c r="AI1820">
        <v>0</v>
      </c>
    </row>
    <row r="1821" spans="1:35" hidden="1" x14ac:dyDescent="0.25">
      <c r="A1821">
        <v>2019</v>
      </c>
      <c r="B1821" s="1">
        <v>43775</v>
      </c>
      <c r="C1821">
        <v>31</v>
      </c>
      <c r="D1821">
        <v>22453</v>
      </c>
      <c r="E1821">
        <v>49205</v>
      </c>
      <c r="F1821" t="s">
        <v>88</v>
      </c>
      <c r="G1821" t="s">
        <v>63</v>
      </c>
      <c r="H1821" t="s">
        <v>436</v>
      </c>
      <c r="I1821" t="s">
        <v>40</v>
      </c>
      <c r="J1821">
        <v>8</v>
      </c>
      <c r="K1821">
        <v>12</v>
      </c>
      <c r="L1821">
        <v>39150000</v>
      </c>
      <c r="M1821">
        <v>9150000</v>
      </c>
      <c r="N1821" t="s">
        <v>66</v>
      </c>
      <c r="O1821" t="s">
        <v>174</v>
      </c>
      <c r="P1821">
        <v>3</v>
      </c>
      <c r="Q1821">
        <v>2</v>
      </c>
      <c r="R1821">
        <v>1</v>
      </c>
      <c r="S1821">
        <v>1</v>
      </c>
      <c r="T1821">
        <v>2</v>
      </c>
      <c r="U1821">
        <v>6</v>
      </c>
      <c r="V1821">
        <v>18</v>
      </c>
      <c r="W1821">
        <v>9</v>
      </c>
      <c r="X1821">
        <v>9</v>
      </c>
      <c r="Y1821">
        <v>18</v>
      </c>
      <c r="Z1821">
        <v>6</v>
      </c>
      <c r="AA1821">
        <v>3</v>
      </c>
      <c r="AB1821">
        <v>1</v>
      </c>
      <c r="AC1821">
        <v>1</v>
      </c>
      <c r="AD1821">
        <v>15</v>
      </c>
      <c r="AE1821">
        <v>13</v>
      </c>
      <c r="AF1821">
        <v>6</v>
      </c>
      <c r="AG1821">
        <v>3</v>
      </c>
      <c r="AH1821">
        <v>1</v>
      </c>
      <c r="AI1821">
        <v>1</v>
      </c>
    </row>
    <row r="1822" spans="1:35" hidden="1" x14ac:dyDescent="0.25">
      <c r="A1822">
        <v>2019</v>
      </c>
      <c r="B1822" s="1">
        <v>43583</v>
      </c>
      <c r="C1822">
        <v>1</v>
      </c>
      <c r="D1822">
        <v>12839</v>
      </c>
      <c r="E1822">
        <v>42372</v>
      </c>
      <c r="F1822" t="s">
        <v>69</v>
      </c>
      <c r="G1822" t="s">
        <v>82</v>
      </c>
      <c r="H1822" t="s">
        <v>333</v>
      </c>
      <c r="I1822" t="s">
        <v>451</v>
      </c>
      <c r="J1822">
        <v>3</v>
      </c>
      <c r="K1822">
        <v>18</v>
      </c>
      <c r="L1822">
        <v>17300000</v>
      </c>
      <c r="M1822">
        <v>9600000</v>
      </c>
      <c r="N1822" t="s">
        <v>151</v>
      </c>
      <c r="O1822" t="s">
        <v>176</v>
      </c>
      <c r="P1822">
        <v>4</v>
      </c>
      <c r="Q1822">
        <v>1</v>
      </c>
      <c r="R1822">
        <v>2</v>
      </c>
      <c r="S1822">
        <v>0</v>
      </c>
      <c r="T1822">
        <v>4</v>
      </c>
      <c r="U1822">
        <v>0</v>
      </c>
      <c r="V1822">
        <v>14</v>
      </c>
      <c r="W1822">
        <v>15</v>
      </c>
      <c r="X1822">
        <v>16</v>
      </c>
      <c r="Y1822">
        <v>15</v>
      </c>
      <c r="Z1822">
        <v>5</v>
      </c>
      <c r="AA1822">
        <v>7</v>
      </c>
      <c r="AB1822">
        <v>1</v>
      </c>
      <c r="AC1822">
        <v>1</v>
      </c>
      <c r="AD1822">
        <v>10</v>
      </c>
      <c r="AE1822">
        <v>6</v>
      </c>
      <c r="AF1822">
        <v>7</v>
      </c>
      <c r="AG1822">
        <v>8</v>
      </c>
      <c r="AH1822">
        <v>3</v>
      </c>
      <c r="AI1822">
        <v>1</v>
      </c>
    </row>
    <row r="1823" spans="1:35" hidden="1" x14ac:dyDescent="0.25">
      <c r="A1823">
        <v>2019</v>
      </c>
      <c r="B1823" s="1">
        <v>43604</v>
      </c>
      <c r="C1823">
        <v>5</v>
      </c>
      <c r="D1823">
        <v>19409</v>
      </c>
      <c r="E1823">
        <v>42372</v>
      </c>
      <c r="F1823" t="s">
        <v>69</v>
      </c>
      <c r="G1823" t="s">
        <v>88</v>
      </c>
      <c r="H1823" t="s">
        <v>333</v>
      </c>
      <c r="I1823" t="s">
        <v>379</v>
      </c>
      <c r="J1823">
        <v>6</v>
      </c>
      <c r="K1823">
        <v>12</v>
      </c>
      <c r="L1823">
        <v>12200000</v>
      </c>
      <c r="M1823">
        <v>27650000</v>
      </c>
      <c r="N1823" t="s">
        <v>171</v>
      </c>
      <c r="O1823" t="s">
        <v>109</v>
      </c>
      <c r="P1823">
        <v>0</v>
      </c>
      <c r="Q1823">
        <v>2</v>
      </c>
      <c r="R1823">
        <v>0</v>
      </c>
      <c r="S1823">
        <v>1</v>
      </c>
      <c r="T1823">
        <v>11</v>
      </c>
      <c r="U1823">
        <v>3</v>
      </c>
      <c r="V1823">
        <v>16</v>
      </c>
      <c r="W1823">
        <v>11</v>
      </c>
      <c r="X1823">
        <v>12</v>
      </c>
      <c r="Y1823">
        <v>19</v>
      </c>
      <c r="Z1823">
        <v>1</v>
      </c>
      <c r="AA1823">
        <v>3</v>
      </c>
      <c r="AB1823">
        <v>3</v>
      </c>
      <c r="AC1823">
        <v>1</v>
      </c>
      <c r="AD1823">
        <v>3</v>
      </c>
      <c r="AE1823">
        <v>3</v>
      </c>
      <c r="AF1823">
        <v>8</v>
      </c>
      <c r="AG1823">
        <v>2</v>
      </c>
      <c r="AH1823">
        <v>-2</v>
      </c>
      <c r="AI1823">
        <v>0</v>
      </c>
    </row>
    <row r="1824" spans="1:35" hidden="1" x14ac:dyDescent="0.25">
      <c r="A1824">
        <v>2019</v>
      </c>
      <c r="B1824" s="1">
        <v>43597</v>
      </c>
      <c r="C1824">
        <v>4</v>
      </c>
      <c r="D1824">
        <v>24368</v>
      </c>
      <c r="E1824">
        <v>57000</v>
      </c>
      <c r="F1824" t="s">
        <v>89</v>
      </c>
      <c r="G1824" t="s">
        <v>95</v>
      </c>
      <c r="H1824" t="s">
        <v>431</v>
      </c>
      <c r="I1824" t="s">
        <v>336</v>
      </c>
      <c r="J1824">
        <v>1</v>
      </c>
      <c r="K1824">
        <v>2</v>
      </c>
      <c r="L1824">
        <v>23900000</v>
      </c>
      <c r="M1824">
        <v>43750000</v>
      </c>
      <c r="N1824" t="s">
        <v>205</v>
      </c>
      <c r="O1824" t="s">
        <v>66</v>
      </c>
      <c r="P1824">
        <v>0</v>
      </c>
      <c r="Q1824">
        <v>2</v>
      </c>
      <c r="R1824">
        <v>0</v>
      </c>
      <c r="S1824">
        <v>1</v>
      </c>
      <c r="T1824">
        <v>8</v>
      </c>
      <c r="U1824">
        <v>3</v>
      </c>
      <c r="V1824">
        <v>19</v>
      </c>
      <c r="W1824">
        <v>19</v>
      </c>
      <c r="X1824">
        <v>20</v>
      </c>
      <c r="Y1824">
        <v>19</v>
      </c>
      <c r="Z1824">
        <v>5</v>
      </c>
      <c r="AA1824">
        <v>3</v>
      </c>
      <c r="AB1824">
        <v>0</v>
      </c>
      <c r="AC1824">
        <v>1</v>
      </c>
      <c r="AD1824">
        <v>3</v>
      </c>
      <c r="AE1824">
        <v>7</v>
      </c>
      <c r="AF1824">
        <v>4</v>
      </c>
      <c r="AG1824">
        <v>6</v>
      </c>
      <c r="AH1824">
        <v>-2</v>
      </c>
      <c r="AI1824">
        <v>0</v>
      </c>
    </row>
    <row r="1825" spans="1:35" hidden="1" x14ac:dyDescent="0.25">
      <c r="A1825">
        <v>2019</v>
      </c>
      <c r="B1825" s="1">
        <v>43738</v>
      </c>
      <c r="C1825">
        <v>22</v>
      </c>
      <c r="D1825">
        <v>6131</v>
      </c>
      <c r="E1825">
        <v>23018</v>
      </c>
      <c r="F1825" t="s">
        <v>89</v>
      </c>
      <c r="G1825" t="s">
        <v>361</v>
      </c>
      <c r="H1825" t="s">
        <v>431</v>
      </c>
      <c r="I1825" t="s">
        <v>420</v>
      </c>
      <c r="J1825">
        <v>10</v>
      </c>
      <c r="K1825">
        <v>14</v>
      </c>
      <c r="L1825">
        <v>26650000</v>
      </c>
      <c r="M1825">
        <v>9250000</v>
      </c>
      <c r="N1825" t="s">
        <v>105</v>
      </c>
      <c r="O1825">
        <v>29</v>
      </c>
      <c r="P1825">
        <v>2</v>
      </c>
      <c r="Q1825">
        <v>1</v>
      </c>
      <c r="R1825">
        <v>0</v>
      </c>
      <c r="S1825">
        <v>1</v>
      </c>
      <c r="T1825">
        <v>5</v>
      </c>
      <c r="U1825">
        <v>8</v>
      </c>
      <c r="V1825">
        <v>255</v>
      </c>
      <c r="W1825">
        <v>255</v>
      </c>
      <c r="X1825">
        <v>11</v>
      </c>
      <c r="Y1825">
        <v>13</v>
      </c>
      <c r="Z1825">
        <v>0</v>
      </c>
      <c r="AA1825">
        <v>4</v>
      </c>
      <c r="AB1825">
        <v>0</v>
      </c>
      <c r="AC1825">
        <v>1</v>
      </c>
      <c r="AD1825">
        <v>0</v>
      </c>
      <c r="AE1825">
        <v>4</v>
      </c>
      <c r="AF1825">
        <v>12</v>
      </c>
      <c r="AG1825">
        <v>3</v>
      </c>
      <c r="AH1825">
        <v>1</v>
      </c>
      <c r="AI1825">
        <v>1</v>
      </c>
    </row>
    <row r="1826" spans="1:35" hidden="1" x14ac:dyDescent="0.25">
      <c r="A1826">
        <v>2019</v>
      </c>
      <c r="B1826" s="1">
        <v>43758</v>
      </c>
      <c r="C1826">
        <v>27</v>
      </c>
      <c r="D1826">
        <v>21771</v>
      </c>
      <c r="E1826">
        <v>23018</v>
      </c>
      <c r="F1826" t="s">
        <v>89</v>
      </c>
      <c r="G1826" t="s">
        <v>419</v>
      </c>
      <c r="H1826" t="s">
        <v>429</v>
      </c>
      <c r="I1826" t="s">
        <v>329</v>
      </c>
      <c r="J1826">
        <v>12</v>
      </c>
      <c r="K1826">
        <v>3</v>
      </c>
      <c r="L1826">
        <v>20900000</v>
      </c>
      <c r="M1826">
        <v>28850000</v>
      </c>
      <c r="N1826" t="s">
        <v>235</v>
      </c>
      <c r="O1826" t="s">
        <v>117</v>
      </c>
      <c r="P1826">
        <v>2</v>
      </c>
      <c r="Q1826">
        <v>0</v>
      </c>
      <c r="R1826">
        <v>2</v>
      </c>
      <c r="S1826">
        <v>0</v>
      </c>
      <c r="T1826">
        <v>3</v>
      </c>
      <c r="U1826">
        <v>7</v>
      </c>
      <c r="V1826">
        <v>24</v>
      </c>
      <c r="W1826">
        <v>14</v>
      </c>
      <c r="X1826">
        <v>14</v>
      </c>
      <c r="Y1826">
        <v>23</v>
      </c>
      <c r="Z1826">
        <v>1</v>
      </c>
      <c r="AA1826">
        <v>2</v>
      </c>
      <c r="AB1826">
        <v>1</v>
      </c>
      <c r="AC1826">
        <v>1</v>
      </c>
      <c r="AD1826">
        <v>9</v>
      </c>
      <c r="AE1826">
        <v>12</v>
      </c>
      <c r="AF1826">
        <v>4</v>
      </c>
      <c r="AG1826">
        <v>7</v>
      </c>
      <c r="AH1826">
        <v>2</v>
      </c>
      <c r="AI1826">
        <v>1</v>
      </c>
    </row>
    <row r="1827" spans="1:35" hidden="1" x14ac:dyDescent="0.25">
      <c r="A1827">
        <v>2019</v>
      </c>
      <c r="B1827" s="1">
        <v>43604</v>
      </c>
      <c r="C1827">
        <v>5</v>
      </c>
      <c r="D1827">
        <v>27194</v>
      </c>
      <c r="E1827">
        <v>56000</v>
      </c>
      <c r="F1827" t="s">
        <v>37</v>
      </c>
      <c r="G1827" t="s">
        <v>443</v>
      </c>
      <c r="H1827" t="s">
        <v>328</v>
      </c>
      <c r="I1827" t="s">
        <v>408</v>
      </c>
      <c r="J1827">
        <v>9</v>
      </c>
      <c r="K1827">
        <v>17</v>
      </c>
      <c r="L1827">
        <v>25950000</v>
      </c>
      <c r="M1827">
        <v>9550000</v>
      </c>
      <c r="N1827" t="s">
        <v>74</v>
      </c>
      <c r="O1827" t="s">
        <v>92</v>
      </c>
      <c r="P1827">
        <v>2</v>
      </c>
      <c r="Q1827">
        <v>0</v>
      </c>
      <c r="R1827">
        <v>1</v>
      </c>
      <c r="S1827">
        <v>0</v>
      </c>
      <c r="T1827">
        <v>4</v>
      </c>
      <c r="U1827">
        <v>3</v>
      </c>
      <c r="V1827">
        <v>11</v>
      </c>
      <c r="W1827">
        <v>10</v>
      </c>
      <c r="X1827">
        <v>11</v>
      </c>
      <c r="Y1827">
        <v>15</v>
      </c>
      <c r="Z1827">
        <v>5</v>
      </c>
      <c r="AA1827">
        <v>6</v>
      </c>
      <c r="AB1827">
        <v>4</v>
      </c>
      <c r="AC1827">
        <v>1</v>
      </c>
      <c r="AD1827">
        <v>8</v>
      </c>
      <c r="AE1827">
        <v>5</v>
      </c>
      <c r="AF1827">
        <v>4</v>
      </c>
      <c r="AG1827">
        <v>5</v>
      </c>
      <c r="AH1827">
        <v>2</v>
      </c>
      <c r="AI1827">
        <v>1</v>
      </c>
    </row>
    <row r="1828" spans="1:35" hidden="1" x14ac:dyDescent="0.25">
      <c r="A1828">
        <v>2019</v>
      </c>
      <c r="B1828" s="1">
        <v>43619</v>
      </c>
      <c r="C1828">
        <v>7</v>
      </c>
      <c r="D1828">
        <v>21596</v>
      </c>
      <c r="E1828">
        <v>56000</v>
      </c>
      <c r="F1828" t="s">
        <v>37</v>
      </c>
      <c r="G1828" t="s">
        <v>365</v>
      </c>
      <c r="H1828" t="s">
        <v>328</v>
      </c>
      <c r="I1828" t="s">
        <v>447</v>
      </c>
      <c r="J1828">
        <v>7</v>
      </c>
      <c r="K1828">
        <v>19</v>
      </c>
      <c r="L1828">
        <v>25150000</v>
      </c>
      <c r="M1828">
        <v>4350000</v>
      </c>
      <c r="N1828" t="s">
        <v>174</v>
      </c>
      <c r="O1828" t="s">
        <v>80</v>
      </c>
      <c r="P1828">
        <v>2</v>
      </c>
      <c r="Q1828">
        <v>0</v>
      </c>
      <c r="R1828">
        <v>0</v>
      </c>
      <c r="S1828">
        <v>0</v>
      </c>
      <c r="T1828">
        <v>5</v>
      </c>
      <c r="U1828">
        <v>7</v>
      </c>
      <c r="V1828">
        <v>8</v>
      </c>
      <c r="W1828">
        <v>12</v>
      </c>
      <c r="X1828">
        <v>13</v>
      </c>
      <c r="Y1828">
        <v>12</v>
      </c>
      <c r="Z1828">
        <v>0</v>
      </c>
      <c r="AA1828">
        <v>4</v>
      </c>
      <c r="AB1828">
        <v>4</v>
      </c>
      <c r="AC1828">
        <v>1</v>
      </c>
      <c r="AD1828">
        <v>6</v>
      </c>
      <c r="AE1828">
        <v>1</v>
      </c>
      <c r="AF1828">
        <v>2</v>
      </c>
      <c r="AG1828">
        <v>3</v>
      </c>
      <c r="AH1828">
        <v>2</v>
      </c>
      <c r="AI1828">
        <v>1</v>
      </c>
    </row>
    <row r="1829" spans="1:35" hidden="1" x14ac:dyDescent="0.25">
      <c r="A1829">
        <v>2019</v>
      </c>
      <c r="B1829" s="1">
        <v>43737</v>
      </c>
      <c r="C1829">
        <v>22</v>
      </c>
      <c r="D1829">
        <v>23114</v>
      </c>
      <c r="E1829">
        <v>56000</v>
      </c>
      <c r="F1829" t="s">
        <v>37</v>
      </c>
      <c r="G1829" t="s">
        <v>95</v>
      </c>
      <c r="H1829" t="s">
        <v>328</v>
      </c>
      <c r="I1829" t="s">
        <v>240</v>
      </c>
      <c r="J1829">
        <v>5</v>
      </c>
      <c r="K1829">
        <v>2</v>
      </c>
      <c r="L1829">
        <v>25750000</v>
      </c>
      <c r="M1829">
        <v>56750000</v>
      </c>
      <c r="N1829" t="s">
        <v>41</v>
      </c>
      <c r="O1829" t="s">
        <v>174</v>
      </c>
      <c r="P1829">
        <v>1</v>
      </c>
      <c r="Q1829">
        <v>1</v>
      </c>
      <c r="R1829">
        <v>1</v>
      </c>
      <c r="S1829">
        <v>0</v>
      </c>
      <c r="T1829">
        <v>3</v>
      </c>
      <c r="U1829">
        <v>3</v>
      </c>
      <c r="V1829">
        <v>255</v>
      </c>
      <c r="W1829">
        <v>255</v>
      </c>
      <c r="X1829">
        <v>14</v>
      </c>
      <c r="Y1829">
        <v>27</v>
      </c>
      <c r="Z1829">
        <v>4</v>
      </c>
      <c r="AA1829">
        <v>5</v>
      </c>
      <c r="AB1829">
        <v>0</v>
      </c>
      <c r="AC1829">
        <v>1</v>
      </c>
      <c r="AD1829">
        <v>4</v>
      </c>
      <c r="AE1829">
        <v>5</v>
      </c>
      <c r="AF1829">
        <v>8</v>
      </c>
      <c r="AG1829">
        <v>4</v>
      </c>
      <c r="AH1829">
        <v>0</v>
      </c>
      <c r="AI1829">
        <v>0</v>
      </c>
    </row>
    <row r="1830" spans="1:35" hidden="1" x14ac:dyDescent="0.25">
      <c r="A1830">
        <v>2019</v>
      </c>
      <c r="B1830" s="1">
        <v>43807</v>
      </c>
      <c r="C1830">
        <v>38</v>
      </c>
      <c r="D1830">
        <v>18616</v>
      </c>
      <c r="E1830">
        <v>56000</v>
      </c>
      <c r="F1830" t="s">
        <v>37</v>
      </c>
      <c r="G1830" t="s">
        <v>89</v>
      </c>
      <c r="H1830" t="s">
        <v>323</v>
      </c>
      <c r="I1830" t="s">
        <v>429</v>
      </c>
      <c r="J1830">
        <v>8</v>
      </c>
      <c r="K1830">
        <v>12</v>
      </c>
      <c r="L1830">
        <v>24850000</v>
      </c>
      <c r="M1830">
        <v>16050000</v>
      </c>
      <c r="N1830" t="s">
        <v>100</v>
      </c>
      <c r="O1830" t="s">
        <v>134</v>
      </c>
      <c r="P1830">
        <v>2</v>
      </c>
      <c r="Q1830">
        <v>1</v>
      </c>
      <c r="R1830">
        <v>0</v>
      </c>
      <c r="S1830">
        <v>1</v>
      </c>
      <c r="T1830">
        <v>18</v>
      </c>
      <c r="U1830">
        <v>3</v>
      </c>
      <c r="V1830">
        <v>11</v>
      </c>
      <c r="W1830">
        <v>16</v>
      </c>
      <c r="X1830">
        <v>16</v>
      </c>
      <c r="Y1830">
        <v>11</v>
      </c>
      <c r="Z1830">
        <v>3</v>
      </c>
      <c r="AA1830">
        <v>5</v>
      </c>
      <c r="AB1830">
        <v>2</v>
      </c>
      <c r="AC1830">
        <v>1</v>
      </c>
      <c r="AD1830">
        <v>20</v>
      </c>
      <c r="AE1830">
        <v>10</v>
      </c>
      <c r="AF1830">
        <v>5</v>
      </c>
      <c r="AG1830">
        <v>5</v>
      </c>
      <c r="AH1830">
        <v>1</v>
      </c>
      <c r="AI1830">
        <v>1</v>
      </c>
    </row>
    <row r="1831" spans="1:35" hidden="1" x14ac:dyDescent="0.25">
      <c r="A1831">
        <v>2019</v>
      </c>
      <c r="B1831" s="1">
        <v>43587</v>
      </c>
      <c r="C1831">
        <v>2</v>
      </c>
      <c r="D1831">
        <v>6745</v>
      </c>
      <c r="E1831">
        <v>24584</v>
      </c>
      <c r="F1831" t="s">
        <v>82</v>
      </c>
      <c r="G1831" t="s">
        <v>89</v>
      </c>
      <c r="H1831" t="s">
        <v>451</v>
      </c>
      <c r="I1831" t="s">
        <v>431</v>
      </c>
      <c r="J1831">
        <v>18</v>
      </c>
      <c r="K1831">
        <v>8</v>
      </c>
      <c r="L1831">
        <v>10250000</v>
      </c>
      <c r="M1831">
        <v>22150000</v>
      </c>
      <c r="N1831" t="s">
        <v>332</v>
      </c>
      <c r="O1831">
        <v>30</v>
      </c>
      <c r="P1831">
        <v>1</v>
      </c>
      <c r="Q1831">
        <v>2</v>
      </c>
      <c r="R1831">
        <v>0</v>
      </c>
      <c r="S1831">
        <v>0</v>
      </c>
      <c r="T1831">
        <v>8</v>
      </c>
      <c r="U1831">
        <v>4</v>
      </c>
      <c r="V1831">
        <v>12</v>
      </c>
      <c r="W1831">
        <v>9</v>
      </c>
      <c r="X1831">
        <v>10</v>
      </c>
      <c r="Y1831">
        <v>12</v>
      </c>
      <c r="Z1831">
        <v>2</v>
      </c>
      <c r="AA1831">
        <v>2</v>
      </c>
      <c r="AB1831">
        <v>0</v>
      </c>
      <c r="AC1831">
        <v>1</v>
      </c>
      <c r="AD1831">
        <v>3</v>
      </c>
      <c r="AE1831">
        <v>4</v>
      </c>
      <c r="AF1831">
        <v>10</v>
      </c>
      <c r="AG1831">
        <v>1</v>
      </c>
      <c r="AH1831">
        <v>-1</v>
      </c>
      <c r="AI1831">
        <v>0</v>
      </c>
    </row>
    <row r="1832" spans="1:35" hidden="1" x14ac:dyDescent="0.25">
      <c r="A1832">
        <v>2019</v>
      </c>
      <c r="B1832" s="1">
        <v>43666</v>
      </c>
      <c r="C1832">
        <v>11</v>
      </c>
      <c r="D1832">
        <v>20904</v>
      </c>
      <c r="E1832">
        <v>24584</v>
      </c>
      <c r="F1832" t="s">
        <v>82</v>
      </c>
      <c r="G1832" t="s">
        <v>55</v>
      </c>
      <c r="H1832" t="s">
        <v>317</v>
      </c>
      <c r="I1832" t="s">
        <v>57</v>
      </c>
      <c r="J1832">
        <v>17</v>
      </c>
      <c r="K1832">
        <v>15</v>
      </c>
      <c r="L1832">
        <v>15850000</v>
      </c>
      <c r="M1832">
        <v>38500000</v>
      </c>
      <c r="N1832" t="s">
        <v>114</v>
      </c>
      <c r="O1832" t="s">
        <v>149</v>
      </c>
      <c r="P1832">
        <v>2</v>
      </c>
      <c r="Q1832">
        <v>1</v>
      </c>
      <c r="R1832">
        <v>0</v>
      </c>
      <c r="S1832">
        <v>1</v>
      </c>
      <c r="T1832">
        <v>3</v>
      </c>
      <c r="U1832">
        <v>2</v>
      </c>
      <c r="V1832">
        <v>26</v>
      </c>
      <c r="W1832">
        <v>22</v>
      </c>
      <c r="X1832">
        <v>23</v>
      </c>
      <c r="Y1832">
        <v>30</v>
      </c>
      <c r="Z1832">
        <v>1</v>
      </c>
      <c r="AA1832">
        <v>3</v>
      </c>
      <c r="AB1832">
        <v>4</v>
      </c>
      <c r="AC1832">
        <v>1</v>
      </c>
      <c r="AD1832">
        <v>5</v>
      </c>
      <c r="AE1832">
        <v>2</v>
      </c>
      <c r="AF1832">
        <v>5</v>
      </c>
      <c r="AG1832">
        <v>3</v>
      </c>
      <c r="AH1832">
        <v>1</v>
      </c>
      <c r="AI1832">
        <v>1</v>
      </c>
    </row>
    <row r="1833" spans="1:35" hidden="1" x14ac:dyDescent="0.25">
      <c r="A1833">
        <v>2019</v>
      </c>
      <c r="B1833" s="1">
        <v>43756</v>
      </c>
      <c r="C1833">
        <v>26</v>
      </c>
      <c r="D1833">
        <v>6377</v>
      </c>
      <c r="E1833">
        <v>17800</v>
      </c>
      <c r="F1833" t="s">
        <v>365</v>
      </c>
      <c r="G1833" t="s">
        <v>37</v>
      </c>
      <c r="H1833" t="s">
        <v>448</v>
      </c>
      <c r="I1833" t="s">
        <v>158</v>
      </c>
      <c r="J1833">
        <v>19</v>
      </c>
      <c r="K1833">
        <v>7</v>
      </c>
      <c r="L1833">
        <v>4850000</v>
      </c>
      <c r="M1833">
        <v>20650000</v>
      </c>
      <c r="N1833" t="s">
        <v>104</v>
      </c>
      <c r="O1833" t="s">
        <v>116</v>
      </c>
      <c r="P1833">
        <v>0</v>
      </c>
      <c r="Q1833">
        <v>2</v>
      </c>
      <c r="R1833">
        <v>0</v>
      </c>
      <c r="S1833">
        <v>1</v>
      </c>
      <c r="T1833">
        <v>6</v>
      </c>
      <c r="U1833">
        <v>8</v>
      </c>
      <c r="V1833">
        <v>7</v>
      </c>
      <c r="W1833">
        <v>16</v>
      </c>
      <c r="X1833">
        <v>14</v>
      </c>
      <c r="Y1833">
        <v>7</v>
      </c>
      <c r="Z1833">
        <v>8</v>
      </c>
      <c r="AA1833">
        <v>6</v>
      </c>
      <c r="AB1833">
        <v>0</v>
      </c>
      <c r="AC1833">
        <v>2</v>
      </c>
      <c r="AD1833">
        <v>17</v>
      </c>
      <c r="AE1833">
        <v>26</v>
      </c>
      <c r="AF1833">
        <v>6</v>
      </c>
      <c r="AG1833">
        <v>11</v>
      </c>
      <c r="AH1833">
        <v>-2</v>
      </c>
      <c r="AI1833">
        <v>0</v>
      </c>
    </row>
    <row r="1834" spans="1:35" hidden="1" x14ac:dyDescent="0.25">
      <c r="A1834">
        <v>2019</v>
      </c>
      <c r="B1834" s="1">
        <v>43793</v>
      </c>
      <c r="C1834">
        <v>34</v>
      </c>
      <c r="D1834">
        <v>22548</v>
      </c>
      <c r="E1834">
        <v>46931</v>
      </c>
      <c r="F1834" t="s">
        <v>51</v>
      </c>
      <c r="G1834" t="s">
        <v>88</v>
      </c>
      <c r="H1834" t="s">
        <v>378</v>
      </c>
      <c r="I1834" t="s">
        <v>436</v>
      </c>
      <c r="J1834">
        <v>14</v>
      </c>
      <c r="K1834">
        <v>8</v>
      </c>
      <c r="L1834">
        <v>14150000</v>
      </c>
      <c r="M1834">
        <v>48250000</v>
      </c>
      <c r="N1834" t="s">
        <v>239</v>
      </c>
      <c r="O1834" t="s">
        <v>174</v>
      </c>
      <c r="P1834">
        <v>1</v>
      </c>
      <c r="Q1834">
        <v>0</v>
      </c>
      <c r="R1834">
        <v>1</v>
      </c>
      <c r="S1834">
        <v>0</v>
      </c>
      <c r="T1834">
        <v>2</v>
      </c>
      <c r="U1834">
        <v>8</v>
      </c>
      <c r="V1834">
        <v>11</v>
      </c>
      <c r="W1834">
        <v>19</v>
      </c>
      <c r="X1834">
        <v>18</v>
      </c>
      <c r="Y1834">
        <v>11</v>
      </c>
      <c r="Z1834">
        <v>5</v>
      </c>
      <c r="AA1834">
        <v>4</v>
      </c>
      <c r="AB1834">
        <v>2</v>
      </c>
      <c r="AC1834">
        <v>2</v>
      </c>
      <c r="AD1834">
        <v>8</v>
      </c>
      <c r="AE1834">
        <v>25</v>
      </c>
      <c r="AF1834">
        <v>2</v>
      </c>
      <c r="AG1834">
        <v>12</v>
      </c>
      <c r="AH1834">
        <v>1</v>
      </c>
      <c r="AI1834">
        <v>1</v>
      </c>
    </row>
    <row r="1835" spans="1:35" hidden="1" x14ac:dyDescent="0.25">
      <c r="A1835">
        <v>2019</v>
      </c>
      <c r="B1835" s="1">
        <v>43807</v>
      </c>
      <c r="C1835">
        <v>38</v>
      </c>
      <c r="D1835">
        <v>25900</v>
      </c>
      <c r="E1835">
        <v>46931</v>
      </c>
      <c r="F1835" t="s">
        <v>51</v>
      </c>
      <c r="G1835" t="s">
        <v>361</v>
      </c>
      <c r="H1835" t="s">
        <v>378</v>
      </c>
      <c r="I1835" t="s">
        <v>445</v>
      </c>
      <c r="J1835">
        <v>15</v>
      </c>
      <c r="K1835">
        <v>16</v>
      </c>
      <c r="L1835">
        <v>9450000</v>
      </c>
      <c r="M1835">
        <v>8350000</v>
      </c>
      <c r="N1835" t="s">
        <v>339</v>
      </c>
      <c r="O1835" t="s">
        <v>111</v>
      </c>
      <c r="P1835">
        <v>1</v>
      </c>
      <c r="Q1835">
        <v>1</v>
      </c>
      <c r="R1835">
        <v>1</v>
      </c>
      <c r="S1835">
        <v>0</v>
      </c>
      <c r="T1835">
        <v>3</v>
      </c>
      <c r="U1835">
        <v>6</v>
      </c>
      <c r="V1835">
        <v>12</v>
      </c>
      <c r="W1835">
        <v>19</v>
      </c>
      <c r="X1835">
        <v>16</v>
      </c>
      <c r="Y1835">
        <v>11</v>
      </c>
      <c r="Z1835">
        <v>1</v>
      </c>
      <c r="AA1835">
        <v>1</v>
      </c>
      <c r="AB1835">
        <v>0</v>
      </c>
      <c r="AC1835">
        <v>2</v>
      </c>
      <c r="AD1835">
        <v>15</v>
      </c>
      <c r="AE1835">
        <v>14</v>
      </c>
      <c r="AF1835">
        <v>10</v>
      </c>
      <c r="AG1835">
        <v>6</v>
      </c>
      <c r="AH1835">
        <v>0</v>
      </c>
      <c r="AI1835">
        <v>0</v>
      </c>
    </row>
    <row r="1836" spans="1:35" hidden="1" x14ac:dyDescent="0.25">
      <c r="A1836">
        <v>2019</v>
      </c>
      <c r="B1836" s="1">
        <v>43587</v>
      </c>
      <c r="C1836">
        <v>2</v>
      </c>
      <c r="D1836">
        <v>22677</v>
      </c>
      <c r="E1836">
        <v>57483</v>
      </c>
      <c r="F1836" t="s">
        <v>50</v>
      </c>
      <c r="G1836" t="s">
        <v>361</v>
      </c>
      <c r="H1836" t="s">
        <v>240</v>
      </c>
      <c r="I1836" t="s">
        <v>420</v>
      </c>
      <c r="J1836">
        <v>15</v>
      </c>
      <c r="K1836">
        <v>2</v>
      </c>
      <c r="L1836">
        <v>24000000</v>
      </c>
      <c r="M1836">
        <v>9000000</v>
      </c>
      <c r="N1836" t="s">
        <v>299</v>
      </c>
      <c r="O1836" t="s">
        <v>208</v>
      </c>
      <c r="P1836">
        <v>1</v>
      </c>
      <c r="Q1836">
        <v>0</v>
      </c>
      <c r="R1836">
        <v>0</v>
      </c>
      <c r="S1836">
        <v>0</v>
      </c>
      <c r="T1836">
        <v>2</v>
      </c>
      <c r="U1836">
        <v>3</v>
      </c>
      <c r="V1836">
        <v>9</v>
      </c>
      <c r="W1836">
        <v>11</v>
      </c>
      <c r="X1836">
        <v>13</v>
      </c>
      <c r="Y1836">
        <v>10</v>
      </c>
      <c r="Z1836">
        <v>3</v>
      </c>
      <c r="AA1836">
        <v>3</v>
      </c>
      <c r="AB1836">
        <v>1</v>
      </c>
      <c r="AC1836">
        <v>2</v>
      </c>
      <c r="AD1836">
        <v>4</v>
      </c>
      <c r="AE1836">
        <v>3</v>
      </c>
      <c r="AF1836">
        <v>5</v>
      </c>
      <c r="AG1836">
        <v>3</v>
      </c>
      <c r="AH1836">
        <v>1</v>
      </c>
      <c r="AI1836">
        <v>1</v>
      </c>
    </row>
    <row r="1837" spans="1:35" hidden="1" x14ac:dyDescent="0.25">
      <c r="A1837">
        <v>2019</v>
      </c>
      <c r="B1837" s="1">
        <v>43807</v>
      </c>
      <c r="C1837">
        <v>38</v>
      </c>
      <c r="D1837">
        <v>27229</v>
      </c>
      <c r="E1837">
        <v>57483</v>
      </c>
      <c r="F1837" t="s">
        <v>50</v>
      </c>
      <c r="G1837" t="s">
        <v>95</v>
      </c>
      <c r="H1837" t="s">
        <v>450</v>
      </c>
      <c r="I1837" t="s">
        <v>432</v>
      </c>
      <c r="J1837">
        <v>17</v>
      </c>
      <c r="K1837">
        <v>3</v>
      </c>
      <c r="L1837">
        <v>17750000</v>
      </c>
      <c r="M1837">
        <v>50600000</v>
      </c>
      <c r="N1837" t="s">
        <v>114</v>
      </c>
      <c r="O1837" t="s">
        <v>41</v>
      </c>
      <c r="P1837">
        <v>0</v>
      </c>
      <c r="Q1837">
        <v>2</v>
      </c>
      <c r="R1837">
        <v>0</v>
      </c>
      <c r="S1837">
        <v>0</v>
      </c>
      <c r="T1837">
        <v>4</v>
      </c>
      <c r="U1837">
        <v>3</v>
      </c>
      <c r="V1837">
        <v>11</v>
      </c>
      <c r="W1837">
        <v>11</v>
      </c>
      <c r="X1837">
        <v>10</v>
      </c>
      <c r="Y1837">
        <v>11</v>
      </c>
      <c r="Z1837">
        <v>3</v>
      </c>
      <c r="AA1837">
        <v>3</v>
      </c>
      <c r="AB1837">
        <v>1</v>
      </c>
      <c r="AC1837">
        <v>2</v>
      </c>
      <c r="AD1837">
        <v>9</v>
      </c>
      <c r="AE1837">
        <v>7</v>
      </c>
      <c r="AF1837">
        <v>2</v>
      </c>
      <c r="AG1837">
        <v>3</v>
      </c>
      <c r="AH1837">
        <v>-2</v>
      </c>
      <c r="AI1837">
        <v>0</v>
      </c>
    </row>
    <row r="1838" spans="1:35" hidden="1" x14ac:dyDescent="0.25">
      <c r="A1838">
        <v>2019</v>
      </c>
      <c r="B1838" s="1">
        <v>43612</v>
      </c>
      <c r="C1838">
        <v>6</v>
      </c>
      <c r="D1838">
        <v>21969</v>
      </c>
      <c r="E1838">
        <v>55000</v>
      </c>
      <c r="F1838" t="s">
        <v>38</v>
      </c>
      <c r="G1838" t="s">
        <v>55</v>
      </c>
      <c r="H1838" t="s">
        <v>46</v>
      </c>
      <c r="I1838" t="s">
        <v>57</v>
      </c>
      <c r="J1838">
        <v>11</v>
      </c>
      <c r="K1838">
        <v>13</v>
      </c>
      <c r="L1838">
        <v>15500000</v>
      </c>
      <c r="M1838">
        <v>16450000</v>
      </c>
      <c r="N1838" t="s">
        <v>163</v>
      </c>
      <c r="O1838" t="s">
        <v>171</v>
      </c>
      <c r="P1838">
        <v>3</v>
      </c>
      <c r="Q1838">
        <v>2</v>
      </c>
      <c r="R1838">
        <v>2</v>
      </c>
      <c r="S1838">
        <v>1</v>
      </c>
      <c r="T1838">
        <v>3</v>
      </c>
      <c r="U1838">
        <v>3</v>
      </c>
      <c r="V1838">
        <v>8</v>
      </c>
      <c r="W1838">
        <v>10</v>
      </c>
      <c r="X1838">
        <v>12</v>
      </c>
      <c r="Y1838">
        <v>8</v>
      </c>
      <c r="Z1838">
        <v>3</v>
      </c>
      <c r="AA1838">
        <v>3</v>
      </c>
      <c r="AB1838">
        <v>0</v>
      </c>
      <c r="AC1838">
        <v>2</v>
      </c>
      <c r="AD1838">
        <v>6</v>
      </c>
      <c r="AE1838">
        <v>5</v>
      </c>
      <c r="AF1838">
        <v>1</v>
      </c>
      <c r="AG1838">
        <v>4</v>
      </c>
      <c r="AH1838">
        <v>1</v>
      </c>
      <c r="AI1838">
        <v>1</v>
      </c>
    </row>
    <row r="1839" spans="1:35" hidden="1" x14ac:dyDescent="0.25">
      <c r="A1839">
        <v>2019</v>
      </c>
      <c r="B1839" s="1">
        <v>43666</v>
      </c>
      <c r="C1839">
        <v>11</v>
      </c>
      <c r="D1839">
        <v>19040</v>
      </c>
      <c r="E1839">
        <v>55000</v>
      </c>
      <c r="F1839" t="s">
        <v>38</v>
      </c>
      <c r="G1839" t="s">
        <v>50</v>
      </c>
      <c r="H1839" t="s">
        <v>46</v>
      </c>
      <c r="I1839" t="s">
        <v>240</v>
      </c>
      <c r="J1839">
        <v>11</v>
      </c>
      <c r="K1839">
        <v>16</v>
      </c>
      <c r="L1839">
        <v>16550000</v>
      </c>
      <c r="M1839">
        <v>12000000</v>
      </c>
      <c r="N1839" t="s">
        <v>104</v>
      </c>
      <c r="O1839" t="s">
        <v>278</v>
      </c>
      <c r="P1839">
        <v>0</v>
      </c>
      <c r="Q1839">
        <v>0</v>
      </c>
      <c r="R1839">
        <v>0</v>
      </c>
      <c r="S1839">
        <v>0</v>
      </c>
      <c r="T1839">
        <v>5</v>
      </c>
      <c r="U1839">
        <v>5</v>
      </c>
      <c r="V1839">
        <v>18</v>
      </c>
      <c r="W1839">
        <v>7</v>
      </c>
      <c r="X1839">
        <v>9</v>
      </c>
      <c r="Y1839">
        <v>19</v>
      </c>
      <c r="Z1839">
        <v>11</v>
      </c>
      <c r="AA1839">
        <v>8</v>
      </c>
      <c r="AB1839">
        <v>1</v>
      </c>
      <c r="AC1839">
        <v>2</v>
      </c>
      <c r="AD1839">
        <v>1</v>
      </c>
      <c r="AE1839">
        <v>5</v>
      </c>
      <c r="AF1839">
        <v>5</v>
      </c>
      <c r="AG1839">
        <v>3</v>
      </c>
      <c r="AH1839">
        <v>0</v>
      </c>
      <c r="AI1839">
        <v>0</v>
      </c>
    </row>
    <row r="1840" spans="1:35" hidden="1" x14ac:dyDescent="0.25">
      <c r="A1840">
        <v>2019</v>
      </c>
      <c r="B1840" s="1">
        <v>43618</v>
      </c>
      <c r="C1840">
        <v>7</v>
      </c>
      <c r="D1840">
        <v>50809</v>
      </c>
      <c r="E1840">
        <v>60326</v>
      </c>
      <c r="F1840" t="s">
        <v>361</v>
      </c>
      <c r="G1840" t="s">
        <v>419</v>
      </c>
      <c r="H1840" t="s">
        <v>420</v>
      </c>
      <c r="I1840" t="s">
        <v>329</v>
      </c>
      <c r="J1840">
        <v>9</v>
      </c>
      <c r="K1840">
        <v>5</v>
      </c>
      <c r="L1840">
        <v>8950000</v>
      </c>
      <c r="M1840">
        <v>26400000</v>
      </c>
      <c r="N1840">
        <v>29</v>
      </c>
      <c r="O1840" t="s">
        <v>73</v>
      </c>
      <c r="P1840">
        <v>0</v>
      </c>
      <c r="Q1840">
        <v>1</v>
      </c>
      <c r="R1840">
        <v>0</v>
      </c>
      <c r="S1840">
        <v>0</v>
      </c>
      <c r="T1840">
        <v>2</v>
      </c>
      <c r="U1840">
        <v>0</v>
      </c>
      <c r="V1840">
        <v>14</v>
      </c>
      <c r="W1840">
        <v>22</v>
      </c>
      <c r="X1840">
        <v>24</v>
      </c>
      <c r="Y1840">
        <v>14</v>
      </c>
      <c r="Z1840">
        <v>3</v>
      </c>
      <c r="AA1840">
        <v>5</v>
      </c>
      <c r="AB1840">
        <v>0</v>
      </c>
      <c r="AC1840">
        <v>2</v>
      </c>
      <c r="AD1840">
        <v>5</v>
      </c>
      <c r="AE1840">
        <v>4</v>
      </c>
      <c r="AF1840">
        <v>8</v>
      </c>
      <c r="AG1840">
        <v>6</v>
      </c>
      <c r="AH1840">
        <v>-1</v>
      </c>
      <c r="AI1840">
        <v>0</v>
      </c>
    </row>
    <row r="1841" spans="1:35" hidden="1" x14ac:dyDescent="0.25">
      <c r="A1841">
        <v>2019</v>
      </c>
      <c r="B1841" s="1">
        <v>43625</v>
      </c>
      <c r="C1841">
        <v>8</v>
      </c>
      <c r="D1841">
        <v>15566</v>
      </c>
      <c r="E1841">
        <v>60326</v>
      </c>
      <c r="F1841" t="s">
        <v>361</v>
      </c>
      <c r="G1841" t="s">
        <v>38</v>
      </c>
      <c r="H1841" t="s">
        <v>420</v>
      </c>
      <c r="I1841" t="s">
        <v>46</v>
      </c>
      <c r="J1841">
        <v>11</v>
      </c>
      <c r="K1841">
        <v>7</v>
      </c>
      <c r="L1841">
        <v>9300000</v>
      </c>
      <c r="M1841">
        <v>15050000</v>
      </c>
      <c r="N1841" t="s">
        <v>86</v>
      </c>
      <c r="O1841" t="s">
        <v>66</v>
      </c>
      <c r="P1841">
        <v>0</v>
      </c>
      <c r="Q1841">
        <v>0</v>
      </c>
      <c r="R1841">
        <v>0</v>
      </c>
      <c r="S1841">
        <v>0</v>
      </c>
      <c r="T1841">
        <v>9</v>
      </c>
      <c r="U1841">
        <v>1</v>
      </c>
      <c r="V1841">
        <v>12</v>
      </c>
      <c r="W1841">
        <v>10</v>
      </c>
      <c r="X1841">
        <v>12</v>
      </c>
      <c r="Y1841">
        <v>14</v>
      </c>
      <c r="Z1841">
        <v>1</v>
      </c>
      <c r="AA1841">
        <v>5</v>
      </c>
      <c r="AB1841">
        <v>2</v>
      </c>
      <c r="AC1841">
        <v>2</v>
      </c>
      <c r="AD1841">
        <v>5</v>
      </c>
      <c r="AE1841">
        <v>1</v>
      </c>
      <c r="AF1841">
        <v>10</v>
      </c>
      <c r="AG1841">
        <v>6</v>
      </c>
      <c r="AH1841">
        <v>0</v>
      </c>
      <c r="AI1841">
        <v>0</v>
      </c>
    </row>
    <row r="1842" spans="1:35" hidden="1" x14ac:dyDescent="0.25">
      <c r="A1842">
        <v>2019</v>
      </c>
      <c r="B1842" s="1">
        <v>43597</v>
      </c>
      <c r="C1842">
        <v>4</v>
      </c>
      <c r="D1842">
        <v>9493</v>
      </c>
      <c r="E1842">
        <v>50049</v>
      </c>
      <c r="F1842" t="s">
        <v>416</v>
      </c>
      <c r="G1842" t="s">
        <v>361</v>
      </c>
      <c r="H1842" t="s">
        <v>444</v>
      </c>
      <c r="I1842" t="s">
        <v>420</v>
      </c>
      <c r="J1842">
        <v>14</v>
      </c>
      <c r="K1842">
        <v>12</v>
      </c>
      <c r="L1842">
        <v>8000000</v>
      </c>
      <c r="M1842">
        <v>7850000</v>
      </c>
      <c r="N1842" t="s">
        <v>99</v>
      </c>
      <c r="O1842" t="s">
        <v>144</v>
      </c>
      <c r="P1842">
        <v>2</v>
      </c>
      <c r="Q1842">
        <v>1</v>
      </c>
      <c r="R1842">
        <v>1</v>
      </c>
      <c r="S1842">
        <v>0</v>
      </c>
      <c r="T1842">
        <v>2</v>
      </c>
      <c r="U1842">
        <v>7</v>
      </c>
      <c r="V1842">
        <v>20</v>
      </c>
      <c r="W1842">
        <v>12</v>
      </c>
      <c r="X1842">
        <v>14</v>
      </c>
      <c r="Y1842">
        <v>22</v>
      </c>
      <c r="Z1842">
        <v>3</v>
      </c>
      <c r="AA1842">
        <v>4</v>
      </c>
      <c r="AB1842">
        <v>2</v>
      </c>
      <c r="AC1842">
        <v>2</v>
      </c>
      <c r="AD1842">
        <v>6</v>
      </c>
      <c r="AE1842">
        <v>4</v>
      </c>
      <c r="AF1842">
        <v>4</v>
      </c>
      <c r="AG1842">
        <v>7</v>
      </c>
      <c r="AH1842">
        <v>1</v>
      </c>
      <c r="AI1842">
        <v>1</v>
      </c>
    </row>
    <row r="1843" spans="1:35" hidden="1" x14ac:dyDescent="0.25">
      <c r="A1843">
        <v>2019</v>
      </c>
      <c r="B1843" s="1">
        <v>43739</v>
      </c>
      <c r="C1843">
        <v>22</v>
      </c>
      <c r="D1843">
        <v>20884</v>
      </c>
      <c r="E1843">
        <v>50049</v>
      </c>
      <c r="F1843" t="s">
        <v>416</v>
      </c>
      <c r="G1843" t="s">
        <v>50</v>
      </c>
      <c r="H1843" t="s">
        <v>441</v>
      </c>
      <c r="I1843" t="s">
        <v>376</v>
      </c>
      <c r="J1843">
        <v>12</v>
      </c>
      <c r="K1843">
        <v>17</v>
      </c>
      <c r="L1843">
        <v>9300000</v>
      </c>
      <c r="M1843">
        <v>20500000</v>
      </c>
      <c r="N1843" t="s">
        <v>128</v>
      </c>
      <c r="O1843" t="s">
        <v>235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9</v>
      </c>
      <c r="V1843">
        <v>20</v>
      </c>
      <c r="W1843">
        <v>19</v>
      </c>
      <c r="X1843">
        <v>17</v>
      </c>
      <c r="Y1843">
        <v>19</v>
      </c>
      <c r="Z1843">
        <v>1</v>
      </c>
      <c r="AA1843">
        <v>1</v>
      </c>
      <c r="AB1843">
        <v>0</v>
      </c>
      <c r="AC1843">
        <v>2</v>
      </c>
      <c r="AD1843">
        <v>8</v>
      </c>
      <c r="AE1843">
        <v>11</v>
      </c>
      <c r="AF1843">
        <v>6</v>
      </c>
      <c r="AG1843">
        <v>8</v>
      </c>
      <c r="AH1843">
        <v>1</v>
      </c>
      <c r="AI1843">
        <v>1</v>
      </c>
    </row>
    <row r="1844" spans="1:35" hidden="1" x14ac:dyDescent="0.25">
      <c r="A1844">
        <v>2019</v>
      </c>
      <c r="B1844" s="1">
        <v>43807</v>
      </c>
      <c r="C1844">
        <v>38</v>
      </c>
      <c r="D1844">
        <v>7456</v>
      </c>
      <c r="E1844">
        <v>50049</v>
      </c>
      <c r="F1844" t="s">
        <v>416</v>
      </c>
      <c r="G1844" t="s">
        <v>83</v>
      </c>
      <c r="H1844" t="s">
        <v>441</v>
      </c>
      <c r="I1844" t="s">
        <v>85</v>
      </c>
      <c r="J1844">
        <v>10</v>
      </c>
      <c r="K1844">
        <v>4</v>
      </c>
      <c r="L1844">
        <v>10400000</v>
      </c>
      <c r="M1844">
        <v>2800000</v>
      </c>
      <c r="N1844" t="s">
        <v>98</v>
      </c>
      <c r="O1844" t="s">
        <v>435</v>
      </c>
      <c r="P1844">
        <v>3</v>
      </c>
      <c r="Q1844">
        <v>2</v>
      </c>
      <c r="R1844">
        <v>2</v>
      </c>
      <c r="S1844">
        <v>2</v>
      </c>
      <c r="T1844">
        <v>7</v>
      </c>
      <c r="U1844">
        <v>4</v>
      </c>
      <c r="V1844">
        <v>21</v>
      </c>
      <c r="W1844">
        <v>8</v>
      </c>
      <c r="X1844">
        <v>7</v>
      </c>
      <c r="Y1844">
        <v>20</v>
      </c>
      <c r="Z1844">
        <v>4</v>
      </c>
      <c r="AA1844">
        <v>3</v>
      </c>
      <c r="AB1844">
        <v>1</v>
      </c>
      <c r="AC1844">
        <v>2</v>
      </c>
      <c r="AD1844">
        <v>18</v>
      </c>
      <c r="AE1844">
        <v>14</v>
      </c>
      <c r="AF1844">
        <v>9</v>
      </c>
      <c r="AG1844">
        <v>4</v>
      </c>
      <c r="AH1844">
        <v>1</v>
      </c>
      <c r="AI1844">
        <v>1</v>
      </c>
    </row>
    <row r="1845" spans="1:35" hidden="1" x14ac:dyDescent="0.25">
      <c r="A1845">
        <v>2019</v>
      </c>
      <c r="B1845" s="1">
        <v>43588</v>
      </c>
      <c r="C1845">
        <v>2</v>
      </c>
      <c r="D1845">
        <v>10564</v>
      </c>
      <c r="E1845">
        <v>20120</v>
      </c>
      <c r="F1845" t="s">
        <v>419</v>
      </c>
      <c r="G1845" t="s">
        <v>55</v>
      </c>
      <c r="H1845" t="s">
        <v>329</v>
      </c>
      <c r="I1845" t="s">
        <v>57</v>
      </c>
      <c r="J1845">
        <v>9</v>
      </c>
      <c r="K1845">
        <v>14</v>
      </c>
      <c r="L1845">
        <v>65500000</v>
      </c>
      <c r="M1845">
        <v>12100000</v>
      </c>
      <c r="N1845" t="s">
        <v>239</v>
      </c>
      <c r="O1845" t="s">
        <v>104</v>
      </c>
      <c r="P1845">
        <v>2</v>
      </c>
      <c r="Q1845">
        <v>1</v>
      </c>
      <c r="R1845">
        <v>0</v>
      </c>
      <c r="S1845">
        <v>0</v>
      </c>
      <c r="T1845">
        <v>6</v>
      </c>
      <c r="U1845">
        <v>1</v>
      </c>
      <c r="V1845">
        <v>23</v>
      </c>
      <c r="W1845">
        <v>14</v>
      </c>
      <c r="X1845">
        <v>16</v>
      </c>
      <c r="Y1845">
        <v>24</v>
      </c>
      <c r="Z1845">
        <v>3</v>
      </c>
      <c r="AA1845">
        <v>8</v>
      </c>
      <c r="AB1845">
        <v>1</v>
      </c>
      <c r="AC1845">
        <v>2</v>
      </c>
      <c r="AD1845">
        <v>10</v>
      </c>
      <c r="AE1845">
        <v>4</v>
      </c>
      <c r="AF1845">
        <v>9</v>
      </c>
      <c r="AG1845">
        <v>3</v>
      </c>
      <c r="AH1845">
        <v>1</v>
      </c>
      <c r="AI1845">
        <v>1</v>
      </c>
    </row>
    <row r="1846" spans="1:35" hidden="1" x14ac:dyDescent="0.25">
      <c r="A1846">
        <v>2019</v>
      </c>
      <c r="B1846" s="1">
        <v>43756</v>
      </c>
      <c r="C1846">
        <v>26</v>
      </c>
      <c r="D1846">
        <v>7804</v>
      </c>
      <c r="E1846">
        <v>20120</v>
      </c>
      <c r="F1846" t="s">
        <v>419</v>
      </c>
      <c r="G1846" t="s">
        <v>361</v>
      </c>
      <c r="H1846" t="s">
        <v>329</v>
      </c>
      <c r="I1846" t="s">
        <v>450</v>
      </c>
      <c r="J1846">
        <v>3</v>
      </c>
      <c r="K1846">
        <v>16</v>
      </c>
      <c r="L1846">
        <v>25350000</v>
      </c>
      <c r="M1846">
        <v>8500000</v>
      </c>
      <c r="N1846" t="s">
        <v>116</v>
      </c>
      <c r="O1846" t="s">
        <v>208</v>
      </c>
      <c r="P1846">
        <v>2</v>
      </c>
      <c r="Q1846">
        <v>1</v>
      </c>
      <c r="R1846">
        <v>0</v>
      </c>
      <c r="S1846">
        <v>1</v>
      </c>
      <c r="T1846">
        <v>5</v>
      </c>
      <c r="U1846">
        <v>7</v>
      </c>
      <c r="V1846">
        <v>15</v>
      </c>
      <c r="W1846">
        <v>11</v>
      </c>
      <c r="X1846">
        <v>11</v>
      </c>
      <c r="Y1846">
        <v>12</v>
      </c>
      <c r="Z1846">
        <v>2</v>
      </c>
      <c r="AA1846">
        <v>3</v>
      </c>
      <c r="AB1846">
        <v>3</v>
      </c>
      <c r="AC1846">
        <v>2</v>
      </c>
      <c r="AD1846">
        <v>16</v>
      </c>
      <c r="AE1846">
        <v>11</v>
      </c>
      <c r="AF1846">
        <v>7</v>
      </c>
      <c r="AG1846">
        <v>3</v>
      </c>
      <c r="AH1846">
        <v>1</v>
      </c>
      <c r="AI1846">
        <v>1</v>
      </c>
    </row>
    <row r="1847" spans="1:35" hidden="1" x14ac:dyDescent="0.25">
      <c r="A1847">
        <v>2019</v>
      </c>
      <c r="B1847" s="1">
        <v>43662</v>
      </c>
      <c r="C1847">
        <v>10</v>
      </c>
      <c r="D1847">
        <v>23484</v>
      </c>
      <c r="E1847">
        <v>82238</v>
      </c>
      <c r="F1847" t="s">
        <v>55</v>
      </c>
      <c r="G1847" t="s">
        <v>361</v>
      </c>
      <c r="H1847" t="s">
        <v>57</v>
      </c>
      <c r="I1847" t="s">
        <v>420</v>
      </c>
      <c r="J1847">
        <v>16</v>
      </c>
      <c r="K1847">
        <v>13</v>
      </c>
      <c r="L1847">
        <v>38750000</v>
      </c>
      <c r="M1847">
        <v>7150000</v>
      </c>
      <c r="N1847">
        <v>25</v>
      </c>
      <c r="O1847" t="s">
        <v>100</v>
      </c>
      <c r="P1847">
        <v>1</v>
      </c>
      <c r="Q1847">
        <v>1</v>
      </c>
      <c r="R1847">
        <v>1</v>
      </c>
      <c r="S1847">
        <v>1</v>
      </c>
      <c r="T1847">
        <v>14</v>
      </c>
      <c r="U1847">
        <v>5</v>
      </c>
      <c r="V1847">
        <v>11</v>
      </c>
      <c r="W1847">
        <v>14</v>
      </c>
      <c r="X1847">
        <v>16</v>
      </c>
      <c r="Y1847">
        <v>12</v>
      </c>
      <c r="Z1847">
        <v>5</v>
      </c>
      <c r="AA1847">
        <v>6</v>
      </c>
      <c r="AB1847">
        <v>1</v>
      </c>
      <c r="AC1847">
        <v>2</v>
      </c>
      <c r="AD1847">
        <v>7</v>
      </c>
      <c r="AE1847">
        <v>6</v>
      </c>
      <c r="AF1847">
        <v>5</v>
      </c>
      <c r="AG1847">
        <v>2</v>
      </c>
      <c r="AH1847">
        <v>0</v>
      </c>
      <c r="AI1847">
        <v>0</v>
      </c>
    </row>
    <row r="1848" spans="1:35" hidden="1" x14ac:dyDescent="0.25">
      <c r="A1848">
        <v>2019</v>
      </c>
      <c r="B1848" s="1">
        <v>43583</v>
      </c>
      <c r="C1848">
        <v>1</v>
      </c>
      <c r="D1848">
        <v>8231</v>
      </c>
      <c r="E1848">
        <v>22600</v>
      </c>
      <c r="F1848" t="s">
        <v>394</v>
      </c>
      <c r="G1848" t="s">
        <v>37</v>
      </c>
      <c r="H1848" t="s">
        <v>441</v>
      </c>
      <c r="I1848" t="s">
        <v>328</v>
      </c>
      <c r="J1848">
        <v>6</v>
      </c>
      <c r="K1848">
        <v>16</v>
      </c>
      <c r="L1848">
        <v>11450000</v>
      </c>
      <c r="M1848">
        <v>17450000</v>
      </c>
      <c r="N1848" t="s">
        <v>137</v>
      </c>
      <c r="O1848" t="s">
        <v>107</v>
      </c>
      <c r="P1848">
        <v>2</v>
      </c>
      <c r="Q1848">
        <v>0</v>
      </c>
      <c r="R1848">
        <v>1</v>
      </c>
      <c r="S1848">
        <v>0</v>
      </c>
      <c r="T1848">
        <v>3</v>
      </c>
      <c r="U1848">
        <v>5</v>
      </c>
      <c r="V1848">
        <v>15</v>
      </c>
      <c r="W1848">
        <v>10</v>
      </c>
      <c r="X1848">
        <v>12</v>
      </c>
      <c r="Y1848">
        <v>15</v>
      </c>
      <c r="Z1848">
        <v>6</v>
      </c>
      <c r="AA1848">
        <v>5</v>
      </c>
      <c r="AB1848">
        <v>0</v>
      </c>
      <c r="AC1848">
        <v>2</v>
      </c>
      <c r="AD1848">
        <v>7</v>
      </c>
      <c r="AE1848">
        <v>6</v>
      </c>
      <c r="AF1848">
        <v>4</v>
      </c>
      <c r="AG1848">
        <v>9</v>
      </c>
      <c r="AH1848">
        <v>2</v>
      </c>
      <c r="AI1848">
        <v>1</v>
      </c>
    </row>
    <row r="1849" spans="1:35" hidden="1" x14ac:dyDescent="0.25">
      <c r="A1849">
        <v>2019</v>
      </c>
      <c r="B1849" s="1">
        <v>43604</v>
      </c>
      <c r="C1849">
        <v>5</v>
      </c>
      <c r="D1849">
        <v>6765</v>
      </c>
      <c r="E1849">
        <v>22600</v>
      </c>
      <c r="F1849" t="s">
        <v>394</v>
      </c>
      <c r="G1849" t="s">
        <v>63</v>
      </c>
      <c r="H1849" t="s">
        <v>441</v>
      </c>
      <c r="I1849" t="s">
        <v>40</v>
      </c>
      <c r="J1849">
        <v>13</v>
      </c>
      <c r="K1849">
        <v>16</v>
      </c>
      <c r="L1849">
        <v>9100000</v>
      </c>
      <c r="M1849">
        <v>7550000</v>
      </c>
      <c r="N1849">
        <v>29</v>
      </c>
      <c r="O1849" t="s">
        <v>137</v>
      </c>
      <c r="P1849">
        <v>1</v>
      </c>
      <c r="Q1849">
        <v>3</v>
      </c>
      <c r="R1849">
        <v>1</v>
      </c>
      <c r="S1849">
        <v>1</v>
      </c>
      <c r="T1849">
        <v>9</v>
      </c>
      <c r="U1849">
        <v>4</v>
      </c>
      <c r="V1849">
        <v>17</v>
      </c>
      <c r="W1849">
        <v>9</v>
      </c>
      <c r="X1849">
        <v>11</v>
      </c>
      <c r="Y1849">
        <v>17</v>
      </c>
      <c r="Z1849">
        <v>4</v>
      </c>
      <c r="AA1849">
        <v>4</v>
      </c>
      <c r="AB1849">
        <v>0</v>
      </c>
      <c r="AC1849">
        <v>2</v>
      </c>
      <c r="AD1849">
        <v>4</v>
      </c>
      <c r="AE1849">
        <v>7</v>
      </c>
      <c r="AF1849">
        <v>11</v>
      </c>
      <c r="AG1849">
        <v>2</v>
      </c>
      <c r="AH1849">
        <v>-2</v>
      </c>
      <c r="AI1849">
        <v>0</v>
      </c>
    </row>
    <row r="1850" spans="1:35" hidden="1" x14ac:dyDescent="0.25">
      <c r="A1850">
        <v>2019</v>
      </c>
      <c r="B1850" s="1">
        <v>43759</v>
      </c>
      <c r="C1850">
        <v>27</v>
      </c>
      <c r="D1850">
        <v>4042</v>
      </c>
      <c r="E1850">
        <v>22600</v>
      </c>
      <c r="F1850" t="s">
        <v>394</v>
      </c>
      <c r="G1850" t="s">
        <v>416</v>
      </c>
      <c r="H1850" t="s">
        <v>368</v>
      </c>
      <c r="I1850" t="s">
        <v>441</v>
      </c>
      <c r="J1850">
        <v>20</v>
      </c>
      <c r="K1850">
        <v>10</v>
      </c>
      <c r="L1850">
        <v>11150000</v>
      </c>
      <c r="M1850">
        <v>7650000</v>
      </c>
      <c r="N1850" t="s">
        <v>59</v>
      </c>
      <c r="O1850" t="s">
        <v>99</v>
      </c>
      <c r="P1850">
        <v>2</v>
      </c>
      <c r="Q1850">
        <v>2</v>
      </c>
      <c r="R1850">
        <v>2</v>
      </c>
      <c r="S1850">
        <v>0</v>
      </c>
      <c r="T1850">
        <v>6</v>
      </c>
      <c r="U1850">
        <v>9</v>
      </c>
      <c r="V1850">
        <v>23</v>
      </c>
      <c r="W1850">
        <v>14</v>
      </c>
      <c r="X1850">
        <v>12</v>
      </c>
      <c r="Y1850">
        <v>22</v>
      </c>
      <c r="Z1850">
        <v>6</v>
      </c>
      <c r="AA1850">
        <v>2</v>
      </c>
      <c r="AB1850">
        <v>1</v>
      </c>
      <c r="AC1850">
        <v>2</v>
      </c>
      <c r="AD1850">
        <v>12</v>
      </c>
      <c r="AE1850">
        <v>21</v>
      </c>
      <c r="AF1850">
        <v>5</v>
      </c>
      <c r="AG1850">
        <v>8</v>
      </c>
      <c r="AH1850">
        <v>0</v>
      </c>
      <c r="AI1850">
        <v>0</v>
      </c>
    </row>
    <row r="1851" spans="1:35" hidden="1" x14ac:dyDescent="0.25">
      <c r="A1851">
        <v>2019</v>
      </c>
      <c r="B1851" s="1">
        <v>43612</v>
      </c>
      <c r="C1851">
        <v>6</v>
      </c>
      <c r="D1851">
        <v>39670</v>
      </c>
      <c r="E1851">
        <v>49205</v>
      </c>
      <c r="F1851" t="s">
        <v>88</v>
      </c>
      <c r="G1851" t="s">
        <v>62</v>
      </c>
      <c r="H1851" t="s">
        <v>379</v>
      </c>
      <c r="I1851" t="s">
        <v>71</v>
      </c>
      <c r="J1851">
        <v>8</v>
      </c>
      <c r="K1851">
        <v>3</v>
      </c>
      <c r="L1851">
        <v>39650000</v>
      </c>
      <c r="M1851">
        <v>37000000</v>
      </c>
      <c r="N1851" t="s">
        <v>111</v>
      </c>
      <c r="O1851" t="s">
        <v>163</v>
      </c>
      <c r="P1851">
        <v>1</v>
      </c>
      <c r="Q1851">
        <v>0</v>
      </c>
      <c r="R1851">
        <v>1</v>
      </c>
      <c r="S1851">
        <v>0</v>
      </c>
      <c r="T1851">
        <v>3</v>
      </c>
      <c r="U1851">
        <v>4</v>
      </c>
      <c r="V1851">
        <v>10</v>
      </c>
      <c r="W1851">
        <v>15</v>
      </c>
      <c r="X1851">
        <v>17</v>
      </c>
      <c r="Y1851">
        <v>11</v>
      </c>
      <c r="Z1851">
        <v>1</v>
      </c>
      <c r="AA1851">
        <v>3</v>
      </c>
      <c r="AB1851">
        <v>1</v>
      </c>
      <c r="AC1851">
        <v>2</v>
      </c>
      <c r="AD1851">
        <v>5</v>
      </c>
      <c r="AE1851">
        <v>1</v>
      </c>
      <c r="AF1851">
        <v>5</v>
      </c>
      <c r="AG1851">
        <v>4</v>
      </c>
      <c r="AH1851">
        <v>1</v>
      </c>
      <c r="AI1851">
        <v>1</v>
      </c>
    </row>
    <row r="1852" spans="1:35" hidden="1" x14ac:dyDescent="0.25">
      <c r="A1852">
        <v>2019</v>
      </c>
      <c r="B1852" s="1">
        <v>43807</v>
      </c>
      <c r="C1852">
        <v>38</v>
      </c>
      <c r="D1852">
        <v>36316</v>
      </c>
      <c r="E1852">
        <v>49205</v>
      </c>
      <c r="F1852" t="s">
        <v>88</v>
      </c>
      <c r="G1852" t="s">
        <v>55</v>
      </c>
      <c r="H1852" t="s">
        <v>436</v>
      </c>
      <c r="I1852" t="s">
        <v>223</v>
      </c>
      <c r="J1852">
        <v>7</v>
      </c>
      <c r="K1852">
        <v>14</v>
      </c>
      <c r="L1852">
        <v>27400000</v>
      </c>
      <c r="M1852">
        <v>21050000</v>
      </c>
      <c r="N1852" t="s">
        <v>134</v>
      </c>
      <c r="O1852" t="s">
        <v>176</v>
      </c>
      <c r="P1852">
        <v>1</v>
      </c>
      <c r="Q1852">
        <v>2</v>
      </c>
      <c r="R1852">
        <v>0</v>
      </c>
      <c r="S1852">
        <v>2</v>
      </c>
      <c r="T1852">
        <v>3</v>
      </c>
      <c r="U1852">
        <v>5</v>
      </c>
      <c r="V1852">
        <v>21</v>
      </c>
      <c r="W1852">
        <v>14</v>
      </c>
      <c r="X1852">
        <v>13</v>
      </c>
      <c r="Y1852">
        <v>20</v>
      </c>
      <c r="Z1852">
        <v>1</v>
      </c>
      <c r="AA1852">
        <v>3</v>
      </c>
      <c r="AB1852">
        <v>0</v>
      </c>
      <c r="AC1852">
        <v>2</v>
      </c>
      <c r="AD1852">
        <v>16</v>
      </c>
      <c r="AE1852">
        <v>10</v>
      </c>
      <c r="AF1852">
        <v>6</v>
      </c>
      <c r="AG1852">
        <v>4</v>
      </c>
      <c r="AH1852">
        <v>-1</v>
      </c>
      <c r="AI1852">
        <v>0</v>
      </c>
    </row>
    <row r="1853" spans="1:35" hidden="1" x14ac:dyDescent="0.25">
      <c r="A1853">
        <v>2019</v>
      </c>
      <c r="B1853" s="1">
        <v>43598</v>
      </c>
      <c r="C1853">
        <v>4</v>
      </c>
      <c r="D1853">
        <v>11087</v>
      </c>
      <c r="E1853">
        <v>42372</v>
      </c>
      <c r="F1853" t="s">
        <v>69</v>
      </c>
      <c r="G1853" t="s">
        <v>38</v>
      </c>
      <c r="H1853" t="s">
        <v>333</v>
      </c>
      <c r="I1853" t="s">
        <v>46</v>
      </c>
      <c r="J1853">
        <v>8</v>
      </c>
      <c r="K1853">
        <v>5</v>
      </c>
      <c r="L1853">
        <v>14250000</v>
      </c>
      <c r="M1853">
        <v>13800000</v>
      </c>
      <c r="N1853" t="s">
        <v>239</v>
      </c>
      <c r="O1853" t="s">
        <v>114</v>
      </c>
      <c r="P1853">
        <v>1</v>
      </c>
      <c r="Q1853">
        <v>0</v>
      </c>
      <c r="R1853">
        <v>1</v>
      </c>
      <c r="S1853">
        <v>0</v>
      </c>
      <c r="T1853">
        <v>8</v>
      </c>
      <c r="U1853">
        <v>6</v>
      </c>
      <c r="V1853">
        <v>13</v>
      </c>
      <c r="W1853">
        <v>14</v>
      </c>
      <c r="X1853">
        <v>16</v>
      </c>
      <c r="Y1853">
        <v>16</v>
      </c>
      <c r="Z1853">
        <v>4</v>
      </c>
      <c r="AA1853">
        <v>6</v>
      </c>
      <c r="AB1853">
        <v>3</v>
      </c>
      <c r="AC1853">
        <v>2</v>
      </c>
      <c r="AD1853">
        <v>7</v>
      </c>
      <c r="AE1853">
        <v>4</v>
      </c>
      <c r="AF1853">
        <v>4</v>
      </c>
      <c r="AG1853">
        <v>3</v>
      </c>
      <c r="AH1853">
        <v>1</v>
      </c>
      <c r="AI1853">
        <v>1</v>
      </c>
    </row>
    <row r="1854" spans="1:35" hidden="1" x14ac:dyDescent="0.25">
      <c r="A1854">
        <v>2019</v>
      </c>
      <c r="B1854" s="1">
        <v>43583</v>
      </c>
      <c r="C1854">
        <v>1</v>
      </c>
      <c r="D1854">
        <v>10531</v>
      </c>
      <c r="E1854">
        <v>23018</v>
      </c>
      <c r="F1854" t="s">
        <v>89</v>
      </c>
      <c r="G1854" t="s">
        <v>365</v>
      </c>
      <c r="H1854" t="s">
        <v>431</v>
      </c>
      <c r="I1854" t="s">
        <v>447</v>
      </c>
      <c r="J1854">
        <v>8</v>
      </c>
      <c r="K1854">
        <v>13</v>
      </c>
      <c r="L1854">
        <v>20900000</v>
      </c>
      <c r="M1854">
        <v>5700000</v>
      </c>
      <c r="N1854" t="s">
        <v>67</v>
      </c>
      <c r="O1854" t="s">
        <v>134</v>
      </c>
      <c r="P1854">
        <v>2</v>
      </c>
      <c r="Q1854">
        <v>1</v>
      </c>
      <c r="R1854">
        <v>1</v>
      </c>
      <c r="S1854">
        <v>0</v>
      </c>
      <c r="T1854">
        <v>4</v>
      </c>
      <c r="U1854">
        <v>4</v>
      </c>
      <c r="V1854">
        <v>11</v>
      </c>
      <c r="W1854">
        <v>16</v>
      </c>
      <c r="X1854">
        <v>18</v>
      </c>
      <c r="Y1854">
        <v>11</v>
      </c>
      <c r="Z1854">
        <v>0</v>
      </c>
      <c r="AA1854">
        <v>1</v>
      </c>
      <c r="AB1854">
        <v>0</v>
      </c>
      <c r="AC1854">
        <v>2</v>
      </c>
      <c r="AD1854">
        <v>3</v>
      </c>
      <c r="AE1854">
        <v>1</v>
      </c>
      <c r="AF1854">
        <v>8</v>
      </c>
      <c r="AG1854">
        <v>4</v>
      </c>
      <c r="AH1854">
        <v>1</v>
      </c>
      <c r="AI1854">
        <v>1</v>
      </c>
    </row>
    <row r="1855" spans="1:35" hidden="1" x14ac:dyDescent="0.25">
      <c r="A1855">
        <v>2019</v>
      </c>
      <c r="B1855" s="1">
        <v>43752</v>
      </c>
      <c r="C1855">
        <v>25</v>
      </c>
      <c r="D1855">
        <v>12974</v>
      </c>
      <c r="E1855">
        <v>23018</v>
      </c>
      <c r="F1855" t="s">
        <v>89</v>
      </c>
      <c r="G1855" t="s">
        <v>83</v>
      </c>
      <c r="H1855" t="s">
        <v>431</v>
      </c>
      <c r="I1855" t="s">
        <v>85</v>
      </c>
      <c r="J1855">
        <v>11</v>
      </c>
      <c r="K1855">
        <v>7</v>
      </c>
      <c r="L1855">
        <v>21800000</v>
      </c>
      <c r="M1855">
        <v>31300000</v>
      </c>
      <c r="N1855" t="s">
        <v>66</v>
      </c>
      <c r="O1855" t="s">
        <v>166</v>
      </c>
      <c r="P1855">
        <v>1</v>
      </c>
      <c r="Q1855">
        <v>4</v>
      </c>
      <c r="R1855">
        <v>1</v>
      </c>
      <c r="S1855">
        <v>2</v>
      </c>
      <c r="T1855">
        <v>4</v>
      </c>
      <c r="U1855">
        <v>4</v>
      </c>
      <c r="V1855">
        <v>17</v>
      </c>
      <c r="W1855">
        <v>8</v>
      </c>
      <c r="X1855">
        <v>8</v>
      </c>
      <c r="Y1855">
        <v>16</v>
      </c>
      <c r="Z1855">
        <v>2</v>
      </c>
      <c r="AA1855">
        <v>3</v>
      </c>
      <c r="AB1855">
        <v>0</v>
      </c>
      <c r="AC1855">
        <v>2</v>
      </c>
      <c r="AD1855">
        <v>21</v>
      </c>
      <c r="AE1855">
        <v>14</v>
      </c>
      <c r="AF1855">
        <v>11</v>
      </c>
      <c r="AG1855">
        <v>4</v>
      </c>
      <c r="AH1855">
        <v>-3</v>
      </c>
      <c r="AI1855">
        <v>0</v>
      </c>
    </row>
    <row r="1856" spans="1:35" hidden="1" x14ac:dyDescent="0.25">
      <c r="A1856">
        <v>2019</v>
      </c>
      <c r="B1856" s="1">
        <v>43751</v>
      </c>
      <c r="C1856">
        <v>25</v>
      </c>
      <c r="D1856">
        <v>13572</v>
      </c>
      <c r="E1856">
        <v>56000</v>
      </c>
      <c r="F1856" t="s">
        <v>37</v>
      </c>
      <c r="G1856" t="s">
        <v>419</v>
      </c>
      <c r="H1856" t="s">
        <v>158</v>
      </c>
      <c r="I1856" t="s">
        <v>329</v>
      </c>
      <c r="J1856">
        <v>6</v>
      </c>
      <c r="K1856">
        <v>2</v>
      </c>
      <c r="L1856">
        <v>23500000</v>
      </c>
      <c r="M1856">
        <v>23850000</v>
      </c>
      <c r="N1856" t="s">
        <v>98</v>
      </c>
      <c r="O1856" t="s">
        <v>168</v>
      </c>
      <c r="P1856">
        <v>0</v>
      </c>
      <c r="Q1856">
        <v>0</v>
      </c>
      <c r="R1856">
        <v>0</v>
      </c>
      <c r="S1856">
        <v>0</v>
      </c>
      <c r="T1856">
        <v>9</v>
      </c>
      <c r="U1856">
        <v>3</v>
      </c>
      <c r="V1856">
        <v>16</v>
      </c>
      <c r="W1856">
        <v>18</v>
      </c>
      <c r="X1856">
        <v>17</v>
      </c>
      <c r="Y1856">
        <v>15</v>
      </c>
      <c r="Z1856">
        <v>3</v>
      </c>
      <c r="AA1856">
        <v>1</v>
      </c>
      <c r="AB1856">
        <v>7</v>
      </c>
      <c r="AC1856">
        <v>2</v>
      </c>
      <c r="AD1856">
        <v>13</v>
      </c>
      <c r="AE1856">
        <v>11</v>
      </c>
      <c r="AF1856">
        <v>6</v>
      </c>
      <c r="AG1856">
        <v>8</v>
      </c>
      <c r="AH1856">
        <v>0</v>
      </c>
      <c r="AI1856">
        <v>0</v>
      </c>
    </row>
    <row r="1857" spans="1:35" hidden="1" x14ac:dyDescent="0.25">
      <c r="A1857">
        <v>2019</v>
      </c>
      <c r="B1857" s="1">
        <v>43630</v>
      </c>
      <c r="C1857">
        <v>9</v>
      </c>
      <c r="D1857">
        <v>19587</v>
      </c>
      <c r="E1857">
        <v>24584</v>
      </c>
      <c r="F1857" t="s">
        <v>82</v>
      </c>
      <c r="G1857" t="s">
        <v>361</v>
      </c>
      <c r="H1857" t="s">
        <v>317</v>
      </c>
      <c r="I1857" t="s">
        <v>420</v>
      </c>
      <c r="J1857">
        <v>18</v>
      </c>
      <c r="K1857">
        <v>12</v>
      </c>
      <c r="L1857">
        <v>15700000</v>
      </c>
      <c r="M1857">
        <v>9500000</v>
      </c>
      <c r="N1857" t="s">
        <v>176</v>
      </c>
      <c r="O1857" t="s">
        <v>105</v>
      </c>
      <c r="P1857">
        <v>1</v>
      </c>
      <c r="Q1857">
        <v>0</v>
      </c>
      <c r="R1857">
        <v>0</v>
      </c>
      <c r="S1857">
        <v>0</v>
      </c>
      <c r="T1857">
        <v>5</v>
      </c>
      <c r="U1857">
        <v>1</v>
      </c>
      <c r="V1857">
        <v>15</v>
      </c>
      <c r="W1857">
        <v>17</v>
      </c>
      <c r="X1857">
        <v>19</v>
      </c>
      <c r="Y1857">
        <v>17</v>
      </c>
      <c r="Z1857">
        <v>2</v>
      </c>
      <c r="AA1857">
        <v>9</v>
      </c>
      <c r="AB1857">
        <v>2</v>
      </c>
      <c r="AC1857">
        <v>2</v>
      </c>
      <c r="AD1857">
        <v>10</v>
      </c>
      <c r="AE1857">
        <v>2</v>
      </c>
      <c r="AF1857">
        <v>2</v>
      </c>
      <c r="AG1857">
        <v>4</v>
      </c>
      <c r="AH1857">
        <v>1</v>
      </c>
      <c r="AI1857">
        <v>1</v>
      </c>
    </row>
    <row r="1858" spans="1:35" hidden="1" x14ac:dyDescent="0.25">
      <c r="A1858">
        <v>2019</v>
      </c>
      <c r="B1858" s="1">
        <v>43660</v>
      </c>
      <c r="C1858">
        <v>10</v>
      </c>
      <c r="D1858">
        <v>65154</v>
      </c>
      <c r="E1858">
        <v>78838</v>
      </c>
      <c r="F1858" t="s">
        <v>77</v>
      </c>
      <c r="G1858" t="s">
        <v>416</v>
      </c>
      <c r="H1858" t="s">
        <v>446</v>
      </c>
      <c r="I1858" t="s">
        <v>444</v>
      </c>
      <c r="J1858">
        <v>3</v>
      </c>
      <c r="K1858">
        <v>6</v>
      </c>
      <c r="L1858">
        <v>66250000</v>
      </c>
      <c r="M1858">
        <v>10150000</v>
      </c>
      <c r="N1858" t="s">
        <v>66</v>
      </c>
      <c r="O1858" t="s">
        <v>168</v>
      </c>
      <c r="P1858">
        <v>6</v>
      </c>
      <c r="Q1858">
        <v>1</v>
      </c>
      <c r="R1858">
        <v>4</v>
      </c>
      <c r="S1858">
        <v>1</v>
      </c>
      <c r="T1858">
        <v>11</v>
      </c>
      <c r="U1858">
        <v>0</v>
      </c>
      <c r="V1858">
        <v>8</v>
      </c>
      <c r="W1858">
        <v>9</v>
      </c>
      <c r="X1858">
        <v>12</v>
      </c>
      <c r="Y1858">
        <v>8</v>
      </c>
      <c r="Z1858">
        <v>1</v>
      </c>
      <c r="AA1858">
        <v>9</v>
      </c>
      <c r="AB1858">
        <v>0</v>
      </c>
      <c r="AC1858">
        <v>3</v>
      </c>
      <c r="AD1858">
        <v>15</v>
      </c>
      <c r="AE1858">
        <v>2</v>
      </c>
      <c r="AF1858">
        <v>7</v>
      </c>
      <c r="AG1858">
        <v>3</v>
      </c>
      <c r="AH1858">
        <v>5</v>
      </c>
      <c r="AI1858">
        <v>1</v>
      </c>
    </row>
    <row r="1859" spans="1:35" hidden="1" x14ac:dyDescent="0.25">
      <c r="A1859">
        <v>2019</v>
      </c>
      <c r="B1859" s="1">
        <v>43751</v>
      </c>
      <c r="C1859">
        <v>25</v>
      </c>
      <c r="D1859">
        <v>16892</v>
      </c>
      <c r="E1859">
        <v>60326</v>
      </c>
      <c r="F1859" t="s">
        <v>361</v>
      </c>
      <c r="G1859" t="s">
        <v>365</v>
      </c>
      <c r="H1859" t="s">
        <v>450</v>
      </c>
      <c r="I1859" t="s">
        <v>448</v>
      </c>
      <c r="J1859">
        <v>17</v>
      </c>
      <c r="K1859">
        <v>19</v>
      </c>
      <c r="L1859">
        <v>9250000</v>
      </c>
      <c r="M1859">
        <v>3700000</v>
      </c>
      <c r="N1859" t="s">
        <v>208</v>
      </c>
      <c r="O1859" t="s">
        <v>80</v>
      </c>
      <c r="P1859">
        <v>1</v>
      </c>
      <c r="Q1859">
        <v>0</v>
      </c>
      <c r="R1859">
        <v>0</v>
      </c>
      <c r="S1859">
        <v>0</v>
      </c>
      <c r="T1859">
        <v>11</v>
      </c>
      <c r="U1859">
        <v>0</v>
      </c>
      <c r="V1859">
        <v>16</v>
      </c>
      <c r="W1859">
        <v>16</v>
      </c>
      <c r="X1859">
        <v>14</v>
      </c>
      <c r="Y1859">
        <v>16</v>
      </c>
      <c r="Z1859">
        <v>4</v>
      </c>
      <c r="AA1859">
        <v>5</v>
      </c>
      <c r="AB1859">
        <v>2</v>
      </c>
      <c r="AC1859">
        <v>3</v>
      </c>
      <c r="AD1859">
        <v>25</v>
      </c>
      <c r="AE1859">
        <v>13</v>
      </c>
      <c r="AF1859">
        <v>13</v>
      </c>
      <c r="AG1859">
        <v>7</v>
      </c>
      <c r="AH1859">
        <v>1</v>
      </c>
      <c r="AI1859">
        <v>1</v>
      </c>
    </row>
    <row r="1860" spans="1:35" hidden="1" x14ac:dyDescent="0.25">
      <c r="A1860">
        <v>2019</v>
      </c>
      <c r="B1860" s="1">
        <v>43807</v>
      </c>
      <c r="C1860">
        <v>38</v>
      </c>
      <c r="D1860">
        <v>52552</v>
      </c>
      <c r="E1860">
        <v>60326</v>
      </c>
      <c r="F1860" t="s">
        <v>63</v>
      </c>
      <c r="G1860" t="s">
        <v>38</v>
      </c>
      <c r="H1860" t="s">
        <v>40</v>
      </c>
      <c r="I1860" t="s">
        <v>46</v>
      </c>
      <c r="J1860">
        <v>9</v>
      </c>
      <c r="K1860">
        <v>11</v>
      </c>
      <c r="L1860">
        <v>8150000</v>
      </c>
      <c r="M1860">
        <v>11300000</v>
      </c>
      <c r="N1860" t="s">
        <v>66</v>
      </c>
      <c r="O1860" t="s">
        <v>117</v>
      </c>
      <c r="P1860">
        <v>2</v>
      </c>
      <c r="Q1860">
        <v>1</v>
      </c>
      <c r="R1860">
        <v>1</v>
      </c>
      <c r="S1860">
        <v>1</v>
      </c>
      <c r="T1860">
        <v>2</v>
      </c>
      <c r="U1860">
        <v>3</v>
      </c>
      <c r="V1860">
        <v>9</v>
      </c>
      <c r="W1860">
        <v>15</v>
      </c>
      <c r="X1860">
        <v>13</v>
      </c>
      <c r="Y1860">
        <v>6</v>
      </c>
      <c r="Z1860">
        <v>3</v>
      </c>
      <c r="AA1860">
        <v>2</v>
      </c>
      <c r="AB1860">
        <v>4</v>
      </c>
      <c r="AC1860">
        <v>3</v>
      </c>
      <c r="AD1860">
        <v>8</v>
      </c>
      <c r="AE1860">
        <v>11</v>
      </c>
      <c r="AF1860">
        <v>4</v>
      </c>
      <c r="AG1860">
        <v>4</v>
      </c>
      <c r="AH1860">
        <v>1</v>
      </c>
      <c r="AI1860">
        <v>1</v>
      </c>
    </row>
    <row r="1861" spans="1:35" hidden="1" x14ac:dyDescent="0.25">
      <c r="A1861">
        <v>2019</v>
      </c>
      <c r="B1861" s="1">
        <v>43778</v>
      </c>
      <c r="C1861">
        <v>32</v>
      </c>
      <c r="D1861">
        <v>13226</v>
      </c>
      <c r="E1861">
        <v>50049</v>
      </c>
      <c r="F1861" t="s">
        <v>416</v>
      </c>
      <c r="G1861" t="s">
        <v>419</v>
      </c>
      <c r="H1861" t="s">
        <v>441</v>
      </c>
      <c r="I1861" t="s">
        <v>329</v>
      </c>
      <c r="J1861">
        <v>10</v>
      </c>
      <c r="K1861">
        <v>3</v>
      </c>
      <c r="L1861">
        <v>9050000</v>
      </c>
      <c r="M1861">
        <v>30350000</v>
      </c>
      <c r="N1861" t="s">
        <v>221</v>
      </c>
      <c r="O1861" t="s">
        <v>114</v>
      </c>
      <c r="P1861">
        <v>0</v>
      </c>
      <c r="Q1861">
        <v>3</v>
      </c>
      <c r="R1861">
        <v>0</v>
      </c>
      <c r="S1861">
        <v>1</v>
      </c>
      <c r="T1861">
        <v>5</v>
      </c>
      <c r="U1861">
        <v>4</v>
      </c>
      <c r="V1861">
        <v>19</v>
      </c>
      <c r="W1861">
        <v>16</v>
      </c>
      <c r="X1861">
        <v>16</v>
      </c>
      <c r="Y1861">
        <v>18</v>
      </c>
      <c r="Z1861">
        <v>8</v>
      </c>
      <c r="AA1861">
        <v>2</v>
      </c>
      <c r="AB1861">
        <v>2</v>
      </c>
      <c r="AC1861">
        <v>3</v>
      </c>
      <c r="AD1861">
        <v>9</v>
      </c>
      <c r="AE1861">
        <v>17</v>
      </c>
      <c r="AF1861">
        <v>6</v>
      </c>
      <c r="AG1861">
        <v>5</v>
      </c>
      <c r="AH1861">
        <v>-3</v>
      </c>
      <c r="AI1861">
        <v>0</v>
      </c>
    </row>
    <row r="1862" spans="1:35" hidden="1" x14ac:dyDescent="0.25">
      <c r="A1862">
        <v>2019</v>
      </c>
      <c r="B1862" s="1">
        <v>43611</v>
      </c>
      <c r="C1862">
        <v>6</v>
      </c>
      <c r="D1862">
        <v>12756</v>
      </c>
      <c r="E1862">
        <v>20120</v>
      </c>
      <c r="F1862" t="s">
        <v>419</v>
      </c>
      <c r="G1862" t="s">
        <v>37</v>
      </c>
      <c r="H1862" t="s">
        <v>329</v>
      </c>
      <c r="I1862" t="s">
        <v>328</v>
      </c>
      <c r="J1862">
        <v>4</v>
      </c>
      <c r="K1862">
        <v>5</v>
      </c>
      <c r="L1862">
        <v>64000000</v>
      </c>
      <c r="M1862">
        <v>23450000</v>
      </c>
      <c r="N1862" t="s">
        <v>80</v>
      </c>
      <c r="O1862" t="s">
        <v>128</v>
      </c>
      <c r="P1862">
        <v>0</v>
      </c>
      <c r="Q1862">
        <v>0</v>
      </c>
      <c r="R1862">
        <v>0</v>
      </c>
      <c r="S1862">
        <v>0</v>
      </c>
      <c r="T1862">
        <v>7</v>
      </c>
      <c r="U1862">
        <v>4</v>
      </c>
      <c r="V1862">
        <v>19</v>
      </c>
      <c r="W1862">
        <v>19</v>
      </c>
      <c r="X1862">
        <v>22</v>
      </c>
      <c r="Y1862">
        <v>19</v>
      </c>
      <c r="Z1862">
        <v>3</v>
      </c>
      <c r="AA1862">
        <v>5</v>
      </c>
      <c r="AB1862">
        <v>0</v>
      </c>
      <c r="AC1862">
        <v>3</v>
      </c>
      <c r="AD1862">
        <v>5</v>
      </c>
      <c r="AE1862">
        <v>3</v>
      </c>
      <c r="AF1862">
        <v>2</v>
      </c>
      <c r="AG1862">
        <v>6</v>
      </c>
      <c r="AH1862">
        <v>0</v>
      </c>
      <c r="AI1862">
        <v>0</v>
      </c>
    </row>
    <row r="1863" spans="1:35" hidden="1" x14ac:dyDescent="0.25">
      <c r="A1863">
        <v>2019</v>
      </c>
      <c r="B1863" s="1">
        <v>43669</v>
      </c>
      <c r="C1863">
        <v>11</v>
      </c>
      <c r="D1863">
        <v>35558</v>
      </c>
      <c r="E1863">
        <v>67428</v>
      </c>
      <c r="F1863" t="s">
        <v>62</v>
      </c>
      <c r="G1863" t="s">
        <v>394</v>
      </c>
      <c r="H1863" t="s">
        <v>71</v>
      </c>
      <c r="I1863" t="s">
        <v>441</v>
      </c>
      <c r="J1863">
        <v>9</v>
      </c>
      <c r="K1863">
        <v>18</v>
      </c>
      <c r="L1863">
        <v>37900000</v>
      </c>
      <c r="M1863">
        <v>11950000</v>
      </c>
      <c r="N1863" t="s">
        <v>149</v>
      </c>
      <c r="O1863">
        <v>29</v>
      </c>
      <c r="P1863">
        <v>4</v>
      </c>
      <c r="Q1863">
        <v>0</v>
      </c>
      <c r="R1863">
        <v>0</v>
      </c>
      <c r="S1863">
        <v>0</v>
      </c>
      <c r="T1863">
        <v>5</v>
      </c>
      <c r="U1863">
        <v>3</v>
      </c>
      <c r="V1863">
        <v>27</v>
      </c>
      <c r="W1863">
        <v>18</v>
      </c>
      <c r="X1863">
        <v>21</v>
      </c>
      <c r="Y1863">
        <v>27</v>
      </c>
      <c r="Z1863">
        <v>2</v>
      </c>
      <c r="AA1863">
        <v>1</v>
      </c>
      <c r="AB1863">
        <v>0</v>
      </c>
      <c r="AC1863">
        <v>3</v>
      </c>
      <c r="AD1863">
        <v>5</v>
      </c>
      <c r="AE1863">
        <v>2</v>
      </c>
      <c r="AF1863">
        <v>4</v>
      </c>
      <c r="AG1863">
        <v>3</v>
      </c>
      <c r="AH1863">
        <v>4</v>
      </c>
      <c r="AI1863">
        <v>1</v>
      </c>
    </row>
    <row r="1864" spans="1:35" hidden="1" x14ac:dyDescent="0.25">
      <c r="A1864">
        <v>2019</v>
      </c>
      <c r="B1864" s="1">
        <v>43660</v>
      </c>
      <c r="C1864">
        <v>10</v>
      </c>
      <c r="D1864">
        <v>14063</v>
      </c>
      <c r="E1864">
        <v>42372</v>
      </c>
      <c r="F1864" t="s">
        <v>69</v>
      </c>
      <c r="G1864" t="s">
        <v>37</v>
      </c>
      <c r="H1864" t="s">
        <v>333</v>
      </c>
      <c r="I1864" t="s">
        <v>328</v>
      </c>
      <c r="J1864">
        <v>12</v>
      </c>
      <c r="K1864">
        <v>4</v>
      </c>
      <c r="L1864">
        <v>18950000</v>
      </c>
      <c r="M1864">
        <v>16850000</v>
      </c>
      <c r="N1864" t="s">
        <v>134</v>
      </c>
      <c r="O1864" t="s">
        <v>149</v>
      </c>
      <c r="P1864">
        <v>1</v>
      </c>
      <c r="Q1864">
        <v>0</v>
      </c>
      <c r="R1864">
        <v>0</v>
      </c>
      <c r="S1864">
        <v>0</v>
      </c>
      <c r="T1864">
        <v>6</v>
      </c>
      <c r="U1864">
        <v>2</v>
      </c>
      <c r="V1864">
        <v>16</v>
      </c>
      <c r="W1864">
        <v>15</v>
      </c>
      <c r="X1864">
        <v>18</v>
      </c>
      <c r="Y1864">
        <v>17</v>
      </c>
      <c r="Z1864">
        <v>4</v>
      </c>
      <c r="AA1864">
        <v>6</v>
      </c>
      <c r="AB1864">
        <v>1</v>
      </c>
      <c r="AC1864">
        <v>3</v>
      </c>
      <c r="AD1864">
        <v>7</v>
      </c>
      <c r="AE1864">
        <v>4</v>
      </c>
      <c r="AF1864">
        <v>7</v>
      </c>
      <c r="AG1864">
        <v>5</v>
      </c>
      <c r="AH1864">
        <v>1</v>
      </c>
      <c r="AI1864">
        <v>1</v>
      </c>
    </row>
    <row r="1865" spans="1:35" hidden="1" x14ac:dyDescent="0.25">
      <c r="A1865">
        <v>2019</v>
      </c>
      <c r="B1865" s="1">
        <v>43605</v>
      </c>
      <c r="C1865">
        <v>5</v>
      </c>
      <c r="D1865">
        <v>13924</v>
      </c>
      <c r="E1865">
        <v>24584</v>
      </c>
      <c r="F1865" t="s">
        <v>82</v>
      </c>
      <c r="G1865" t="s">
        <v>365</v>
      </c>
      <c r="H1865" t="s">
        <v>317</v>
      </c>
      <c r="I1865" t="s">
        <v>447</v>
      </c>
      <c r="J1865">
        <v>20</v>
      </c>
      <c r="K1865">
        <v>19</v>
      </c>
      <c r="L1865">
        <v>17250000</v>
      </c>
      <c r="M1865">
        <v>5050000</v>
      </c>
      <c r="N1865" t="s">
        <v>163</v>
      </c>
      <c r="O1865" t="s">
        <v>104</v>
      </c>
      <c r="P1865">
        <v>1</v>
      </c>
      <c r="Q1865">
        <v>1</v>
      </c>
      <c r="R1865">
        <v>0</v>
      </c>
      <c r="S1865">
        <v>0</v>
      </c>
      <c r="T1865">
        <v>5</v>
      </c>
      <c r="U1865">
        <v>10</v>
      </c>
      <c r="V1865">
        <v>16</v>
      </c>
      <c r="W1865">
        <v>16</v>
      </c>
      <c r="X1865">
        <v>19</v>
      </c>
      <c r="Y1865">
        <v>19</v>
      </c>
      <c r="Z1865">
        <v>7</v>
      </c>
      <c r="AA1865">
        <v>1</v>
      </c>
      <c r="AB1865">
        <v>3</v>
      </c>
      <c r="AC1865">
        <v>3</v>
      </c>
      <c r="AD1865">
        <v>2</v>
      </c>
      <c r="AE1865">
        <v>8</v>
      </c>
      <c r="AF1865">
        <v>4</v>
      </c>
      <c r="AG1865">
        <v>5</v>
      </c>
      <c r="AH1865">
        <v>0</v>
      </c>
      <c r="AI1865">
        <v>0</v>
      </c>
    </row>
    <row r="1866" spans="1:35" hidden="1" x14ac:dyDescent="0.25">
      <c r="A1866">
        <v>2019</v>
      </c>
      <c r="B1866" s="1">
        <v>43588</v>
      </c>
      <c r="C1866">
        <v>2</v>
      </c>
      <c r="D1866">
        <v>7568</v>
      </c>
      <c r="E1866">
        <v>46931</v>
      </c>
      <c r="F1866" t="s">
        <v>51</v>
      </c>
      <c r="G1866" t="s">
        <v>38</v>
      </c>
      <c r="H1866" t="s">
        <v>367</v>
      </c>
      <c r="I1866" t="s">
        <v>46</v>
      </c>
      <c r="J1866">
        <v>17</v>
      </c>
      <c r="K1866">
        <v>7</v>
      </c>
      <c r="L1866">
        <v>20700000</v>
      </c>
      <c r="M1866">
        <v>15100000</v>
      </c>
      <c r="N1866" t="s">
        <v>105</v>
      </c>
      <c r="O1866" t="s">
        <v>98</v>
      </c>
      <c r="P1866">
        <v>3</v>
      </c>
      <c r="Q1866">
        <v>2</v>
      </c>
      <c r="R1866">
        <v>3</v>
      </c>
      <c r="S1866">
        <v>1</v>
      </c>
      <c r="T1866">
        <v>3</v>
      </c>
      <c r="U1866">
        <v>6</v>
      </c>
      <c r="V1866">
        <v>11</v>
      </c>
      <c r="W1866">
        <v>15</v>
      </c>
      <c r="X1866">
        <v>19</v>
      </c>
      <c r="Y1866">
        <v>11</v>
      </c>
      <c r="Z1866">
        <v>4</v>
      </c>
      <c r="AA1866">
        <v>1</v>
      </c>
      <c r="AB1866">
        <v>0</v>
      </c>
      <c r="AC1866">
        <v>4</v>
      </c>
      <c r="AD1866">
        <v>4</v>
      </c>
      <c r="AE1866">
        <v>6</v>
      </c>
      <c r="AF1866">
        <v>3</v>
      </c>
      <c r="AG1866">
        <v>9</v>
      </c>
      <c r="AH1866">
        <v>1</v>
      </c>
      <c r="AI1866">
        <v>1</v>
      </c>
    </row>
    <row r="1867" spans="1:35" hidden="1" x14ac:dyDescent="0.25">
      <c r="A1867">
        <v>2019</v>
      </c>
      <c r="B1867" s="1">
        <v>43610</v>
      </c>
      <c r="C1867">
        <v>6</v>
      </c>
      <c r="D1867">
        <v>33143</v>
      </c>
      <c r="E1867">
        <v>60000</v>
      </c>
      <c r="F1867" t="s">
        <v>51</v>
      </c>
      <c r="G1867" t="s">
        <v>95</v>
      </c>
      <c r="H1867" t="s">
        <v>367</v>
      </c>
      <c r="I1867" t="s">
        <v>336</v>
      </c>
      <c r="J1867">
        <v>7</v>
      </c>
      <c r="K1867">
        <v>1</v>
      </c>
      <c r="L1867">
        <v>18800000</v>
      </c>
      <c r="M1867">
        <v>50000000</v>
      </c>
      <c r="N1867" t="s">
        <v>41</v>
      </c>
      <c r="O1867" t="s">
        <v>107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8</v>
      </c>
      <c r="V1867">
        <v>12</v>
      </c>
      <c r="W1867">
        <v>18</v>
      </c>
      <c r="X1867">
        <v>22</v>
      </c>
      <c r="Y1867">
        <v>12</v>
      </c>
      <c r="Z1867">
        <v>5</v>
      </c>
      <c r="AA1867">
        <v>7</v>
      </c>
      <c r="AB1867">
        <v>0</v>
      </c>
      <c r="AC1867">
        <v>4</v>
      </c>
      <c r="AD1867">
        <v>1</v>
      </c>
      <c r="AE1867">
        <v>3</v>
      </c>
      <c r="AF1867">
        <v>0</v>
      </c>
      <c r="AG1867">
        <v>5</v>
      </c>
      <c r="AH1867">
        <v>-1</v>
      </c>
      <c r="AI1867">
        <v>0</v>
      </c>
    </row>
    <row r="1868" spans="1:35" hidden="1" x14ac:dyDescent="0.25">
      <c r="A1868">
        <v>2019</v>
      </c>
      <c r="B1868" s="1">
        <v>43629</v>
      </c>
      <c r="C1868">
        <v>9</v>
      </c>
      <c r="D1868">
        <v>17757</v>
      </c>
      <c r="E1868">
        <v>46931</v>
      </c>
      <c r="F1868" t="s">
        <v>51</v>
      </c>
      <c r="G1868" t="s">
        <v>83</v>
      </c>
      <c r="H1868" t="s">
        <v>367</v>
      </c>
      <c r="I1868" t="s">
        <v>85</v>
      </c>
      <c r="J1868">
        <v>4</v>
      </c>
      <c r="K1868">
        <v>13</v>
      </c>
      <c r="L1868">
        <v>17800000</v>
      </c>
      <c r="M1868">
        <v>21900000</v>
      </c>
      <c r="N1868" t="s">
        <v>100</v>
      </c>
      <c r="O1868" t="s">
        <v>233</v>
      </c>
      <c r="P1868">
        <v>0</v>
      </c>
      <c r="Q1868">
        <v>1</v>
      </c>
      <c r="R1868">
        <v>0</v>
      </c>
      <c r="S1868">
        <v>0</v>
      </c>
      <c r="T1868">
        <v>4</v>
      </c>
      <c r="U1868">
        <v>7</v>
      </c>
      <c r="V1868">
        <v>9</v>
      </c>
      <c r="W1868">
        <v>9</v>
      </c>
      <c r="X1868">
        <v>13</v>
      </c>
      <c r="Y1868">
        <v>10</v>
      </c>
      <c r="Z1868">
        <v>5</v>
      </c>
      <c r="AA1868">
        <v>6</v>
      </c>
      <c r="AB1868">
        <v>1</v>
      </c>
      <c r="AC1868">
        <v>4</v>
      </c>
      <c r="AD1868">
        <v>2</v>
      </c>
      <c r="AE1868">
        <v>3</v>
      </c>
      <c r="AF1868">
        <v>1</v>
      </c>
      <c r="AG1868">
        <v>0</v>
      </c>
      <c r="AH1868">
        <v>-1</v>
      </c>
      <c r="AI1868">
        <v>0</v>
      </c>
    </row>
    <row r="1869" spans="1:35" hidden="1" x14ac:dyDescent="0.25">
      <c r="A1869">
        <v>2019</v>
      </c>
      <c r="B1869" s="1">
        <v>43597</v>
      </c>
      <c r="C1869">
        <v>4</v>
      </c>
      <c r="D1869">
        <v>12952</v>
      </c>
      <c r="E1869">
        <v>37000</v>
      </c>
      <c r="F1869" t="s">
        <v>419</v>
      </c>
      <c r="G1869" t="s">
        <v>82</v>
      </c>
      <c r="H1869" t="s">
        <v>329</v>
      </c>
      <c r="I1869" t="s">
        <v>451</v>
      </c>
      <c r="J1869">
        <v>4</v>
      </c>
      <c r="K1869">
        <v>20</v>
      </c>
      <c r="L1869">
        <v>65000000</v>
      </c>
      <c r="M1869">
        <v>11150000</v>
      </c>
      <c r="N1869" t="s">
        <v>239</v>
      </c>
      <c r="O1869">
        <v>27</v>
      </c>
      <c r="P1869">
        <v>3</v>
      </c>
      <c r="Q1869">
        <v>0</v>
      </c>
      <c r="R1869">
        <v>2</v>
      </c>
      <c r="S1869">
        <v>0</v>
      </c>
      <c r="T1869">
        <v>8</v>
      </c>
      <c r="U1869">
        <v>5</v>
      </c>
      <c r="V1869">
        <v>18</v>
      </c>
      <c r="W1869">
        <v>11</v>
      </c>
      <c r="X1869">
        <v>15</v>
      </c>
      <c r="Y1869">
        <v>19</v>
      </c>
      <c r="Z1869">
        <v>4</v>
      </c>
      <c r="AA1869">
        <v>6</v>
      </c>
      <c r="AB1869">
        <v>1</v>
      </c>
      <c r="AC1869">
        <v>4</v>
      </c>
      <c r="AD1869">
        <v>9</v>
      </c>
      <c r="AE1869">
        <v>4</v>
      </c>
      <c r="AF1869">
        <v>10</v>
      </c>
      <c r="AG1869">
        <v>5</v>
      </c>
      <c r="AH1869">
        <v>3</v>
      </c>
      <c r="AI1869">
        <v>1</v>
      </c>
    </row>
    <row r="1870" spans="1:35" hidden="1" x14ac:dyDescent="0.25">
      <c r="A1870">
        <v>2019</v>
      </c>
      <c r="B1870" s="1">
        <v>43785</v>
      </c>
      <c r="C1870">
        <v>33</v>
      </c>
      <c r="D1870">
        <v>14062</v>
      </c>
      <c r="E1870">
        <v>20120</v>
      </c>
      <c r="F1870" t="s">
        <v>419</v>
      </c>
      <c r="G1870" t="s">
        <v>62</v>
      </c>
      <c r="H1870" t="s">
        <v>329</v>
      </c>
      <c r="I1870" t="s">
        <v>57</v>
      </c>
      <c r="J1870">
        <v>3</v>
      </c>
      <c r="K1870">
        <v>5</v>
      </c>
      <c r="L1870">
        <v>28250000</v>
      </c>
      <c r="M1870">
        <v>34000000</v>
      </c>
      <c r="N1870" t="s">
        <v>107</v>
      </c>
      <c r="O1870">
        <v>29</v>
      </c>
      <c r="P1870">
        <v>1</v>
      </c>
      <c r="Q1870">
        <v>1</v>
      </c>
      <c r="R1870">
        <v>1</v>
      </c>
      <c r="S1870">
        <v>0</v>
      </c>
      <c r="T1870">
        <v>3</v>
      </c>
      <c r="U1870">
        <v>4</v>
      </c>
      <c r="V1870">
        <v>14</v>
      </c>
      <c r="W1870">
        <v>25</v>
      </c>
      <c r="X1870">
        <v>25</v>
      </c>
      <c r="Y1870">
        <v>14</v>
      </c>
      <c r="Z1870">
        <v>3</v>
      </c>
      <c r="AA1870">
        <v>2</v>
      </c>
      <c r="AB1870">
        <v>0</v>
      </c>
      <c r="AC1870">
        <v>4</v>
      </c>
      <c r="AD1870">
        <v>16</v>
      </c>
      <c r="AE1870">
        <v>15</v>
      </c>
      <c r="AF1870">
        <v>10</v>
      </c>
      <c r="AG1870">
        <v>6</v>
      </c>
      <c r="AH1870">
        <v>0</v>
      </c>
      <c r="AI1870">
        <v>0</v>
      </c>
    </row>
    <row r="1871" spans="1:35" hidden="1" x14ac:dyDescent="0.25">
      <c r="A1871">
        <v>2019</v>
      </c>
      <c r="B1871" s="1">
        <v>43596</v>
      </c>
      <c r="C1871">
        <v>4</v>
      </c>
      <c r="D1871">
        <v>24600</v>
      </c>
      <c r="E1871">
        <v>82238</v>
      </c>
      <c r="F1871" t="s">
        <v>55</v>
      </c>
      <c r="G1871" t="s">
        <v>51</v>
      </c>
      <c r="H1871" t="s">
        <v>57</v>
      </c>
      <c r="I1871" t="s">
        <v>367</v>
      </c>
      <c r="J1871">
        <v>13</v>
      </c>
      <c r="K1871">
        <v>7</v>
      </c>
      <c r="L1871">
        <v>20450000</v>
      </c>
      <c r="M1871">
        <v>17250000</v>
      </c>
      <c r="N1871" t="s">
        <v>189</v>
      </c>
      <c r="O1871" t="s">
        <v>114</v>
      </c>
      <c r="P1871">
        <v>0</v>
      </c>
      <c r="Q1871">
        <v>1</v>
      </c>
      <c r="R1871">
        <v>0</v>
      </c>
      <c r="S1871">
        <v>0</v>
      </c>
      <c r="T1871">
        <v>8</v>
      </c>
      <c r="U1871">
        <v>3</v>
      </c>
      <c r="V1871">
        <v>15</v>
      </c>
      <c r="W1871">
        <v>12</v>
      </c>
      <c r="X1871">
        <v>16</v>
      </c>
      <c r="Y1871">
        <v>19</v>
      </c>
      <c r="Z1871">
        <v>3</v>
      </c>
      <c r="AA1871">
        <v>9</v>
      </c>
      <c r="AB1871">
        <v>4</v>
      </c>
      <c r="AC1871">
        <v>4</v>
      </c>
      <c r="AD1871">
        <v>5</v>
      </c>
      <c r="AE1871">
        <v>3</v>
      </c>
      <c r="AF1871">
        <v>5</v>
      </c>
      <c r="AG1871">
        <v>4</v>
      </c>
      <c r="AH1871">
        <v>-1</v>
      </c>
      <c r="AI1871">
        <v>0</v>
      </c>
    </row>
    <row r="1872" spans="1:35" hidden="1" x14ac:dyDescent="0.25">
      <c r="A1872">
        <v>2019</v>
      </c>
      <c r="B1872" s="1">
        <v>43618</v>
      </c>
      <c r="C1872">
        <v>7</v>
      </c>
      <c r="D1872">
        <v>8517</v>
      </c>
      <c r="E1872">
        <v>37500</v>
      </c>
      <c r="F1872" t="s">
        <v>62</v>
      </c>
      <c r="G1872" t="s">
        <v>50</v>
      </c>
      <c r="H1872" t="s">
        <v>71</v>
      </c>
      <c r="I1872" t="s">
        <v>240</v>
      </c>
      <c r="J1872">
        <v>4</v>
      </c>
      <c r="K1872">
        <v>16</v>
      </c>
      <c r="L1872">
        <v>33500000</v>
      </c>
      <c r="M1872">
        <v>25000000</v>
      </c>
      <c r="N1872" t="s">
        <v>73</v>
      </c>
      <c r="O1872" t="s">
        <v>289</v>
      </c>
      <c r="P1872">
        <v>1</v>
      </c>
      <c r="Q1872">
        <v>1</v>
      </c>
      <c r="R1872">
        <v>1</v>
      </c>
      <c r="S1872">
        <v>0</v>
      </c>
      <c r="T1872">
        <v>5</v>
      </c>
      <c r="U1872">
        <v>9</v>
      </c>
      <c r="V1872">
        <v>12</v>
      </c>
      <c r="W1872">
        <v>10</v>
      </c>
      <c r="X1872">
        <v>14</v>
      </c>
      <c r="Y1872">
        <v>12</v>
      </c>
      <c r="Z1872">
        <v>3</v>
      </c>
      <c r="AA1872">
        <v>4</v>
      </c>
      <c r="AB1872">
        <v>0</v>
      </c>
      <c r="AC1872">
        <v>4</v>
      </c>
      <c r="AD1872">
        <v>5</v>
      </c>
      <c r="AE1872">
        <v>4</v>
      </c>
      <c r="AF1872">
        <v>2</v>
      </c>
      <c r="AG1872">
        <v>5</v>
      </c>
      <c r="AH1872">
        <v>0</v>
      </c>
      <c r="AI1872">
        <v>0</v>
      </c>
    </row>
    <row r="1873" spans="1:35" hidden="1" x14ac:dyDescent="0.25">
      <c r="A1873">
        <v>2019</v>
      </c>
      <c r="B1873" s="1">
        <v>43660</v>
      </c>
      <c r="C1873">
        <v>10</v>
      </c>
      <c r="D1873">
        <v>38267</v>
      </c>
      <c r="E1873">
        <v>67428</v>
      </c>
      <c r="F1873" t="s">
        <v>62</v>
      </c>
      <c r="G1873" t="s">
        <v>95</v>
      </c>
      <c r="H1873" t="s">
        <v>71</v>
      </c>
      <c r="I1873" t="s">
        <v>336</v>
      </c>
      <c r="J1873">
        <v>10</v>
      </c>
      <c r="K1873">
        <v>1</v>
      </c>
      <c r="L1873">
        <v>41500000</v>
      </c>
      <c r="M1873">
        <v>46200000</v>
      </c>
      <c r="N1873" t="s">
        <v>41</v>
      </c>
      <c r="O1873" t="s">
        <v>235</v>
      </c>
      <c r="P1873">
        <v>1</v>
      </c>
      <c r="Q1873">
        <v>1</v>
      </c>
      <c r="R1873">
        <v>1</v>
      </c>
      <c r="S1873">
        <v>0</v>
      </c>
      <c r="T1873">
        <v>8</v>
      </c>
      <c r="U1873">
        <v>5</v>
      </c>
      <c r="V1873">
        <v>18</v>
      </c>
      <c r="W1873">
        <v>19</v>
      </c>
      <c r="X1873">
        <v>23</v>
      </c>
      <c r="Y1873">
        <v>18</v>
      </c>
      <c r="Z1873">
        <v>6</v>
      </c>
      <c r="AA1873">
        <v>8</v>
      </c>
      <c r="AB1873">
        <v>0</v>
      </c>
      <c r="AC1873">
        <v>4</v>
      </c>
      <c r="AD1873">
        <v>9</v>
      </c>
      <c r="AE1873">
        <v>4</v>
      </c>
      <c r="AF1873">
        <v>3</v>
      </c>
      <c r="AG1873">
        <v>3</v>
      </c>
      <c r="AH1873">
        <v>0</v>
      </c>
      <c r="AI1873">
        <v>0</v>
      </c>
    </row>
    <row r="1874" spans="1:35" hidden="1" x14ac:dyDescent="0.25">
      <c r="A1874">
        <v>2019</v>
      </c>
      <c r="B1874" s="1">
        <v>43737</v>
      </c>
      <c r="C1874">
        <v>22</v>
      </c>
      <c r="D1874">
        <v>37360</v>
      </c>
      <c r="E1874">
        <v>49205</v>
      </c>
      <c r="F1874" t="s">
        <v>88</v>
      </c>
      <c r="G1874" t="s">
        <v>82</v>
      </c>
      <c r="H1874" t="s">
        <v>379</v>
      </c>
      <c r="I1874" t="s">
        <v>317</v>
      </c>
      <c r="J1874">
        <v>4</v>
      </c>
      <c r="K1874">
        <v>13</v>
      </c>
      <c r="L1874">
        <v>51650000</v>
      </c>
      <c r="M1874">
        <v>13050000</v>
      </c>
      <c r="N1874" t="s">
        <v>235</v>
      </c>
      <c r="O1874">
        <v>26</v>
      </c>
      <c r="P1874">
        <v>1</v>
      </c>
      <c r="Q1874">
        <v>0</v>
      </c>
      <c r="R1874">
        <v>0</v>
      </c>
      <c r="S1874">
        <v>0</v>
      </c>
      <c r="T1874">
        <v>5</v>
      </c>
      <c r="U1874">
        <v>2</v>
      </c>
      <c r="V1874">
        <v>199</v>
      </c>
      <c r="W1874">
        <v>255</v>
      </c>
      <c r="X1874">
        <v>22</v>
      </c>
      <c r="Y1874">
        <v>16</v>
      </c>
      <c r="Z1874">
        <v>2</v>
      </c>
      <c r="AA1874">
        <v>6</v>
      </c>
      <c r="AB1874">
        <v>2</v>
      </c>
      <c r="AC1874">
        <v>4</v>
      </c>
      <c r="AD1874">
        <v>2</v>
      </c>
      <c r="AE1874">
        <v>6</v>
      </c>
      <c r="AF1874">
        <v>2</v>
      </c>
      <c r="AG1874">
        <v>9</v>
      </c>
      <c r="AH1874">
        <v>1</v>
      </c>
      <c r="AI1874">
        <v>1</v>
      </c>
    </row>
    <row r="1875" spans="1:35" hidden="1" x14ac:dyDescent="0.25">
      <c r="A1875">
        <v>2019</v>
      </c>
      <c r="B1875" s="1">
        <v>43759</v>
      </c>
      <c r="C1875">
        <v>27</v>
      </c>
      <c r="D1875">
        <v>18732</v>
      </c>
      <c r="E1875">
        <v>42372</v>
      </c>
      <c r="F1875" t="s">
        <v>69</v>
      </c>
      <c r="G1875" t="s">
        <v>95</v>
      </c>
      <c r="H1875" t="s">
        <v>333</v>
      </c>
      <c r="I1875" t="s">
        <v>240</v>
      </c>
      <c r="J1875">
        <v>9</v>
      </c>
      <c r="K1875">
        <v>2</v>
      </c>
      <c r="L1875">
        <v>19550000</v>
      </c>
      <c r="M1875">
        <v>53500000</v>
      </c>
      <c r="N1875">
        <v>28</v>
      </c>
      <c r="O1875" t="s">
        <v>200</v>
      </c>
      <c r="P1875">
        <v>1</v>
      </c>
      <c r="Q1875">
        <v>1</v>
      </c>
      <c r="R1875">
        <v>1</v>
      </c>
      <c r="S1875">
        <v>1</v>
      </c>
      <c r="T1875">
        <v>2</v>
      </c>
      <c r="U1875">
        <v>1</v>
      </c>
      <c r="V1875">
        <v>23</v>
      </c>
      <c r="W1875">
        <v>11</v>
      </c>
      <c r="X1875">
        <v>10</v>
      </c>
      <c r="Y1875">
        <v>22</v>
      </c>
      <c r="Z1875">
        <v>1</v>
      </c>
      <c r="AA1875">
        <v>5</v>
      </c>
      <c r="AB1875">
        <v>0</v>
      </c>
      <c r="AC1875">
        <v>4</v>
      </c>
      <c r="AD1875">
        <v>14</v>
      </c>
      <c r="AE1875">
        <v>8</v>
      </c>
      <c r="AF1875">
        <v>5</v>
      </c>
      <c r="AG1875">
        <v>3</v>
      </c>
      <c r="AH1875">
        <v>0</v>
      </c>
      <c r="AI1875">
        <v>0</v>
      </c>
    </row>
    <row r="1876" spans="1:35" hidden="1" x14ac:dyDescent="0.25">
      <c r="A1876">
        <v>2019</v>
      </c>
      <c r="B1876" s="1">
        <v>43624</v>
      </c>
      <c r="C1876">
        <v>8</v>
      </c>
      <c r="D1876">
        <v>11046</v>
      </c>
      <c r="E1876">
        <v>24584</v>
      </c>
      <c r="F1876" t="s">
        <v>82</v>
      </c>
      <c r="G1876" t="s">
        <v>37</v>
      </c>
      <c r="H1876" t="s">
        <v>317</v>
      </c>
      <c r="I1876" t="s">
        <v>328</v>
      </c>
      <c r="J1876">
        <v>20</v>
      </c>
      <c r="K1876">
        <v>6</v>
      </c>
      <c r="L1876">
        <v>15700000</v>
      </c>
      <c r="M1876">
        <v>23400000</v>
      </c>
      <c r="N1876" t="s">
        <v>176</v>
      </c>
      <c r="O1876" t="s">
        <v>135</v>
      </c>
      <c r="P1876">
        <v>2</v>
      </c>
      <c r="Q1876">
        <v>1</v>
      </c>
      <c r="R1876">
        <v>2</v>
      </c>
      <c r="S1876">
        <v>0</v>
      </c>
      <c r="T1876">
        <v>0</v>
      </c>
      <c r="U1876">
        <v>10</v>
      </c>
      <c r="V1876">
        <v>13</v>
      </c>
      <c r="W1876">
        <v>16</v>
      </c>
      <c r="X1876">
        <v>20</v>
      </c>
      <c r="Y1876">
        <v>13</v>
      </c>
      <c r="Z1876">
        <v>4</v>
      </c>
      <c r="AA1876">
        <v>1</v>
      </c>
      <c r="AB1876">
        <v>0</v>
      </c>
      <c r="AC1876">
        <v>4</v>
      </c>
      <c r="AD1876">
        <v>3</v>
      </c>
      <c r="AE1876">
        <v>5</v>
      </c>
      <c r="AF1876">
        <v>2</v>
      </c>
      <c r="AG1876">
        <v>7</v>
      </c>
      <c r="AH1876">
        <v>1</v>
      </c>
      <c r="AI1876">
        <v>1</v>
      </c>
    </row>
    <row r="1877" spans="1:35" hidden="1" x14ac:dyDescent="0.25">
      <c r="A1877">
        <v>2019</v>
      </c>
      <c r="B1877" s="1">
        <v>43618</v>
      </c>
      <c r="C1877">
        <v>7</v>
      </c>
      <c r="D1877">
        <v>26930</v>
      </c>
      <c r="E1877">
        <v>31000</v>
      </c>
      <c r="F1877" t="s">
        <v>38</v>
      </c>
      <c r="G1877" t="s">
        <v>83</v>
      </c>
      <c r="H1877" t="s">
        <v>46</v>
      </c>
      <c r="I1877" t="s">
        <v>85</v>
      </c>
      <c r="J1877">
        <v>8</v>
      </c>
      <c r="K1877">
        <v>18</v>
      </c>
      <c r="L1877">
        <v>15050000</v>
      </c>
      <c r="M1877">
        <v>22300000</v>
      </c>
      <c r="N1877" t="s">
        <v>107</v>
      </c>
      <c r="O1877" t="s">
        <v>270</v>
      </c>
      <c r="P1877">
        <v>1</v>
      </c>
      <c r="Q1877">
        <v>0</v>
      </c>
      <c r="R1877">
        <v>0</v>
      </c>
      <c r="S1877">
        <v>0</v>
      </c>
      <c r="T1877">
        <v>10</v>
      </c>
      <c r="U1877">
        <v>4</v>
      </c>
      <c r="V1877">
        <v>8</v>
      </c>
      <c r="W1877">
        <v>9</v>
      </c>
      <c r="X1877">
        <v>14</v>
      </c>
      <c r="Y1877">
        <v>8</v>
      </c>
      <c r="Z1877">
        <v>1</v>
      </c>
      <c r="AA1877">
        <v>2</v>
      </c>
      <c r="AB1877">
        <v>0</v>
      </c>
      <c r="AC1877">
        <v>5</v>
      </c>
      <c r="AD1877">
        <v>3</v>
      </c>
      <c r="AE1877">
        <v>1</v>
      </c>
      <c r="AF1877">
        <v>5</v>
      </c>
      <c r="AG1877">
        <v>2</v>
      </c>
      <c r="AH1877">
        <v>1</v>
      </c>
      <c r="AI1877">
        <v>1</v>
      </c>
    </row>
    <row r="1878" spans="1:35" hidden="1" x14ac:dyDescent="0.25">
      <c r="A1878">
        <v>2018</v>
      </c>
      <c r="B1878" s="1">
        <v>43323</v>
      </c>
      <c r="C1878">
        <v>18</v>
      </c>
      <c r="D1878">
        <v>13772</v>
      </c>
      <c r="E1878">
        <v>20268</v>
      </c>
      <c r="F1878" t="s">
        <v>361</v>
      </c>
      <c r="G1878" t="s">
        <v>454</v>
      </c>
      <c r="H1878" t="s">
        <v>362</v>
      </c>
      <c r="I1878" t="s">
        <v>333</v>
      </c>
      <c r="J1878">
        <v>19</v>
      </c>
      <c r="K1878">
        <v>18</v>
      </c>
      <c r="L1878">
        <v>7250000</v>
      </c>
      <c r="M1878">
        <v>10700000</v>
      </c>
      <c r="N1878" t="s">
        <v>86</v>
      </c>
      <c r="O1878" t="s">
        <v>189</v>
      </c>
      <c r="P1878">
        <v>0</v>
      </c>
      <c r="Q1878">
        <v>0</v>
      </c>
      <c r="R1878">
        <v>0</v>
      </c>
      <c r="S1878">
        <v>0</v>
      </c>
      <c r="T1878">
        <v>3</v>
      </c>
      <c r="U1878">
        <v>9</v>
      </c>
      <c r="V1878">
        <v>15</v>
      </c>
      <c r="W1878">
        <v>15</v>
      </c>
      <c r="X1878">
        <v>15</v>
      </c>
      <c r="Y1878">
        <v>15</v>
      </c>
      <c r="Z1878">
        <v>3</v>
      </c>
      <c r="AA1878">
        <v>4</v>
      </c>
      <c r="AB1878">
        <v>0</v>
      </c>
      <c r="AC1878">
        <v>0</v>
      </c>
      <c r="AD1878">
        <v>4</v>
      </c>
      <c r="AE1878">
        <v>3</v>
      </c>
      <c r="AF1878">
        <v>6</v>
      </c>
      <c r="AG1878">
        <v>8</v>
      </c>
      <c r="AH1878">
        <v>0</v>
      </c>
      <c r="AI1878">
        <v>0</v>
      </c>
    </row>
    <row r="1879" spans="1:35" hidden="1" x14ac:dyDescent="0.25">
      <c r="A1879">
        <v>2018</v>
      </c>
      <c r="B1879" s="1">
        <v>43331</v>
      </c>
      <c r="C1879">
        <v>19</v>
      </c>
      <c r="D1879">
        <v>8822</v>
      </c>
      <c r="E1879">
        <v>35632</v>
      </c>
      <c r="F1879" t="s">
        <v>94</v>
      </c>
      <c r="G1879" t="s">
        <v>95</v>
      </c>
      <c r="H1879" t="s">
        <v>455</v>
      </c>
      <c r="I1879" t="s">
        <v>336</v>
      </c>
      <c r="J1879">
        <v>16</v>
      </c>
      <c r="K1879">
        <v>6</v>
      </c>
      <c r="L1879">
        <v>13950000</v>
      </c>
      <c r="M1879">
        <v>40650000</v>
      </c>
      <c r="N1879">
        <v>24</v>
      </c>
      <c r="O1879" t="s">
        <v>114</v>
      </c>
      <c r="P1879">
        <v>0</v>
      </c>
      <c r="Q1879">
        <v>3</v>
      </c>
      <c r="R1879">
        <v>0</v>
      </c>
      <c r="S1879">
        <v>2</v>
      </c>
      <c r="T1879">
        <v>3</v>
      </c>
      <c r="U1879">
        <v>3</v>
      </c>
      <c r="V1879">
        <v>24</v>
      </c>
      <c r="W1879">
        <v>18</v>
      </c>
      <c r="X1879">
        <v>18</v>
      </c>
      <c r="Y1879">
        <v>24</v>
      </c>
      <c r="Z1879">
        <v>5</v>
      </c>
      <c r="AA1879">
        <v>2</v>
      </c>
      <c r="AB1879">
        <v>0</v>
      </c>
      <c r="AC1879">
        <v>0</v>
      </c>
      <c r="AD1879">
        <v>2</v>
      </c>
      <c r="AE1879">
        <v>8</v>
      </c>
      <c r="AF1879">
        <v>4</v>
      </c>
      <c r="AG1879">
        <v>9</v>
      </c>
      <c r="AH1879">
        <v>-3</v>
      </c>
      <c r="AI1879">
        <v>0</v>
      </c>
    </row>
    <row r="1880" spans="1:35" hidden="1" x14ac:dyDescent="0.25">
      <c r="A1880">
        <v>2018</v>
      </c>
      <c r="B1880" s="1">
        <v>43353</v>
      </c>
      <c r="C1880">
        <v>24</v>
      </c>
      <c r="D1880">
        <v>10092</v>
      </c>
      <c r="E1880">
        <v>35632</v>
      </c>
      <c r="F1880" t="s">
        <v>94</v>
      </c>
      <c r="G1880" t="s">
        <v>82</v>
      </c>
      <c r="H1880" t="s">
        <v>455</v>
      </c>
      <c r="I1880" t="s">
        <v>378</v>
      </c>
      <c r="J1880">
        <v>14</v>
      </c>
      <c r="K1880">
        <v>16</v>
      </c>
      <c r="L1880">
        <v>7450000</v>
      </c>
      <c r="M1880">
        <v>9700000</v>
      </c>
      <c r="N1880" t="s">
        <v>401</v>
      </c>
      <c r="O1880">
        <v>29</v>
      </c>
      <c r="P1880">
        <v>1</v>
      </c>
      <c r="Q1880">
        <v>0</v>
      </c>
      <c r="R1880">
        <v>0</v>
      </c>
      <c r="S1880">
        <v>0</v>
      </c>
      <c r="T1880">
        <v>2</v>
      </c>
      <c r="U1880">
        <v>5</v>
      </c>
      <c r="V1880">
        <v>16</v>
      </c>
      <c r="W1880">
        <v>18</v>
      </c>
      <c r="X1880">
        <v>18</v>
      </c>
      <c r="Y1880">
        <v>16</v>
      </c>
      <c r="Z1880">
        <v>4</v>
      </c>
      <c r="AA1880">
        <v>2</v>
      </c>
      <c r="AB1880">
        <v>0</v>
      </c>
      <c r="AC1880">
        <v>0</v>
      </c>
      <c r="AD1880">
        <v>1</v>
      </c>
      <c r="AE1880">
        <v>2</v>
      </c>
      <c r="AF1880">
        <v>1</v>
      </c>
      <c r="AG1880">
        <v>0</v>
      </c>
      <c r="AH1880">
        <v>1</v>
      </c>
      <c r="AI1880">
        <v>1</v>
      </c>
    </row>
    <row r="1881" spans="1:35" hidden="1" x14ac:dyDescent="0.25">
      <c r="A1881">
        <v>2018</v>
      </c>
      <c r="B1881" s="1">
        <v>43400</v>
      </c>
      <c r="C1881">
        <v>31</v>
      </c>
      <c r="D1881">
        <v>11714</v>
      </c>
      <c r="E1881">
        <v>35632</v>
      </c>
      <c r="F1881" t="s">
        <v>94</v>
      </c>
      <c r="G1881" t="s">
        <v>62</v>
      </c>
      <c r="H1881" t="s">
        <v>455</v>
      </c>
      <c r="I1881" t="s">
        <v>342</v>
      </c>
      <c r="J1881">
        <v>17</v>
      </c>
      <c r="K1881">
        <v>4</v>
      </c>
      <c r="L1881">
        <v>6050000</v>
      </c>
      <c r="M1881">
        <v>24900000</v>
      </c>
      <c r="N1881" t="s">
        <v>220</v>
      </c>
      <c r="O1881" t="s">
        <v>41</v>
      </c>
      <c r="P1881">
        <v>0</v>
      </c>
      <c r="Q1881">
        <v>1</v>
      </c>
      <c r="R1881">
        <v>0</v>
      </c>
      <c r="S1881">
        <v>1</v>
      </c>
      <c r="T1881">
        <v>4</v>
      </c>
      <c r="U1881">
        <v>6</v>
      </c>
      <c r="V1881">
        <v>6</v>
      </c>
      <c r="W1881">
        <v>18</v>
      </c>
      <c r="X1881">
        <v>18</v>
      </c>
      <c r="Y1881">
        <v>6</v>
      </c>
      <c r="Z1881">
        <v>2</v>
      </c>
      <c r="AA1881">
        <v>3</v>
      </c>
      <c r="AB1881">
        <v>0</v>
      </c>
      <c r="AC1881">
        <v>0</v>
      </c>
      <c r="AD1881">
        <v>3</v>
      </c>
      <c r="AE1881">
        <v>3</v>
      </c>
      <c r="AF1881">
        <v>6</v>
      </c>
      <c r="AG1881">
        <v>4</v>
      </c>
      <c r="AH1881">
        <v>-1</v>
      </c>
      <c r="AI1881">
        <v>0</v>
      </c>
    </row>
    <row r="1882" spans="1:35" hidden="1" x14ac:dyDescent="0.25">
      <c r="A1882">
        <v>2018</v>
      </c>
      <c r="B1882" s="1">
        <v>43429</v>
      </c>
      <c r="C1882">
        <v>37</v>
      </c>
      <c r="D1882">
        <v>3759</v>
      </c>
      <c r="E1882">
        <v>35632</v>
      </c>
      <c r="F1882" t="s">
        <v>94</v>
      </c>
      <c r="G1882" t="s">
        <v>83</v>
      </c>
      <c r="H1882" t="s">
        <v>456</v>
      </c>
      <c r="I1882" t="s">
        <v>85</v>
      </c>
      <c r="J1882">
        <v>19</v>
      </c>
      <c r="K1882">
        <v>4</v>
      </c>
      <c r="L1882">
        <v>8380000</v>
      </c>
      <c r="M1882">
        <v>29650000</v>
      </c>
      <c r="N1882" t="s">
        <v>145</v>
      </c>
      <c r="O1882" t="s">
        <v>111</v>
      </c>
      <c r="P1882">
        <v>0</v>
      </c>
      <c r="Q1882">
        <v>0</v>
      </c>
      <c r="R1882">
        <v>0</v>
      </c>
      <c r="S1882">
        <v>0</v>
      </c>
      <c r="T1882">
        <v>7</v>
      </c>
      <c r="U1882">
        <v>9</v>
      </c>
      <c r="V1882">
        <v>14</v>
      </c>
      <c r="W1882">
        <v>21</v>
      </c>
      <c r="X1882">
        <v>21</v>
      </c>
      <c r="Y1882">
        <v>14</v>
      </c>
      <c r="Z1882">
        <v>7</v>
      </c>
      <c r="AA1882">
        <v>3</v>
      </c>
      <c r="AB1882">
        <v>0</v>
      </c>
      <c r="AC1882">
        <v>0</v>
      </c>
      <c r="AD1882">
        <v>3</v>
      </c>
      <c r="AE1882">
        <v>7</v>
      </c>
      <c r="AF1882">
        <v>6</v>
      </c>
      <c r="AG1882">
        <v>7</v>
      </c>
      <c r="AH1882">
        <v>0</v>
      </c>
      <c r="AI1882">
        <v>0</v>
      </c>
    </row>
    <row r="1883" spans="1:35" hidden="1" x14ac:dyDescent="0.25">
      <c r="A1883">
        <v>2018</v>
      </c>
      <c r="B1883" s="1">
        <v>43338</v>
      </c>
      <c r="C1883">
        <v>21</v>
      </c>
      <c r="D1883">
        <v>28375</v>
      </c>
      <c r="E1883">
        <v>49205</v>
      </c>
      <c r="F1883" t="s">
        <v>88</v>
      </c>
      <c r="G1883" t="s">
        <v>457</v>
      </c>
      <c r="H1883" t="s">
        <v>399</v>
      </c>
      <c r="I1883" t="s">
        <v>444</v>
      </c>
      <c r="J1883">
        <v>8</v>
      </c>
      <c r="K1883">
        <v>20</v>
      </c>
      <c r="L1883">
        <v>28800000</v>
      </c>
      <c r="M1883">
        <v>6050000</v>
      </c>
      <c r="N1883" t="s">
        <v>137</v>
      </c>
      <c r="O1883" t="s">
        <v>252</v>
      </c>
      <c r="P1883">
        <v>1</v>
      </c>
      <c r="Q1883">
        <v>0</v>
      </c>
      <c r="R1883">
        <v>1</v>
      </c>
      <c r="S1883">
        <v>0</v>
      </c>
      <c r="T1883">
        <v>8</v>
      </c>
      <c r="U1883">
        <v>7</v>
      </c>
      <c r="V1883">
        <v>17</v>
      </c>
      <c r="W1883">
        <v>15</v>
      </c>
      <c r="X1883">
        <v>15</v>
      </c>
      <c r="Y1883">
        <v>19</v>
      </c>
      <c r="Z1883">
        <v>6</v>
      </c>
      <c r="AA1883">
        <v>10</v>
      </c>
      <c r="AB1883">
        <v>2</v>
      </c>
      <c r="AC1883">
        <v>0</v>
      </c>
      <c r="AD1883">
        <v>4</v>
      </c>
      <c r="AE1883">
        <v>2</v>
      </c>
      <c r="AF1883">
        <v>3</v>
      </c>
      <c r="AG1883">
        <v>1</v>
      </c>
      <c r="AH1883">
        <v>1</v>
      </c>
      <c r="AI1883">
        <v>1</v>
      </c>
    </row>
    <row r="1884" spans="1:35" hidden="1" x14ac:dyDescent="0.25">
      <c r="A1884">
        <v>2018</v>
      </c>
      <c r="B1884" s="1">
        <v>43379</v>
      </c>
      <c r="C1884">
        <v>28</v>
      </c>
      <c r="D1884">
        <v>41943</v>
      </c>
      <c r="E1884">
        <v>49205</v>
      </c>
      <c r="F1884" t="s">
        <v>88</v>
      </c>
      <c r="G1884" t="s">
        <v>77</v>
      </c>
      <c r="H1884" t="s">
        <v>78</v>
      </c>
      <c r="I1884" t="s">
        <v>315</v>
      </c>
      <c r="J1884">
        <v>9</v>
      </c>
      <c r="K1884">
        <v>5</v>
      </c>
      <c r="L1884">
        <v>23900000</v>
      </c>
      <c r="M1884">
        <v>45550000</v>
      </c>
      <c r="N1884" t="s">
        <v>209</v>
      </c>
      <c r="O1884" t="s">
        <v>168</v>
      </c>
      <c r="P1884">
        <v>0</v>
      </c>
      <c r="Q1884">
        <v>3</v>
      </c>
      <c r="R1884">
        <v>0</v>
      </c>
      <c r="S1884">
        <v>0</v>
      </c>
      <c r="T1884">
        <v>4</v>
      </c>
      <c r="U1884">
        <v>10</v>
      </c>
      <c r="V1884">
        <v>9</v>
      </c>
      <c r="W1884">
        <v>18</v>
      </c>
      <c r="X1884">
        <v>18</v>
      </c>
      <c r="Y1884">
        <v>10</v>
      </c>
      <c r="Z1884">
        <v>2</v>
      </c>
      <c r="AA1884">
        <v>3</v>
      </c>
      <c r="AB1884">
        <v>1</v>
      </c>
      <c r="AC1884">
        <v>0</v>
      </c>
      <c r="AD1884">
        <v>3</v>
      </c>
      <c r="AE1884">
        <v>5</v>
      </c>
      <c r="AF1884">
        <v>5</v>
      </c>
      <c r="AG1884">
        <v>4</v>
      </c>
      <c r="AH1884">
        <v>-3</v>
      </c>
      <c r="AI1884">
        <v>0</v>
      </c>
    </row>
    <row r="1885" spans="1:35" hidden="1" x14ac:dyDescent="0.25">
      <c r="A1885">
        <v>2018</v>
      </c>
      <c r="B1885" s="1">
        <v>43401</v>
      </c>
      <c r="C1885">
        <v>31</v>
      </c>
      <c r="D1885">
        <v>35577</v>
      </c>
      <c r="E1885">
        <v>49205</v>
      </c>
      <c r="F1885" t="s">
        <v>88</v>
      </c>
      <c r="G1885" t="s">
        <v>38</v>
      </c>
      <c r="H1885" t="s">
        <v>78</v>
      </c>
      <c r="I1885" t="s">
        <v>420</v>
      </c>
      <c r="J1885">
        <v>12</v>
      </c>
      <c r="K1885">
        <v>11</v>
      </c>
      <c r="L1885">
        <v>26900000</v>
      </c>
      <c r="M1885">
        <v>14150000</v>
      </c>
      <c r="N1885" t="s">
        <v>98</v>
      </c>
      <c r="O1885" t="s">
        <v>41</v>
      </c>
      <c r="P1885">
        <v>2</v>
      </c>
      <c r="Q1885">
        <v>1</v>
      </c>
      <c r="R1885">
        <v>0</v>
      </c>
      <c r="S1885">
        <v>0</v>
      </c>
      <c r="T1885">
        <v>5</v>
      </c>
      <c r="U1885">
        <v>5</v>
      </c>
      <c r="V1885">
        <v>10</v>
      </c>
      <c r="W1885">
        <v>15</v>
      </c>
      <c r="X1885">
        <v>15</v>
      </c>
      <c r="Y1885">
        <v>12</v>
      </c>
      <c r="Z1885">
        <v>1</v>
      </c>
      <c r="AA1885">
        <v>1</v>
      </c>
      <c r="AB1885">
        <v>2</v>
      </c>
      <c r="AC1885">
        <v>0</v>
      </c>
      <c r="AD1885">
        <v>3</v>
      </c>
      <c r="AE1885">
        <v>2</v>
      </c>
      <c r="AF1885">
        <v>4</v>
      </c>
      <c r="AG1885">
        <v>6</v>
      </c>
      <c r="AH1885">
        <v>1</v>
      </c>
      <c r="AI1885">
        <v>1</v>
      </c>
    </row>
    <row r="1886" spans="1:35" hidden="1" x14ac:dyDescent="0.25">
      <c r="A1886">
        <v>2018</v>
      </c>
      <c r="B1886" s="1">
        <v>43326</v>
      </c>
      <c r="C1886">
        <v>18</v>
      </c>
      <c r="D1886">
        <v>13735</v>
      </c>
      <c r="E1886">
        <v>82238</v>
      </c>
      <c r="F1886" t="s">
        <v>55</v>
      </c>
      <c r="G1886" t="s">
        <v>37</v>
      </c>
      <c r="H1886" t="s">
        <v>458</v>
      </c>
      <c r="I1886" t="s">
        <v>328</v>
      </c>
      <c r="J1886">
        <v>9</v>
      </c>
      <c r="K1886">
        <v>3</v>
      </c>
      <c r="L1886">
        <v>15750000</v>
      </c>
      <c r="M1886">
        <v>25200000</v>
      </c>
      <c r="N1886">
        <v>27</v>
      </c>
      <c r="O1886" t="s">
        <v>168</v>
      </c>
      <c r="P1886">
        <v>0</v>
      </c>
      <c r="Q1886">
        <v>3</v>
      </c>
      <c r="R1886">
        <v>0</v>
      </c>
      <c r="S1886">
        <v>3</v>
      </c>
      <c r="T1886">
        <v>7</v>
      </c>
      <c r="U1886">
        <v>7</v>
      </c>
      <c r="V1886">
        <v>6</v>
      </c>
      <c r="W1886">
        <v>17</v>
      </c>
      <c r="X1886">
        <v>17</v>
      </c>
      <c r="Y1886">
        <v>6</v>
      </c>
      <c r="Z1886">
        <v>5</v>
      </c>
      <c r="AA1886">
        <v>9</v>
      </c>
      <c r="AB1886">
        <v>0</v>
      </c>
      <c r="AC1886">
        <v>0</v>
      </c>
      <c r="AD1886">
        <v>4</v>
      </c>
      <c r="AE1886">
        <v>6</v>
      </c>
      <c r="AF1886">
        <v>3</v>
      </c>
      <c r="AG1886">
        <v>1</v>
      </c>
      <c r="AH1886">
        <v>-3</v>
      </c>
      <c r="AI1886">
        <v>0</v>
      </c>
    </row>
    <row r="1887" spans="1:35" hidden="1" x14ac:dyDescent="0.25">
      <c r="A1887">
        <v>2018</v>
      </c>
      <c r="B1887" s="1">
        <v>43335</v>
      </c>
      <c r="C1887">
        <v>20</v>
      </c>
      <c r="D1887">
        <v>7856</v>
      </c>
      <c r="E1887">
        <v>82238</v>
      </c>
      <c r="F1887" t="s">
        <v>55</v>
      </c>
      <c r="G1887" t="s">
        <v>88</v>
      </c>
      <c r="H1887" t="s">
        <v>458</v>
      </c>
      <c r="I1887" t="s">
        <v>399</v>
      </c>
      <c r="J1887">
        <v>10</v>
      </c>
      <c r="K1887">
        <v>7</v>
      </c>
      <c r="L1887">
        <v>13950000</v>
      </c>
      <c r="M1887">
        <v>30300000</v>
      </c>
      <c r="N1887" t="s">
        <v>252</v>
      </c>
      <c r="O1887" t="s">
        <v>73</v>
      </c>
      <c r="P1887">
        <v>1</v>
      </c>
      <c r="Q1887">
        <v>0</v>
      </c>
      <c r="R1887">
        <v>1</v>
      </c>
      <c r="S1887">
        <v>0</v>
      </c>
      <c r="T1887">
        <v>8</v>
      </c>
      <c r="U1887">
        <v>3</v>
      </c>
      <c r="V1887">
        <v>11</v>
      </c>
      <c r="W1887">
        <v>8</v>
      </c>
      <c r="X1887">
        <v>8</v>
      </c>
      <c r="Y1887">
        <v>15</v>
      </c>
      <c r="Z1887">
        <v>1</v>
      </c>
      <c r="AA1887">
        <v>2</v>
      </c>
      <c r="AB1887">
        <v>4</v>
      </c>
      <c r="AC1887">
        <v>0</v>
      </c>
      <c r="AD1887">
        <v>3</v>
      </c>
      <c r="AE1887">
        <v>1</v>
      </c>
      <c r="AF1887">
        <v>7</v>
      </c>
      <c r="AG1887">
        <v>2</v>
      </c>
      <c r="AH1887">
        <v>1</v>
      </c>
      <c r="AI1887">
        <v>1</v>
      </c>
    </row>
    <row r="1888" spans="1:35" hidden="1" x14ac:dyDescent="0.25">
      <c r="A1888">
        <v>2018</v>
      </c>
      <c r="B1888" s="1">
        <v>43350</v>
      </c>
      <c r="C1888">
        <v>23</v>
      </c>
      <c r="D1888">
        <v>8952</v>
      </c>
      <c r="E1888">
        <v>82238</v>
      </c>
      <c r="F1888" t="s">
        <v>55</v>
      </c>
      <c r="G1888" t="s">
        <v>94</v>
      </c>
      <c r="H1888" t="s">
        <v>458</v>
      </c>
      <c r="I1888" t="s">
        <v>455</v>
      </c>
      <c r="J1888">
        <v>11</v>
      </c>
      <c r="K1888">
        <v>13</v>
      </c>
      <c r="L1888">
        <v>12050000</v>
      </c>
      <c r="M1888">
        <v>9200000</v>
      </c>
      <c r="N1888" t="s">
        <v>104</v>
      </c>
      <c r="O1888" t="s">
        <v>414</v>
      </c>
      <c r="P1888">
        <v>0</v>
      </c>
      <c r="Q1888">
        <v>0</v>
      </c>
      <c r="R1888">
        <v>0</v>
      </c>
      <c r="S1888">
        <v>0</v>
      </c>
      <c r="T1888">
        <v>9</v>
      </c>
      <c r="U1888">
        <v>5</v>
      </c>
      <c r="V1888">
        <v>11</v>
      </c>
      <c r="W1888">
        <v>5</v>
      </c>
      <c r="X1888">
        <v>5</v>
      </c>
      <c r="Y1888">
        <v>12</v>
      </c>
      <c r="Z1888">
        <v>4</v>
      </c>
      <c r="AA1888">
        <v>12</v>
      </c>
      <c r="AB1888">
        <v>1</v>
      </c>
      <c r="AC1888">
        <v>0</v>
      </c>
      <c r="AD1888">
        <v>4</v>
      </c>
      <c r="AE1888">
        <v>0</v>
      </c>
      <c r="AF1888">
        <v>2</v>
      </c>
      <c r="AG1888">
        <v>1</v>
      </c>
      <c r="AH1888">
        <v>0</v>
      </c>
      <c r="AI1888">
        <v>0</v>
      </c>
    </row>
    <row r="1889" spans="1:35" hidden="1" x14ac:dyDescent="0.25">
      <c r="A1889">
        <v>2018</v>
      </c>
      <c r="B1889" s="1">
        <v>43382</v>
      </c>
      <c r="C1889">
        <v>28</v>
      </c>
      <c r="D1889">
        <v>6715</v>
      </c>
      <c r="E1889">
        <v>82238</v>
      </c>
      <c r="F1889" t="s">
        <v>55</v>
      </c>
      <c r="G1889" t="s">
        <v>457</v>
      </c>
      <c r="H1889" t="s">
        <v>458</v>
      </c>
      <c r="I1889" t="s">
        <v>444</v>
      </c>
      <c r="J1889">
        <v>10</v>
      </c>
      <c r="K1889">
        <v>20</v>
      </c>
      <c r="L1889">
        <v>13350000</v>
      </c>
      <c r="M1889">
        <v>4400000</v>
      </c>
      <c r="N1889" t="s">
        <v>239</v>
      </c>
      <c r="O1889" t="s">
        <v>117</v>
      </c>
      <c r="P1889">
        <v>4</v>
      </c>
      <c r="Q1889">
        <v>0</v>
      </c>
      <c r="R1889">
        <v>2</v>
      </c>
      <c r="S1889">
        <v>0</v>
      </c>
      <c r="T1889">
        <v>8</v>
      </c>
      <c r="U1889">
        <v>2</v>
      </c>
      <c r="V1889">
        <v>8</v>
      </c>
      <c r="W1889">
        <v>18</v>
      </c>
      <c r="X1889">
        <v>18</v>
      </c>
      <c r="Y1889">
        <v>11</v>
      </c>
      <c r="Z1889">
        <v>0</v>
      </c>
      <c r="AA1889">
        <v>4</v>
      </c>
      <c r="AB1889">
        <v>3</v>
      </c>
      <c r="AC1889">
        <v>0</v>
      </c>
      <c r="AD1889">
        <v>8</v>
      </c>
      <c r="AE1889">
        <v>0</v>
      </c>
      <c r="AF1889">
        <v>6</v>
      </c>
      <c r="AG1889">
        <v>4</v>
      </c>
      <c r="AH1889">
        <v>4</v>
      </c>
      <c r="AI1889">
        <v>1</v>
      </c>
    </row>
    <row r="1890" spans="1:35" hidden="1" x14ac:dyDescent="0.25">
      <c r="A1890">
        <v>2018</v>
      </c>
      <c r="B1890" s="1">
        <v>43436</v>
      </c>
      <c r="C1890">
        <v>38</v>
      </c>
      <c r="D1890">
        <v>34870</v>
      </c>
      <c r="E1890">
        <v>82238</v>
      </c>
      <c r="F1890" t="s">
        <v>55</v>
      </c>
      <c r="G1890" t="s">
        <v>310</v>
      </c>
      <c r="H1890" t="s">
        <v>459</v>
      </c>
      <c r="I1890" t="s">
        <v>460</v>
      </c>
      <c r="J1890">
        <v>14</v>
      </c>
      <c r="K1890">
        <v>17</v>
      </c>
      <c r="L1890">
        <v>12650000</v>
      </c>
      <c r="M1890">
        <v>9250000</v>
      </c>
      <c r="N1890" t="s">
        <v>120</v>
      </c>
      <c r="O1890" t="s">
        <v>92</v>
      </c>
      <c r="P1890">
        <v>1</v>
      </c>
      <c r="Q1890">
        <v>0</v>
      </c>
      <c r="R1890">
        <v>1</v>
      </c>
      <c r="S1890">
        <v>0</v>
      </c>
      <c r="T1890">
        <v>4</v>
      </c>
      <c r="U1890">
        <v>8</v>
      </c>
      <c r="V1890">
        <v>14</v>
      </c>
      <c r="W1890">
        <v>18</v>
      </c>
      <c r="X1890">
        <v>18</v>
      </c>
      <c r="Y1890">
        <v>17</v>
      </c>
      <c r="Z1890">
        <v>5</v>
      </c>
      <c r="AA1890">
        <v>4</v>
      </c>
      <c r="AB1890">
        <v>3</v>
      </c>
      <c r="AC1890">
        <v>0</v>
      </c>
      <c r="AD1890">
        <v>5</v>
      </c>
      <c r="AE1890">
        <v>5</v>
      </c>
      <c r="AF1890">
        <v>4</v>
      </c>
      <c r="AG1890">
        <v>8</v>
      </c>
      <c r="AH1890">
        <v>1</v>
      </c>
      <c r="AI1890">
        <v>1</v>
      </c>
    </row>
    <row r="1891" spans="1:35" hidden="1" x14ac:dyDescent="0.25">
      <c r="A1891">
        <v>2018</v>
      </c>
      <c r="B1891" s="1">
        <v>43357</v>
      </c>
      <c r="C1891">
        <v>20</v>
      </c>
      <c r="D1891">
        <v>4146</v>
      </c>
      <c r="E1891">
        <v>22600</v>
      </c>
      <c r="F1891" t="s">
        <v>394</v>
      </c>
      <c r="G1891" t="s">
        <v>454</v>
      </c>
      <c r="H1891" t="s">
        <v>340</v>
      </c>
      <c r="I1891" t="s">
        <v>333</v>
      </c>
      <c r="J1891">
        <v>16</v>
      </c>
      <c r="K1891">
        <v>13</v>
      </c>
      <c r="L1891">
        <v>8250000</v>
      </c>
      <c r="M1891">
        <v>10600000</v>
      </c>
      <c r="N1891" t="s">
        <v>128</v>
      </c>
      <c r="O1891" t="s">
        <v>230</v>
      </c>
      <c r="P1891">
        <v>2</v>
      </c>
      <c r="Q1891">
        <v>1</v>
      </c>
      <c r="R1891">
        <v>0</v>
      </c>
      <c r="S1891">
        <v>0</v>
      </c>
      <c r="T1891">
        <v>8</v>
      </c>
      <c r="U1891">
        <v>4</v>
      </c>
      <c r="V1891">
        <v>19</v>
      </c>
      <c r="W1891">
        <v>17</v>
      </c>
      <c r="X1891">
        <v>17</v>
      </c>
      <c r="Y1891">
        <v>20</v>
      </c>
      <c r="Z1891">
        <v>5</v>
      </c>
      <c r="AA1891">
        <v>3</v>
      </c>
      <c r="AB1891">
        <v>1</v>
      </c>
      <c r="AC1891">
        <v>0</v>
      </c>
      <c r="AD1891">
        <v>4</v>
      </c>
      <c r="AE1891">
        <v>6</v>
      </c>
      <c r="AF1891">
        <v>8</v>
      </c>
      <c r="AG1891">
        <v>6</v>
      </c>
      <c r="AH1891">
        <v>1</v>
      </c>
      <c r="AI1891">
        <v>1</v>
      </c>
    </row>
    <row r="1892" spans="1:35" hidden="1" x14ac:dyDescent="0.25">
      <c r="A1892">
        <v>2018</v>
      </c>
      <c r="B1892" s="1">
        <v>43368</v>
      </c>
      <c r="C1892">
        <v>26</v>
      </c>
      <c r="D1892">
        <v>5170</v>
      </c>
      <c r="E1892">
        <v>22600</v>
      </c>
      <c r="F1892" t="s">
        <v>394</v>
      </c>
      <c r="G1892" t="s">
        <v>55</v>
      </c>
      <c r="H1892" t="s">
        <v>340</v>
      </c>
      <c r="I1892" t="s">
        <v>458</v>
      </c>
      <c r="J1892">
        <v>16</v>
      </c>
      <c r="K1892">
        <v>10</v>
      </c>
      <c r="L1892">
        <v>9600000</v>
      </c>
      <c r="M1892">
        <v>13850000</v>
      </c>
      <c r="N1892" t="s">
        <v>137</v>
      </c>
      <c r="O1892" t="s">
        <v>99</v>
      </c>
      <c r="P1892">
        <v>1</v>
      </c>
      <c r="Q1892">
        <v>2</v>
      </c>
      <c r="R1892">
        <v>0</v>
      </c>
      <c r="S1892">
        <v>2</v>
      </c>
      <c r="T1892">
        <v>7</v>
      </c>
      <c r="U1892">
        <v>2</v>
      </c>
      <c r="V1892">
        <v>19</v>
      </c>
      <c r="W1892">
        <v>19</v>
      </c>
      <c r="X1892">
        <v>19</v>
      </c>
      <c r="Y1892">
        <v>20</v>
      </c>
      <c r="Z1892">
        <v>3</v>
      </c>
      <c r="AA1892">
        <v>2</v>
      </c>
      <c r="AB1892">
        <v>1</v>
      </c>
      <c r="AC1892">
        <v>0</v>
      </c>
      <c r="AD1892">
        <v>3</v>
      </c>
      <c r="AE1892">
        <v>5</v>
      </c>
      <c r="AF1892">
        <v>2</v>
      </c>
      <c r="AG1892">
        <v>1</v>
      </c>
      <c r="AH1892">
        <v>-1</v>
      </c>
      <c r="AI1892">
        <v>0</v>
      </c>
    </row>
    <row r="1893" spans="1:35" hidden="1" x14ac:dyDescent="0.25">
      <c r="A1893">
        <v>2018</v>
      </c>
      <c r="B1893" s="1">
        <v>43387</v>
      </c>
      <c r="C1893">
        <v>29</v>
      </c>
      <c r="D1893">
        <v>6280</v>
      </c>
      <c r="E1893">
        <v>22600</v>
      </c>
      <c r="F1893" t="s">
        <v>394</v>
      </c>
      <c r="G1893" t="s">
        <v>94</v>
      </c>
      <c r="H1893" t="s">
        <v>340</v>
      </c>
      <c r="I1893" t="s">
        <v>455</v>
      </c>
      <c r="J1893">
        <v>17</v>
      </c>
      <c r="K1893">
        <v>18</v>
      </c>
      <c r="L1893">
        <v>7750000</v>
      </c>
      <c r="M1893">
        <v>11100000</v>
      </c>
      <c r="N1893" t="s">
        <v>233</v>
      </c>
      <c r="O1893" t="s">
        <v>230</v>
      </c>
      <c r="P1893">
        <v>0</v>
      </c>
      <c r="Q1893">
        <v>1</v>
      </c>
      <c r="R1893">
        <v>0</v>
      </c>
      <c r="S1893">
        <v>1</v>
      </c>
      <c r="T1893">
        <v>7</v>
      </c>
      <c r="U1893">
        <v>3</v>
      </c>
      <c r="V1893">
        <v>14</v>
      </c>
      <c r="W1893">
        <v>20</v>
      </c>
      <c r="X1893">
        <v>20</v>
      </c>
      <c r="Y1893">
        <v>15</v>
      </c>
      <c r="Z1893">
        <v>4</v>
      </c>
      <c r="AA1893">
        <v>3</v>
      </c>
      <c r="AB1893">
        <v>1</v>
      </c>
      <c r="AC1893">
        <v>0</v>
      </c>
      <c r="AD1893">
        <v>4</v>
      </c>
      <c r="AE1893">
        <v>3</v>
      </c>
      <c r="AF1893">
        <v>9</v>
      </c>
      <c r="AG1893">
        <v>11</v>
      </c>
      <c r="AH1893">
        <v>-1</v>
      </c>
      <c r="AI1893">
        <v>0</v>
      </c>
    </row>
    <row r="1894" spans="1:35" hidden="1" x14ac:dyDescent="0.25">
      <c r="A1894">
        <v>2018</v>
      </c>
      <c r="B1894" s="1">
        <v>43345</v>
      </c>
      <c r="C1894">
        <v>22</v>
      </c>
      <c r="D1894">
        <v>33646</v>
      </c>
      <c r="E1894">
        <v>82000</v>
      </c>
      <c r="F1894" t="s">
        <v>82</v>
      </c>
      <c r="G1894" t="s">
        <v>419</v>
      </c>
      <c r="H1894" t="s">
        <v>378</v>
      </c>
      <c r="I1894" t="s">
        <v>71</v>
      </c>
      <c r="J1894">
        <v>12</v>
      </c>
      <c r="K1894">
        <v>11</v>
      </c>
      <c r="L1894">
        <v>11400000</v>
      </c>
      <c r="M1894">
        <v>35300000</v>
      </c>
      <c r="N1894" t="s">
        <v>98</v>
      </c>
      <c r="O1894" t="s">
        <v>239</v>
      </c>
      <c r="P1894">
        <v>0</v>
      </c>
      <c r="Q1894">
        <v>3</v>
      </c>
      <c r="R1894">
        <v>0</v>
      </c>
      <c r="S1894">
        <v>1</v>
      </c>
      <c r="T1894">
        <v>8</v>
      </c>
      <c r="U1894">
        <v>3</v>
      </c>
      <c r="V1894">
        <v>12</v>
      </c>
      <c r="W1894">
        <v>11</v>
      </c>
      <c r="X1894">
        <v>11</v>
      </c>
      <c r="Y1894">
        <v>13</v>
      </c>
      <c r="Z1894">
        <v>1</v>
      </c>
      <c r="AA1894">
        <v>3</v>
      </c>
      <c r="AB1894">
        <v>1</v>
      </c>
      <c r="AC1894">
        <v>0</v>
      </c>
      <c r="AD1894">
        <v>3</v>
      </c>
      <c r="AE1894">
        <v>4</v>
      </c>
      <c r="AF1894">
        <v>5</v>
      </c>
      <c r="AG1894">
        <v>6</v>
      </c>
      <c r="AH1894">
        <v>-3</v>
      </c>
      <c r="AI1894">
        <v>0</v>
      </c>
    </row>
    <row r="1895" spans="1:35" hidden="1" x14ac:dyDescent="0.25">
      <c r="A1895">
        <v>2018</v>
      </c>
      <c r="B1895" s="1">
        <v>43335</v>
      </c>
      <c r="C1895">
        <v>20</v>
      </c>
      <c r="D1895">
        <v>24882</v>
      </c>
      <c r="E1895">
        <v>43600</v>
      </c>
      <c r="F1895" t="s">
        <v>95</v>
      </c>
      <c r="G1895" t="s">
        <v>51</v>
      </c>
      <c r="H1895" t="s">
        <v>336</v>
      </c>
      <c r="I1895" t="s">
        <v>323</v>
      </c>
      <c r="J1895">
        <v>6</v>
      </c>
      <c r="K1895">
        <v>12</v>
      </c>
      <c r="L1895">
        <v>34450000</v>
      </c>
      <c r="M1895">
        <v>11800000</v>
      </c>
      <c r="N1895" t="s">
        <v>174</v>
      </c>
      <c r="O1895" t="s">
        <v>318</v>
      </c>
      <c r="P1895">
        <v>2</v>
      </c>
      <c r="Q1895">
        <v>0</v>
      </c>
      <c r="R1895">
        <v>0</v>
      </c>
      <c r="S1895">
        <v>0</v>
      </c>
      <c r="T1895">
        <v>11</v>
      </c>
      <c r="U1895">
        <v>3</v>
      </c>
      <c r="V1895">
        <v>15</v>
      </c>
      <c r="W1895">
        <v>16</v>
      </c>
      <c r="X1895">
        <v>16</v>
      </c>
      <c r="Y1895">
        <v>18</v>
      </c>
      <c r="Z1895">
        <v>4</v>
      </c>
      <c r="AA1895">
        <v>3</v>
      </c>
      <c r="AB1895">
        <v>3</v>
      </c>
      <c r="AC1895">
        <v>0</v>
      </c>
      <c r="AD1895">
        <v>5</v>
      </c>
      <c r="AE1895">
        <v>4</v>
      </c>
      <c r="AF1895">
        <v>8</v>
      </c>
      <c r="AG1895">
        <v>5</v>
      </c>
      <c r="AH1895">
        <v>2</v>
      </c>
      <c r="AI1895">
        <v>1</v>
      </c>
    </row>
    <row r="1896" spans="1:35" hidden="1" x14ac:dyDescent="0.25">
      <c r="A1896">
        <v>2018</v>
      </c>
      <c r="B1896" s="1">
        <v>43352</v>
      </c>
      <c r="C1896">
        <v>24</v>
      </c>
      <c r="D1896">
        <v>38568</v>
      </c>
      <c r="E1896">
        <v>43600</v>
      </c>
      <c r="F1896" t="s">
        <v>95</v>
      </c>
      <c r="G1896" t="s">
        <v>88</v>
      </c>
      <c r="H1896" t="s">
        <v>336</v>
      </c>
      <c r="I1896" t="s">
        <v>78</v>
      </c>
      <c r="J1896">
        <v>3</v>
      </c>
      <c r="K1896">
        <v>8</v>
      </c>
      <c r="L1896">
        <v>38150000</v>
      </c>
      <c r="M1896">
        <v>21400000</v>
      </c>
      <c r="N1896">
        <v>28</v>
      </c>
      <c r="O1896" t="s">
        <v>73</v>
      </c>
      <c r="P1896">
        <v>1</v>
      </c>
      <c r="Q1896">
        <v>0</v>
      </c>
      <c r="R1896">
        <v>0</v>
      </c>
      <c r="S1896">
        <v>0</v>
      </c>
      <c r="T1896">
        <v>8</v>
      </c>
      <c r="U1896">
        <v>3</v>
      </c>
      <c r="V1896">
        <v>13</v>
      </c>
      <c r="W1896">
        <v>16</v>
      </c>
      <c r="X1896">
        <v>16</v>
      </c>
      <c r="Y1896">
        <v>17</v>
      </c>
      <c r="Z1896">
        <v>0</v>
      </c>
      <c r="AA1896">
        <v>2</v>
      </c>
      <c r="AB1896">
        <v>4</v>
      </c>
      <c r="AC1896">
        <v>0</v>
      </c>
      <c r="AD1896">
        <v>3</v>
      </c>
      <c r="AE1896">
        <v>0</v>
      </c>
      <c r="AF1896">
        <v>5</v>
      </c>
      <c r="AG1896">
        <v>4</v>
      </c>
      <c r="AH1896">
        <v>1</v>
      </c>
      <c r="AI1896">
        <v>1</v>
      </c>
    </row>
    <row r="1897" spans="1:35" hidden="1" x14ac:dyDescent="0.25">
      <c r="A1897">
        <v>2018</v>
      </c>
      <c r="B1897" s="1">
        <v>43407</v>
      </c>
      <c r="C1897">
        <v>32</v>
      </c>
      <c r="D1897">
        <v>38938</v>
      </c>
      <c r="E1897">
        <v>43600</v>
      </c>
      <c r="F1897" t="s">
        <v>95</v>
      </c>
      <c r="G1897" t="s">
        <v>419</v>
      </c>
      <c r="H1897" t="s">
        <v>336</v>
      </c>
      <c r="I1897" t="s">
        <v>71</v>
      </c>
      <c r="J1897">
        <v>1</v>
      </c>
      <c r="K1897">
        <v>7</v>
      </c>
      <c r="L1897">
        <v>45450000</v>
      </c>
      <c r="M1897">
        <v>37750000</v>
      </c>
      <c r="N1897" t="s">
        <v>100</v>
      </c>
      <c r="O1897" t="s">
        <v>151</v>
      </c>
      <c r="P1897">
        <v>3</v>
      </c>
      <c r="Q1897">
        <v>2</v>
      </c>
      <c r="R1897">
        <v>2</v>
      </c>
      <c r="S1897">
        <v>0</v>
      </c>
      <c r="T1897">
        <v>3</v>
      </c>
      <c r="U1897">
        <v>5</v>
      </c>
      <c r="V1897">
        <v>24</v>
      </c>
      <c r="W1897">
        <v>24</v>
      </c>
      <c r="X1897">
        <v>24</v>
      </c>
      <c r="Y1897">
        <v>24</v>
      </c>
      <c r="Z1897">
        <v>3</v>
      </c>
      <c r="AA1897">
        <v>1</v>
      </c>
      <c r="AB1897">
        <v>0</v>
      </c>
      <c r="AC1897">
        <v>0</v>
      </c>
      <c r="AD1897">
        <v>4</v>
      </c>
      <c r="AE1897">
        <v>5</v>
      </c>
      <c r="AF1897">
        <v>3</v>
      </c>
      <c r="AG1897">
        <v>0</v>
      </c>
      <c r="AH1897">
        <v>1</v>
      </c>
      <c r="AI1897">
        <v>1</v>
      </c>
    </row>
    <row r="1898" spans="1:35" hidden="1" x14ac:dyDescent="0.25">
      <c r="A1898">
        <v>2018</v>
      </c>
      <c r="B1898" s="1">
        <v>43426</v>
      </c>
      <c r="C1898">
        <v>36</v>
      </c>
      <c r="D1898">
        <v>39429</v>
      </c>
      <c r="E1898">
        <v>43600</v>
      </c>
      <c r="F1898" t="s">
        <v>95</v>
      </c>
      <c r="G1898" t="s">
        <v>310</v>
      </c>
      <c r="H1898" t="s">
        <v>336</v>
      </c>
      <c r="I1898" t="s">
        <v>460</v>
      </c>
      <c r="J1898">
        <v>1</v>
      </c>
      <c r="K1898">
        <v>17</v>
      </c>
      <c r="L1898">
        <v>40500000</v>
      </c>
      <c r="M1898">
        <v>8600000</v>
      </c>
      <c r="N1898" t="s">
        <v>73</v>
      </c>
      <c r="O1898" t="s">
        <v>137</v>
      </c>
      <c r="P1898">
        <v>4</v>
      </c>
      <c r="Q1898">
        <v>0</v>
      </c>
      <c r="R1898">
        <v>0</v>
      </c>
      <c r="S1898">
        <v>0</v>
      </c>
      <c r="T1898">
        <v>9</v>
      </c>
      <c r="U1898">
        <v>2</v>
      </c>
      <c r="V1898">
        <v>12</v>
      </c>
      <c r="W1898">
        <v>15</v>
      </c>
      <c r="X1898">
        <v>15</v>
      </c>
      <c r="Y1898">
        <v>15</v>
      </c>
      <c r="Z1898">
        <v>0</v>
      </c>
      <c r="AA1898">
        <v>6</v>
      </c>
      <c r="AB1898">
        <v>3</v>
      </c>
      <c r="AC1898">
        <v>0</v>
      </c>
      <c r="AD1898">
        <v>10</v>
      </c>
      <c r="AE1898">
        <v>0</v>
      </c>
      <c r="AF1898">
        <v>8</v>
      </c>
      <c r="AG1898">
        <v>0</v>
      </c>
      <c r="AH1898">
        <v>4</v>
      </c>
      <c r="AI1898">
        <v>1</v>
      </c>
    </row>
    <row r="1899" spans="1:35" hidden="1" x14ac:dyDescent="0.25">
      <c r="A1899">
        <v>2018</v>
      </c>
      <c r="B1899" s="1">
        <v>43436</v>
      </c>
      <c r="C1899">
        <v>38</v>
      </c>
      <c r="D1899">
        <v>41256</v>
      </c>
      <c r="E1899">
        <v>43600</v>
      </c>
      <c r="F1899" t="s">
        <v>95</v>
      </c>
      <c r="G1899" t="s">
        <v>94</v>
      </c>
      <c r="H1899" t="s">
        <v>336</v>
      </c>
      <c r="I1899" t="s">
        <v>456</v>
      </c>
      <c r="J1899">
        <v>1</v>
      </c>
      <c r="K1899">
        <v>19</v>
      </c>
      <c r="L1899">
        <v>43450000</v>
      </c>
      <c r="M1899">
        <v>3280000</v>
      </c>
      <c r="N1899" t="s">
        <v>123</v>
      </c>
      <c r="O1899" t="s">
        <v>318</v>
      </c>
      <c r="P1899">
        <v>3</v>
      </c>
      <c r="Q1899">
        <v>2</v>
      </c>
      <c r="R1899">
        <v>1</v>
      </c>
      <c r="S1899">
        <v>0</v>
      </c>
      <c r="T1899">
        <v>10</v>
      </c>
      <c r="U1899">
        <v>2</v>
      </c>
      <c r="V1899">
        <v>10</v>
      </c>
      <c r="W1899">
        <v>5</v>
      </c>
      <c r="X1899">
        <v>5</v>
      </c>
      <c r="Y1899">
        <v>12</v>
      </c>
      <c r="Z1899">
        <v>1</v>
      </c>
      <c r="AA1899">
        <v>4</v>
      </c>
      <c r="AB1899">
        <v>2</v>
      </c>
      <c r="AC1899">
        <v>0</v>
      </c>
      <c r="AD1899">
        <v>7</v>
      </c>
      <c r="AE1899">
        <v>3</v>
      </c>
      <c r="AF1899">
        <v>12</v>
      </c>
      <c r="AG1899">
        <v>6</v>
      </c>
      <c r="AH1899">
        <v>1</v>
      </c>
      <c r="AI1899">
        <v>1</v>
      </c>
    </row>
    <row r="1900" spans="1:35" hidden="1" x14ac:dyDescent="0.25">
      <c r="A1900">
        <v>2018</v>
      </c>
      <c r="B1900" s="1">
        <v>43338</v>
      </c>
      <c r="C1900">
        <v>21</v>
      </c>
      <c r="D1900">
        <v>6031</v>
      </c>
      <c r="E1900">
        <v>46931</v>
      </c>
      <c r="F1900" t="s">
        <v>51</v>
      </c>
      <c r="G1900" t="s">
        <v>391</v>
      </c>
      <c r="H1900" t="s">
        <v>323</v>
      </c>
      <c r="I1900" t="s">
        <v>369</v>
      </c>
      <c r="J1900">
        <v>15</v>
      </c>
      <c r="K1900">
        <v>17</v>
      </c>
      <c r="L1900">
        <v>13150000</v>
      </c>
      <c r="M1900">
        <v>12650000</v>
      </c>
      <c r="N1900" t="s">
        <v>339</v>
      </c>
      <c r="O1900" t="s">
        <v>309</v>
      </c>
      <c r="P1900">
        <v>2</v>
      </c>
      <c r="Q1900">
        <v>0</v>
      </c>
      <c r="R1900">
        <v>0</v>
      </c>
      <c r="S1900">
        <v>0</v>
      </c>
      <c r="T1900">
        <v>9</v>
      </c>
      <c r="U1900">
        <v>2</v>
      </c>
      <c r="V1900">
        <v>22</v>
      </c>
      <c r="W1900">
        <v>13</v>
      </c>
      <c r="X1900">
        <v>13</v>
      </c>
      <c r="Y1900">
        <v>26</v>
      </c>
      <c r="Z1900">
        <v>2</v>
      </c>
      <c r="AA1900">
        <v>6</v>
      </c>
      <c r="AB1900">
        <v>4</v>
      </c>
      <c r="AC1900">
        <v>0</v>
      </c>
      <c r="AD1900">
        <v>9</v>
      </c>
      <c r="AE1900">
        <v>2</v>
      </c>
      <c r="AF1900">
        <v>7</v>
      </c>
      <c r="AG1900">
        <v>5</v>
      </c>
      <c r="AH1900">
        <v>2</v>
      </c>
      <c r="AI1900">
        <v>1</v>
      </c>
    </row>
    <row r="1901" spans="1:35" hidden="1" x14ac:dyDescent="0.25">
      <c r="A1901">
        <v>2018</v>
      </c>
      <c r="B1901" s="1">
        <v>43349</v>
      </c>
      <c r="C1901">
        <v>23</v>
      </c>
      <c r="D1901">
        <v>5749</v>
      </c>
      <c r="E1901">
        <v>46931</v>
      </c>
      <c r="F1901" t="s">
        <v>51</v>
      </c>
      <c r="G1901" t="s">
        <v>50</v>
      </c>
      <c r="H1901" t="s">
        <v>323</v>
      </c>
      <c r="I1901" t="s">
        <v>240</v>
      </c>
      <c r="J1901">
        <v>16</v>
      </c>
      <c r="K1901">
        <v>7</v>
      </c>
      <c r="L1901">
        <v>12100000</v>
      </c>
      <c r="M1901">
        <v>18250000</v>
      </c>
      <c r="N1901" t="s">
        <v>228</v>
      </c>
      <c r="O1901" t="s">
        <v>208</v>
      </c>
      <c r="P1901">
        <v>1</v>
      </c>
      <c r="Q1901">
        <v>1</v>
      </c>
      <c r="R1901">
        <v>1</v>
      </c>
      <c r="S1901">
        <v>1</v>
      </c>
      <c r="T1901">
        <v>5</v>
      </c>
      <c r="U1901">
        <v>2</v>
      </c>
      <c r="V1901">
        <v>9</v>
      </c>
      <c r="W1901">
        <v>15</v>
      </c>
      <c r="X1901">
        <v>15</v>
      </c>
      <c r="Y1901">
        <v>9</v>
      </c>
      <c r="Z1901">
        <v>1</v>
      </c>
      <c r="AA1901">
        <v>8</v>
      </c>
      <c r="AB1901">
        <v>0</v>
      </c>
      <c r="AC1901">
        <v>0</v>
      </c>
      <c r="AD1901">
        <v>2</v>
      </c>
      <c r="AE1901">
        <v>1</v>
      </c>
      <c r="AF1901">
        <v>1</v>
      </c>
      <c r="AG1901">
        <v>0</v>
      </c>
      <c r="AH1901">
        <v>0</v>
      </c>
      <c r="AI1901">
        <v>0</v>
      </c>
    </row>
    <row r="1902" spans="1:35" hidden="1" x14ac:dyDescent="0.25">
      <c r="A1902">
        <v>2018</v>
      </c>
      <c r="B1902" s="1">
        <v>43383</v>
      </c>
      <c r="C1902">
        <v>28</v>
      </c>
      <c r="D1902">
        <v>10059</v>
      </c>
      <c r="E1902">
        <v>46931</v>
      </c>
      <c r="F1902" t="s">
        <v>51</v>
      </c>
      <c r="G1902" t="s">
        <v>82</v>
      </c>
      <c r="H1902" t="s">
        <v>323</v>
      </c>
      <c r="I1902" t="s">
        <v>378</v>
      </c>
      <c r="J1902">
        <v>12</v>
      </c>
      <c r="K1902">
        <v>16</v>
      </c>
      <c r="L1902">
        <v>12600000</v>
      </c>
      <c r="M1902">
        <v>10050000</v>
      </c>
      <c r="N1902">
        <v>25</v>
      </c>
      <c r="O1902">
        <v>28</v>
      </c>
      <c r="P1902">
        <v>1</v>
      </c>
      <c r="Q1902">
        <v>1</v>
      </c>
      <c r="R1902">
        <v>1</v>
      </c>
      <c r="S1902">
        <v>1</v>
      </c>
      <c r="T1902">
        <v>7</v>
      </c>
      <c r="U1902">
        <v>6</v>
      </c>
      <c r="V1902">
        <v>12</v>
      </c>
      <c r="W1902">
        <v>9</v>
      </c>
      <c r="X1902">
        <v>9</v>
      </c>
      <c r="Y1902">
        <v>12</v>
      </c>
      <c r="Z1902">
        <v>7</v>
      </c>
      <c r="AA1902">
        <v>7</v>
      </c>
      <c r="AB1902">
        <v>0</v>
      </c>
      <c r="AC1902">
        <v>0</v>
      </c>
      <c r="AD1902">
        <v>3</v>
      </c>
      <c r="AE1902">
        <v>4</v>
      </c>
      <c r="AF1902">
        <v>3</v>
      </c>
      <c r="AG1902">
        <v>0</v>
      </c>
      <c r="AH1902">
        <v>0</v>
      </c>
      <c r="AI1902">
        <v>0</v>
      </c>
    </row>
    <row r="1903" spans="1:35" hidden="1" x14ac:dyDescent="0.25">
      <c r="A1903">
        <v>2018</v>
      </c>
      <c r="B1903" s="1">
        <v>43393</v>
      </c>
      <c r="C1903">
        <v>30</v>
      </c>
      <c r="D1903">
        <v>8180</v>
      </c>
      <c r="E1903">
        <v>46931</v>
      </c>
      <c r="F1903" t="s">
        <v>51</v>
      </c>
      <c r="G1903" t="s">
        <v>38</v>
      </c>
      <c r="H1903" t="s">
        <v>323</v>
      </c>
      <c r="I1903" t="s">
        <v>420</v>
      </c>
      <c r="J1903">
        <v>12</v>
      </c>
      <c r="K1903">
        <v>13</v>
      </c>
      <c r="L1903">
        <v>12300000</v>
      </c>
      <c r="M1903">
        <v>12200000</v>
      </c>
      <c r="N1903">
        <v>26</v>
      </c>
      <c r="O1903" t="s">
        <v>209</v>
      </c>
      <c r="P1903">
        <v>0</v>
      </c>
      <c r="Q1903">
        <v>1</v>
      </c>
      <c r="R1903">
        <v>0</v>
      </c>
      <c r="S1903">
        <v>0</v>
      </c>
      <c r="T1903">
        <v>8</v>
      </c>
      <c r="U1903">
        <v>2</v>
      </c>
      <c r="V1903">
        <v>9</v>
      </c>
      <c r="W1903">
        <v>21</v>
      </c>
      <c r="X1903">
        <v>21</v>
      </c>
      <c r="Y1903">
        <v>9</v>
      </c>
      <c r="Z1903">
        <v>0</v>
      </c>
      <c r="AA1903">
        <v>3</v>
      </c>
      <c r="AB1903">
        <v>0</v>
      </c>
      <c r="AC1903">
        <v>0</v>
      </c>
      <c r="AD1903">
        <v>3</v>
      </c>
      <c r="AE1903">
        <v>1</v>
      </c>
      <c r="AF1903">
        <v>3</v>
      </c>
      <c r="AG1903">
        <v>6</v>
      </c>
      <c r="AH1903">
        <v>-1</v>
      </c>
      <c r="AI1903">
        <v>0</v>
      </c>
    </row>
    <row r="1904" spans="1:35" hidden="1" x14ac:dyDescent="0.25">
      <c r="A1904">
        <v>2018</v>
      </c>
      <c r="B1904" s="1">
        <v>43345</v>
      </c>
      <c r="C1904">
        <v>22</v>
      </c>
      <c r="D1904">
        <v>49348</v>
      </c>
      <c r="E1904">
        <v>67428</v>
      </c>
      <c r="F1904" t="s">
        <v>62</v>
      </c>
      <c r="G1904" t="s">
        <v>55</v>
      </c>
      <c r="H1904" t="s">
        <v>342</v>
      </c>
      <c r="I1904" t="s">
        <v>458</v>
      </c>
      <c r="J1904">
        <v>1</v>
      </c>
      <c r="K1904">
        <v>10</v>
      </c>
      <c r="L1904">
        <v>23450000</v>
      </c>
      <c r="M1904">
        <v>11550000</v>
      </c>
      <c r="N1904">
        <v>29</v>
      </c>
      <c r="O1904" t="s">
        <v>217</v>
      </c>
      <c r="P1904">
        <v>1</v>
      </c>
      <c r="Q1904">
        <v>1</v>
      </c>
      <c r="R1904">
        <v>0</v>
      </c>
      <c r="S1904">
        <v>0</v>
      </c>
      <c r="T1904">
        <v>5</v>
      </c>
      <c r="U1904">
        <v>5</v>
      </c>
      <c r="V1904">
        <v>10</v>
      </c>
      <c r="W1904">
        <v>15</v>
      </c>
      <c r="X1904">
        <v>15</v>
      </c>
      <c r="Y1904">
        <v>11</v>
      </c>
      <c r="Z1904">
        <v>1</v>
      </c>
      <c r="AA1904">
        <v>2</v>
      </c>
      <c r="AB1904">
        <v>1</v>
      </c>
      <c r="AC1904">
        <v>0</v>
      </c>
      <c r="AD1904">
        <v>3</v>
      </c>
      <c r="AE1904">
        <v>1</v>
      </c>
      <c r="AF1904">
        <v>2</v>
      </c>
      <c r="AG1904">
        <v>7</v>
      </c>
      <c r="AH1904">
        <v>0</v>
      </c>
      <c r="AI1904">
        <v>0</v>
      </c>
    </row>
    <row r="1905" spans="1:35" hidden="1" x14ac:dyDescent="0.25">
      <c r="A1905">
        <v>2018</v>
      </c>
      <c r="B1905" s="1">
        <v>43365</v>
      </c>
      <c r="C1905">
        <v>26</v>
      </c>
      <c r="D1905">
        <v>47846</v>
      </c>
      <c r="E1905">
        <v>67428</v>
      </c>
      <c r="F1905" t="s">
        <v>62</v>
      </c>
      <c r="G1905" t="s">
        <v>310</v>
      </c>
      <c r="H1905" t="s">
        <v>342</v>
      </c>
      <c r="I1905" t="s">
        <v>450</v>
      </c>
      <c r="J1905">
        <v>1</v>
      </c>
      <c r="K1905">
        <v>12</v>
      </c>
      <c r="L1905">
        <v>29400000</v>
      </c>
      <c r="M1905">
        <v>7950000</v>
      </c>
      <c r="N1905" t="s">
        <v>74</v>
      </c>
      <c r="O1905" t="s">
        <v>109</v>
      </c>
      <c r="P1905">
        <v>1</v>
      </c>
      <c r="Q1905">
        <v>1</v>
      </c>
      <c r="R1905">
        <v>1</v>
      </c>
      <c r="S1905">
        <v>0</v>
      </c>
      <c r="T1905">
        <v>6</v>
      </c>
      <c r="U1905">
        <v>2</v>
      </c>
      <c r="V1905">
        <v>13</v>
      </c>
      <c r="W1905">
        <v>11</v>
      </c>
      <c r="X1905">
        <v>11</v>
      </c>
      <c r="Y1905">
        <v>14</v>
      </c>
      <c r="Z1905">
        <v>5</v>
      </c>
      <c r="AA1905">
        <v>8</v>
      </c>
      <c r="AB1905">
        <v>1</v>
      </c>
      <c r="AC1905">
        <v>0</v>
      </c>
      <c r="AD1905">
        <v>2</v>
      </c>
      <c r="AE1905">
        <v>1</v>
      </c>
      <c r="AF1905">
        <v>4</v>
      </c>
      <c r="AG1905">
        <v>1</v>
      </c>
      <c r="AH1905">
        <v>0</v>
      </c>
      <c r="AI1905">
        <v>0</v>
      </c>
    </row>
    <row r="1906" spans="1:35" hidden="1" x14ac:dyDescent="0.25">
      <c r="A1906">
        <v>2018</v>
      </c>
      <c r="B1906" s="1">
        <v>43419</v>
      </c>
      <c r="C1906">
        <v>34</v>
      </c>
      <c r="D1906">
        <v>24757</v>
      </c>
      <c r="E1906">
        <v>67428</v>
      </c>
      <c r="F1906" t="s">
        <v>62</v>
      </c>
      <c r="G1906" t="s">
        <v>83</v>
      </c>
      <c r="H1906" t="s">
        <v>461</v>
      </c>
      <c r="I1906" t="s">
        <v>85</v>
      </c>
      <c r="J1906">
        <v>5</v>
      </c>
      <c r="K1906">
        <v>4</v>
      </c>
      <c r="L1906">
        <v>26500000</v>
      </c>
      <c r="M1906">
        <v>25950000</v>
      </c>
      <c r="N1906" t="s">
        <v>66</v>
      </c>
      <c r="O1906" t="s">
        <v>134</v>
      </c>
      <c r="P1906">
        <v>1</v>
      </c>
      <c r="Q1906">
        <v>1</v>
      </c>
      <c r="R1906">
        <v>0</v>
      </c>
      <c r="S1906">
        <v>0</v>
      </c>
      <c r="T1906">
        <v>2</v>
      </c>
      <c r="U1906">
        <v>3</v>
      </c>
      <c r="V1906">
        <v>14</v>
      </c>
      <c r="W1906">
        <v>12</v>
      </c>
      <c r="X1906">
        <v>12</v>
      </c>
      <c r="Y1906">
        <v>16</v>
      </c>
      <c r="Z1906">
        <v>4</v>
      </c>
      <c r="AA1906">
        <v>8</v>
      </c>
      <c r="AB1906">
        <v>2</v>
      </c>
      <c r="AC1906">
        <v>0</v>
      </c>
      <c r="AD1906">
        <v>2</v>
      </c>
      <c r="AE1906">
        <v>2</v>
      </c>
      <c r="AF1906">
        <v>6</v>
      </c>
      <c r="AG1906">
        <v>1</v>
      </c>
      <c r="AH1906">
        <v>0</v>
      </c>
      <c r="AI1906">
        <v>0</v>
      </c>
    </row>
    <row r="1907" spans="1:35" hidden="1" x14ac:dyDescent="0.25">
      <c r="A1907">
        <v>2018</v>
      </c>
      <c r="B1907" s="1">
        <v>43353</v>
      </c>
      <c r="C1907">
        <v>24</v>
      </c>
      <c r="D1907">
        <v>4504</v>
      </c>
      <c r="E1907">
        <v>20083</v>
      </c>
      <c r="F1907" t="s">
        <v>457</v>
      </c>
      <c r="G1907" t="s">
        <v>419</v>
      </c>
      <c r="H1907" t="s">
        <v>444</v>
      </c>
      <c r="I1907" t="s">
        <v>71</v>
      </c>
      <c r="J1907">
        <v>20</v>
      </c>
      <c r="K1907">
        <v>10</v>
      </c>
      <c r="L1907">
        <v>5150000</v>
      </c>
      <c r="M1907">
        <v>28900000</v>
      </c>
      <c r="N1907" t="s">
        <v>217</v>
      </c>
      <c r="O1907" t="s">
        <v>116</v>
      </c>
      <c r="P1907">
        <v>0</v>
      </c>
      <c r="Q1907">
        <v>2</v>
      </c>
      <c r="R1907">
        <v>0</v>
      </c>
      <c r="S1907">
        <v>0</v>
      </c>
      <c r="T1907">
        <v>3</v>
      </c>
      <c r="U1907">
        <v>2</v>
      </c>
      <c r="V1907">
        <v>14</v>
      </c>
      <c r="W1907">
        <v>17</v>
      </c>
      <c r="X1907">
        <v>17</v>
      </c>
      <c r="Y1907">
        <v>14</v>
      </c>
      <c r="Z1907">
        <v>1</v>
      </c>
      <c r="AA1907">
        <v>4</v>
      </c>
      <c r="AB1907">
        <v>0</v>
      </c>
      <c r="AC1907">
        <v>0</v>
      </c>
      <c r="AD1907">
        <v>4</v>
      </c>
      <c r="AE1907">
        <v>3</v>
      </c>
      <c r="AF1907">
        <v>6</v>
      </c>
      <c r="AG1907">
        <v>2</v>
      </c>
      <c r="AH1907">
        <v>-2</v>
      </c>
      <c r="AI1907">
        <v>0</v>
      </c>
    </row>
    <row r="1908" spans="1:35" hidden="1" x14ac:dyDescent="0.25">
      <c r="A1908">
        <v>2018</v>
      </c>
      <c r="B1908" s="1">
        <v>43325</v>
      </c>
      <c r="C1908">
        <v>18</v>
      </c>
      <c r="D1908">
        <v>16146</v>
      </c>
      <c r="E1908">
        <v>60540</v>
      </c>
      <c r="F1908" t="s">
        <v>83</v>
      </c>
      <c r="G1908" t="s">
        <v>94</v>
      </c>
      <c r="H1908" t="s">
        <v>85</v>
      </c>
      <c r="I1908" t="s">
        <v>456</v>
      </c>
      <c r="J1908">
        <v>4</v>
      </c>
      <c r="K1908">
        <v>15</v>
      </c>
      <c r="L1908">
        <v>10000000</v>
      </c>
      <c r="M1908">
        <v>12650000</v>
      </c>
      <c r="N1908" t="s">
        <v>98</v>
      </c>
      <c r="O1908" t="s">
        <v>202</v>
      </c>
      <c r="P1908">
        <v>4</v>
      </c>
      <c r="Q1908">
        <v>0</v>
      </c>
      <c r="R1908">
        <v>2</v>
      </c>
      <c r="S1908">
        <v>0</v>
      </c>
      <c r="T1908">
        <v>1</v>
      </c>
      <c r="U1908">
        <v>1</v>
      </c>
      <c r="V1908">
        <v>15</v>
      </c>
      <c r="W1908">
        <v>12</v>
      </c>
      <c r="X1908">
        <v>12</v>
      </c>
      <c r="Y1908">
        <v>16</v>
      </c>
      <c r="Z1908">
        <v>4</v>
      </c>
      <c r="AA1908">
        <v>4</v>
      </c>
      <c r="AB1908">
        <v>1</v>
      </c>
      <c r="AC1908">
        <v>0</v>
      </c>
      <c r="AD1908">
        <v>6</v>
      </c>
      <c r="AE1908">
        <v>1</v>
      </c>
      <c r="AF1908">
        <v>2</v>
      </c>
      <c r="AG1908">
        <v>1</v>
      </c>
      <c r="AH1908">
        <v>4</v>
      </c>
      <c r="AI1908">
        <v>1</v>
      </c>
    </row>
    <row r="1909" spans="1:35" hidden="1" x14ac:dyDescent="0.25">
      <c r="A1909">
        <v>2018</v>
      </c>
      <c r="B1909" s="1">
        <v>43335</v>
      </c>
      <c r="C1909">
        <v>20</v>
      </c>
      <c r="D1909">
        <v>14559</v>
      </c>
      <c r="E1909">
        <v>60540</v>
      </c>
      <c r="F1909" t="s">
        <v>83</v>
      </c>
      <c r="G1909" t="s">
        <v>50</v>
      </c>
      <c r="H1909" t="s">
        <v>85</v>
      </c>
      <c r="I1909" t="s">
        <v>240</v>
      </c>
      <c r="J1909">
        <v>4</v>
      </c>
      <c r="K1909">
        <v>8</v>
      </c>
      <c r="L1909">
        <v>50400000</v>
      </c>
      <c r="M1909">
        <v>25450000</v>
      </c>
      <c r="N1909" t="s">
        <v>105</v>
      </c>
      <c r="O1909" t="s">
        <v>200</v>
      </c>
      <c r="P1909">
        <v>1</v>
      </c>
      <c r="Q1909">
        <v>1</v>
      </c>
      <c r="R1909">
        <v>0</v>
      </c>
      <c r="S1909">
        <v>1</v>
      </c>
      <c r="T1909">
        <v>6</v>
      </c>
      <c r="U1909">
        <v>2</v>
      </c>
      <c r="V1909">
        <v>12</v>
      </c>
      <c r="W1909">
        <v>15</v>
      </c>
      <c r="X1909">
        <v>15</v>
      </c>
      <c r="Y1909">
        <v>12</v>
      </c>
      <c r="Z1909">
        <v>4</v>
      </c>
      <c r="AA1909">
        <v>4</v>
      </c>
      <c r="AB1909">
        <v>0</v>
      </c>
      <c r="AC1909">
        <v>0</v>
      </c>
      <c r="AD1909">
        <v>5</v>
      </c>
      <c r="AE1909">
        <v>5</v>
      </c>
      <c r="AF1909">
        <v>3</v>
      </c>
      <c r="AG1909">
        <v>0</v>
      </c>
      <c r="AH1909">
        <v>0</v>
      </c>
      <c r="AI1909">
        <v>0</v>
      </c>
    </row>
    <row r="1910" spans="1:35" hidden="1" x14ac:dyDescent="0.25">
      <c r="A1910">
        <v>2018</v>
      </c>
      <c r="B1910" s="1">
        <v>43344</v>
      </c>
      <c r="C1910">
        <v>22</v>
      </c>
      <c r="D1910">
        <v>16589</v>
      </c>
      <c r="E1910">
        <v>60540</v>
      </c>
      <c r="F1910" t="s">
        <v>83</v>
      </c>
      <c r="G1910" t="s">
        <v>51</v>
      </c>
      <c r="H1910" t="s">
        <v>85</v>
      </c>
      <c r="I1910" t="s">
        <v>323</v>
      </c>
      <c r="J1910">
        <v>5</v>
      </c>
      <c r="K1910">
        <v>14</v>
      </c>
      <c r="L1910">
        <v>47200000</v>
      </c>
      <c r="M1910">
        <v>10900000</v>
      </c>
      <c r="N1910" t="s">
        <v>208</v>
      </c>
      <c r="O1910" t="s">
        <v>60</v>
      </c>
      <c r="P1910">
        <v>4</v>
      </c>
      <c r="Q1910">
        <v>0</v>
      </c>
      <c r="R1910">
        <v>2</v>
      </c>
      <c r="S1910">
        <v>0</v>
      </c>
      <c r="T1910">
        <v>5</v>
      </c>
      <c r="U1910">
        <v>6</v>
      </c>
      <c r="V1910">
        <v>12</v>
      </c>
      <c r="W1910">
        <v>18</v>
      </c>
      <c r="X1910">
        <v>18</v>
      </c>
      <c r="Y1910">
        <v>13</v>
      </c>
      <c r="Z1910">
        <v>0</v>
      </c>
      <c r="AA1910">
        <v>3</v>
      </c>
      <c r="AB1910">
        <v>1</v>
      </c>
      <c r="AC1910">
        <v>0</v>
      </c>
      <c r="AD1910">
        <v>8</v>
      </c>
      <c r="AE1910">
        <v>0</v>
      </c>
      <c r="AF1910">
        <v>3</v>
      </c>
      <c r="AG1910">
        <v>3</v>
      </c>
      <c r="AH1910">
        <v>4</v>
      </c>
      <c r="AI1910">
        <v>1</v>
      </c>
    </row>
    <row r="1911" spans="1:35" hidden="1" x14ac:dyDescent="0.25">
      <c r="A1911">
        <v>2018</v>
      </c>
      <c r="B1911" s="1">
        <v>43358</v>
      </c>
      <c r="C1911">
        <v>25</v>
      </c>
      <c r="D1911">
        <v>20198</v>
      </c>
      <c r="E1911">
        <v>60540</v>
      </c>
      <c r="F1911" t="s">
        <v>83</v>
      </c>
      <c r="G1911" t="s">
        <v>457</v>
      </c>
      <c r="H1911" t="s">
        <v>85</v>
      </c>
      <c r="I1911" t="s">
        <v>444</v>
      </c>
      <c r="J1911">
        <v>6</v>
      </c>
      <c r="K1911">
        <v>20</v>
      </c>
      <c r="L1911">
        <v>7950000</v>
      </c>
      <c r="M1911">
        <v>4350000</v>
      </c>
      <c r="N1911" t="s">
        <v>120</v>
      </c>
      <c r="O1911" t="s">
        <v>151</v>
      </c>
      <c r="P1911">
        <v>2</v>
      </c>
      <c r="Q1911">
        <v>0</v>
      </c>
      <c r="R1911">
        <v>0</v>
      </c>
      <c r="S1911">
        <v>0</v>
      </c>
      <c r="T1911">
        <v>4</v>
      </c>
      <c r="U1911">
        <v>3</v>
      </c>
      <c r="V1911">
        <v>11</v>
      </c>
      <c r="W1911">
        <v>12</v>
      </c>
      <c r="X1911">
        <v>12</v>
      </c>
      <c r="Y1911">
        <v>16</v>
      </c>
      <c r="Z1911">
        <v>1</v>
      </c>
      <c r="AA1911">
        <v>2</v>
      </c>
      <c r="AB1911">
        <v>5</v>
      </c>
      <c r="AC1911">
        <v>0</v>
      </c>
      <c r="AD1911">
        <v>4</v>
      </c>
      <c r="AE1911">
        <v>1</v>
      </c>
      <c r="AF1911">
        <v>9</v>
      </c>
      <c r="AG1911">
        <v>2</v>
      </c>
      <c r="AH1911">
        <v>2</v>
      </c>
      <c r="AI1911">
        <v>1</v>
      </c>
    </row>
    <row r="1912" spans="1:35" hidden="1" x14ac:dyDescent="0.25">
      <c r="A1912">
        <v>2018</v>
      </c>
      <c r="B1912" s="1">
        <v>43366</v>
      </c>
      <c r="C1912">
        <v>26</v>
      </c>
      <c r="D1912">
        <v>38924</v>
      </c>
      <c r="E1912">
        <v>60540</v>
      </c>
      <c r="F1912" t="s">
        <v>83</v>
      </c>
      <c r="G1912" t="s">
        <v>361</v>
      </c>
      <c r="H1912" t="s">
        <v>85</v>
      </c>
      <c r="I1912" t="s">
        <v>362</v>
      </c>
      <c r="J1912">
        <v>5</v>
      </c>
      <c r="K1912">
        <v>17</v>
      </c>
      <c r="L1912">
        <v>49900000</v>
      </c>
      <c r="M1912">
        <v>6180000</v>
      </c>
      <c r="N1912" t="s">
        <v>296</v>
      </c>
      <c r="O1912" t="s">
        <v>135</v>
      </c>
      <c r="P1912">
        <v>3</v>
      </c>
      <c r="Q1912">
        <v>2</v>
      </c>
      <c r="R1912">
        <v>2</v>
      </c>
      <c r="S1912">
        <v>2</v>
      </c>
      <c r="T1912">
        <v>17</v>
      </c>
      <c r="U1912">
        <v>0</v>
      </c>
      <c r="V1912">
        <v>12</v>
      </c>
      <c r="W1912">
        <v>9</v>
      </c>
      <c r="X1912">
        <v>9</v>
      </c>
      <c r="Y1912">
        <v>13</v>
      </c>
      <c r="Z1912">
        <v>1</v>
      </c>
      <c r="AA1912">
        <v>5</v>
      </c>
      <c r="AB1912">
        <v>1</v>
      </c>
      <c r="AC1912">
        <v>0</v>
      </c>
      <c r="AD1912">
        <v>8</v>
      </c>
      <c r="AE1912">
        <v>3</v>
      </c>
      <c r="AF1912">
        <v>9</v>
      </c>
      <c r="AG1912">
        <v>2</v>
      </c>
      <c r="AH1912">
        <v>1</v>
      </c>
      <c r="AI1912">
        <v>1</v>
      </c>
    </row>
    <row r="1913" spans="1:35" hidden="1" x14ac:dyDescent="0.25">
      <c r="A1913">
        <v>2018</v>
      </c>
      <c r="B1913" s="1">
        <v>43380</v>
      </c>
      <c r="C1913">
        <v>28</v>
      </c>
      <c r="D1913">
        <v>31516</v>
      </c>
      <c r="E1913">
        <v>60540</v>
      </c>
      <c r="F1913" t="s">
        <v>83</v>
      </c>
      <c r="G1913" t="s">
        <v>38</v>
      </c>
      <c r="H1913" t="s">
        <v>85</v>
      </c>
      <c r="I1913" t="s">
        <v>420</v>
      </c>
      <c r="J1913">
        <v>4</v>
      </c>
      <c r="K1913">
        <v>14</v>
      </c>
      <c r="L1913">
        <v>46650000</v>
      </c>
      <c r="M1913">
        <v>13650000</v>
      </c>
      <c r="N1913" t="s">
        <v>135</v>
      </c>
      <c r="O1913" t="s">
        <v>120</v>
      </c>
      <c r="P1913">
        <v>2</v>
      </c>
      <c r="Q1913">
        <v>2</v>
      </c>
      <c r="R1913">
        <v>0</v>
      </c>
      <c r="S1913">
        <v>1</v>
      </c>
      <c r="T1913">
        <v>9</v>
      </c>
      <c r="U1913">
        <v>5</v>
      </c>
      <c r="V1913">
        <v>14</v>
      </c>
      <c r="W1913">
        <v>23</v>
      </c>
      <c r="X1913">
        <v>23</v>
      </c>
      <c r="Y1913">
        <v>19</v>
      </c>
      <c r="Z1913">
        <v>3</v>
      </c>
      <c r="AA1913">
        <v>4</v>
      </c>
      <c r="AB1913">
        <v>5</v>
      </c>
      <c r="AC1913">
        <v>0</v>
      </c>
      <c r="AD1913">
        <v>7</v>
      </c>
      <c r="AE1913">
        <v>5</v>
      </c>
      <c r="AF1913">
        <v>5</v>
      </c>
      <c r="AG1913">
        <v>2</v>
      </c>
      <c r="AH1913">
        <v>0</v>
      </c>
      <c r="AI1913">
        <v>0</v>
      </c>
    </row>
    <row r="1914" spans="1:35" hidden="1" x14ac:dyDescent="0.25">
      <c r="A1914">
        <v>2018</v>
      </c>
      <c r="B1914" s="1">
        <v>43400</v>
      </c>
      <c r="C1914">
        <v>31</v>
      </c>
      <c r="D1914">
        <v>13842</v>
      </c>
      <c r="E1914">
        <v>60540</v>
      </c>
      <c r="F1914" t="s">
        <v>83</v>
      </c>
      <c r="G1914" t="s">
        <v>391</v>
      </c>
      <c r="H1914" t="s">
        <v>85</v>
      </c>
      <c r="I1914" t="s">
        <v>462</v>
      </c>
      <c r="J1914">
        <v>5</v>
      </c>
      <c r="K1914">
        <v>19</v>
      </c>
      <c r="L1914">
        <v>8900000</v>
      </c>
      <c r="M1914">
        <v>10050000</v>
      </c>
      <c r="N1914" t="s">
        <v>149</v>
      </c>
      <c r="O1914" t="s">
        <v>163</v>
      </c>
      <c r="P1914">
        <v>3</v>
      </c>
      <c r="Q1914">
        <v>4</v>
      </c>
      <c r="R1914">
        <v>1</v>
      </c>
      <c r="S1914">
        <v>2</v>
      </c>
      <c r="T1914">
        <v>10</v>
      </c>
      <c r="U1914">
        <v>0</v>
      </c>
      <c r="V1914">
        <v>10</v>
      </c>
      <c r="W1914">
        <v>15</v>
      </c>
      <c r="X1914">
        <v>15</v>
      </c>
      <c r="Y1914">
        <v>10</v>
      </c>
      <c r="Z1914">
        <v>0</v>
      </c>
      <c r="AA1914">
        <v>2</v>
      </c>
      <c r="AB1914">
        <v>0</v>
      </c>
      <c r="AC1914">
        <v>0</v>
      </c>
      <c r="AD1914">
        <v>5</v>
      </c>
      <c r="AE1914">
        <v>4</v>
      </c>
      <c r="AF1914">
        <v>5</v>
      </c>
      <c r="AG1914">
        <v>4</v>
      </c>
      <c r="AH1914">
        <v>-1</v>
      </c>
      <c r="AI1914">
        <v>0</v>
      </c>
    </row>
    <row r="1915" spans="1:35" hidden="1" x14ac:dyDescent="0.25">
      <c r="A1915">
        <v>2018</v>
      </c>
      <c r="B1915" s="1">
        <v>43422</v>
      </c>
      <c r="C1915">
        <v>35</v>
      </c>
      <c r="D1915">
        <v>14982</v>
      </c>
      <c r="E1915">
        <v>60540</v>
      </c>
      <c r="F1915" t="s">
        <v>83</v>
      </c>
      <c r="G1915" t="s">
        <v>394</v>
      </c>
      <c r="H1915" t="s">
        <v>85</v>
      </c>
      <c r="I1915" t="s">
        <v>444</v>
      </c>
      <c r="J1915">
        <v>4</v>
      </c>
      <c r="K1915">
        <v>17</v>
      </c>
      <c r="L1915">
        <v>25650000</v>
      </c>
      <c r="M1915">
        <v>11500000</v>
      </c>
      <c r="N1915" t="s">
        <v>166</v>
      </c>
      <c r="O1915">
        <v>29</v>
      </c>
      <c r="P1915">
        <v>2</v>
      </c>
      <c r="Q1915">
        <v>0</v>
      </c>
      <c r="R1915">
        <v>1</v>
      </c>
      <c r="S1915">
        <v>0</v>
      </c>
      <c r="T1915">
        <v>4</v>
      </c>
      <c r="U1915">
        <v>2</v>
      </c>
      <c r="V1915">
        <v>13</v>
      </c>
      <c r="W1915">
        <v>22</v>
      </c>
      <c r="X1915">
        <v>22</v>
      </c>
      <c r="Y1915">
        <v>16</v>
      </c>
      <c r="Z1915">
        <v>3</v>
      </c>
      <c r="AA1915">
        <v>9</v>
      </c>
      <c r="AB1915">
        <v>3</v>
      </c>
      <c r="AC1915">
        <v>0</v>
      </c>
      <c r="AD1915">
        <v>11</v>
      </c>
      <c r="AE1915">
        <v>3</v>
      </c>
      <c r="AF1915">
        <v>4</v>
      </c>
      <c r="AG1915">
        <v>5</v>
      </c>
      <c r="AH1915">
        <v>2</v>
      </c>
      <c r="AI1915">
        <v>1</v>
      </c>
    </row>
    <row r="1916" spans="1:35" hidden="1" x14ac:dyDescent="0.25">
      <c r="A1916">
        <v>2018</v>
      </c>
      <c r="B1916" s="1">
        <v>43436</v>
      </c>
      <c r="C1916">
        <v>38</v>
      </c>
      <c r="D1916">
        <v>41330</v>
      </c>
      <c r="E1916">
        <v>60540</v>
      </c>
      <c r="F1916" t="s">
        <v>83</v>
      </c>
      <c r="G1916" t="s">
        <v>88</v>
      </c>
      <c r="H1916" t="s">
        <v>85</v>
      </c>
      <c r="I1916" t="s">
        <v>78</v>
      </c>
      <c r="J1916">
        <v>4</v>
      </c>
      <c r="K1916">
        <v>12</v>
      </c>
      <c r="L1916">
        <v>26200000</v>
      </c>
      <c r="M1916">
        <v>29200000</v>
      </c>
      <c r="N1916" t="s">
        <v>193</v>
      </c>
      <c r="O1916" t="s">
        <v>252</v>
      </c>
      <c r="P1916">
        <v>1</v>
      </c>
      <c r="Q1916">
        <v>0</v>
      </c>
      <c r="R1916">
        <v>1</v>
      </c>
      <c r="S1916">
        <v>0</v>
      </c>
      <c r="T1916">
        <v>7</v>
      </c>
      <c r="U1916">
        <v>5</v>
      </c>
      <c r="V1916">
        <v>15</v>
      </c>
      <c r="W1916">
        <v>12</v>
      </c>
      <c r="X1916">
        <v>12</v>
      </c>
      <c r="Y1916">
        <v>16</v>
      </c>
      <c r="Z1916">
        <v>1</v>
      </c>
      <c r="AA1916">
        <v>2</v>
      </c>
      <c r="AB1916">
        <v>1</v>
      </c>
      <c r="AC1916">
        <v>0</v>
      </c>
      <c r="AD1916">
        <v>3</v>
      </c>
      <c r="AE1916">
        <v>1</v>
      </c>
      <c r="AF1916">
        <v>5</v>
      </c>
      <c r="AG1916">
        <v>2</v>
      </c>
      <c r="AH1916">
        <v>1</v>
      </c>
      <c r="AI1916">
        <v>1</v>
      </c>
    </row>
    <row r="1917" spans="1:35" hidden="1" x14ac:dyDescent="0.25">
      <c r="A1917">
        <v>2018</v>
      </c>
      <c r="B1917" s="1">
        <v>43345</v>
      </c>
      <c r="C1917">
        <v>22</v>
      </c>
      <c r="D1917">
        <v>13433</v>
      </c>
      <c r="E1917">
        <v>42372</v>
      </c>
      <c r="F1917" t="s">
        <v>454</v>
      </c>
      <c r="G1917" t="s">
        <v>38</v>
      </c>
      <c r="H1917" t="s">
        <v>333</v>
      </c>
      <c r="I1917" t="s">
        <v>420</v>
      </c>
      <c r="J1917">
        <v>15</v>
      </c>
      <c r="K1917">
        <v>13</v>
      </c>
      <c r="L1917">
        <v>11200000</v>
      </c>
      <c r="M1917">
        <v>13850000</v>
      </c>
      <c r="N1917" t="s">
        <v>202</v>
      </c>
      <c r="O1917" t="s">
        <v>107</v>
      </c>
      <c r="P1917">
        <v>2</v>
      </c>
      <c r="Q1917">
        <v>0</v>
      </c>
      <c r="R1917">
        <v>0</v>
      </c>
      <c r="S1917">
        <v>0</v>
      </c>
      <c r="T1917">
        <v>4</v>
      </c>
      <c r="U1917">
        <v>2</v>
      </c>
      <c r="V1917">
        <v>13</v>
      </c>
      <c r="W1917">
        <v>10</v>
      </c>
      <c r="X1917">
        <v>10</v>
      </c>
      <c r="Y1917">
        <v>16</v>
      </c>
      <c r="Z1917">
        <v>3</v>
      </c>
      <c r="AA1917">
        <v>7</v>
      </c>
      <c r="AB1917">
        <v>3</v>
      </c>
      <c r="AC1917">
        <v>0</v>
      </c>
      <c r="AD1917">
        <v>9</v>
      </c>
      <c r="AE1917">
        <v>3</v>
      </c>
      <c r="AF1917">
        <v>6</v>
      </c>
      <c r="AG1917">
        <v>1</v>
      </c>
      <c r="AH1917">
        <v>2</v>
      </c>
      <c r="AI1917">
        <v>1</v>
      </c>
    </row>
    <row r="1918" spans="1:35" hidden="1" x14ac:dyDescent="0.25">
      <c r="A1918">
        <v>2018</v>
      </c>
      <c r="B1918" s="1">
        <v>43359</v>
      </c>
      <c r="C1918">
        <v>25</v>
      </c>
      <c r="D1918">
        <v>10343</v>
      </c>
      <c r="E1918">
        <v>42372</v>
      </c>
      <c r="F1918" t="s">
        <v>454</v>
      </c>
      <c r="G1918" t="s">
        <v>55</v>
      </c>
      <c r="H1918" t="s">
        <v>333</v>
      </c>
      <c r="I1918" t="s">
        <v>458</v>
      </c>
      <c r="J1918">
        <v>14</v>
      </c>
      <c r="K1918">
        <v>9</v>
      </c>
      <c r="L1918">
        <v>11600000</v>
      </c>
      <c r="M1918">
        <v>11650000</v>
      </c>
      <c r="N1918" t="s">
        <v>41</v>
      </c>
      <c r="O1918" t="s">
        <v>116</v>
      </c>
      <c r="P1918">
        <v>3</v>
      </c>
      <c r="Q1918">
        <v>1</v>
      </c>
      <c r="R1918">
        <v>2</v>
      </c>
      <c r="S1918">
        <v>0</v>
      </c>
      <c r="T1918">
        <v>5</v>
      </c>
      <c r="U1918">
        <v>3</v>
      </c>
      <c r="V1918">
        <v>15</v>
      </c>
      <c r="W1918">
        <v>14</v>
      </c>
      <c r="X1918">
        <v>14</v>
      </c>
      <c r="Y1918">
        <v>19</v>
      </c>
      <c r="Z1918">
        <v>4</v>
      </c>
      <c r="AA1918">
        <v>5</v>
      </c>
      <c r="AB1918">
        <v>4</v>
      </c>
      <c r="AC1918">
        <v>0</v>
      </c>
      <c r="AD1918">
        <v>8</v>
      </c>
      <c r="AE1918">
        <v>5</v>
      </c>
      <c r="AF1918">
        <v>4</v>
      </c>
      <c r="AG1918">
        <v>4</v>
      </c>
      <c r="AH1918">
        <v>2</v>
      </c>
      <c r="AI1918">
        <v>1</v>
      </c>
    </row>
    <row r="1919" spans="1:35" hidden="1" x14ac:dyDescent="0.25">
      <c r="A1919">
        <v>2018</v>
      </c>
      <c r="B1919" s="1">
        <v>43366</v>
      </c>
      <c r="C1919">
        <v>26</v>
      </c>
      <c r="D1919">
        <v>15831</v>
      </c>
      <c r="E1919">
        <v>42372</v>
      </c>
      <c r="F1919" t="s">
        <v>454</v>
      </c>
      <c r="G1919" t="s">
        <v>457</v>
      </c>
      <c r="H1919" t="s">
        <v>333</v>
      </c>
      <c r="I1919" t="s">
        <v>444</v>
      </c>
      <c r="J1919">
        <v>11</v>
      </c>
      <c r="K1919">
        <v>20</v>
      </c>
      <c r="L1919">
        <v>13900000</v>
      </c>
      <c r="M1919">
        <v>5600000</v>
      </c>
      <c r="N1919" t="s">
        <v>252</v>
      </c>
      <c r="O1919" t="s">
        <v>80</v>
      </c>
      <c r="P1919">
        <v>3</v>
      </c>
      <c r="Q1919">
        <v>0</v>
      </c>
      <c r="R1919">
        <v>2</v>
      </c>
      <c r="S1919">
        <v>0</v>
      </c>
      <c r="T1919">
        <v>6</v>
      </c>
      <c r="U1919">
        <v>3</v>
      </c>
      <c r="V1919">
        <v>15</v>
      </c>
      <c r="W1919">
        <v>11</v>
      </c>
      <c r="X1919">
        <v>11</v>
      </c>
      <c r="Y1919">
        <v>16</v>
      </c>
      <c r="Z1919">
        <v>3</v>
      </c>
      <c r="AA1919">
        <v>6</v>
      </c>
      <c r="AB1919">
        <v>1</v>
      </c>
      <c r="AC1919">
        <v>0</v>
      </c>
      <c r="AD1919">
        <v>9</v>
      </c>
      <c r="AE1919">
        <v>3</v>
      </c>
      <c r="AF1919">
        <v>5</v>
      </c>
      <c r="AG1919">
        <v>6</v>
      </c>
      <c r="AH1919">
        <v>3</v>
      </c>
      <c r="AI1919">
        <v>1</v>
      </c>
    </row>
    <row r="1920" spans="1:35" hidden="1" x14ac:dyDescent="0.25">
      <c r="A1920">
        <v>2018</v>
      </c>
      <c r="B1920" s="1">
        <v>43401</v>
      </c>
      <c r="C1920">
        <v>31</v>
      </c>
      <c r="D1920">
        <v>8186</v>
      </c>
      <c r="E1920">
        <v>42372</v>
      </c>
      <c r="F1920" t="s">
        <v>454</v>
      </c>
      <c r="G1920" t="s">
        <v>51</v>
      </c>
      <c r="H1920" t="s">
        <v>333</v>
      </c>
      <c r="I1920" t="s">
        <v>323</v>
      </c>
      <c r="J1920">
        <v>8</v>
      </c>
      <c r="K1920">
        <v>13</v>
      </c>
      <c r="L1920">
        <v>10250000</v>
      </c>
      <c r="M1920">
        <v>13400000</v>
      </c>
      <c r="N1920" t="s">
        <v>163</v>
      </c>
      <c r="O1920" t="s">
        <v>221</v>
      </c>
      <c r="P1920">
        <v>2</v>
      </c>
      <c r="Q1920">
        <v>1</v>
      </c>
      <c r="R1920">
        <v>0</v>
      </c>
      <c r="S1920">
        <v>1</v>
      </c>
      <c r="T1920">
        <v>5</v>
      </c>
      <c r="U1920">
        <v>2</v>
      </c>
      <c r="V1920">
        <v>13</v>
      </c>
      <c r="W1920">
        <v>23</v>
      </c>
      <c r="X1920">
        <v>23</v>
      </c>
      <c r="Y1920">
        <v>14</v>
      </c>
      <c r="Z1920">
        <v>3</v>
      </c>
      <c r="AA1920">
        <v>5</v>
      </c>
      <c r="AB1920">
        <v>1</v>
      </c>
      <c r="AC1920">
        <v>0</v>
      </c>
      <c r="AD1920">
        <v>7</v>
      </c>
      <c r="AE1920">
        <v>4</v>
      </c>
      <c r="AF1920">
        <v>7</v>
      </c>
      <c r="AG1920">
        <v>4</v>
      </c>
      <c r="AH1920">
        <v>1</v>
      </c>
      <c r="AI1920">
        <v>1</v>
      </c>
    </row>
    <row r="1921" spans="1:35" hidden="1" x14ac:dyDescent="0.25">
      <c r="A1921">
        <v>2018</v>
      </c>
      <c r="B1921" s="1">
        <v>43426</v>
      </c>
      <c r="C1921">
        <v>36</v>
      </c>
      <c r="D1921">
        <v>16332</v>
      </c>
      <c r="E1921">
        <v>42372</v>
      </c>
      <c r="F1921" t="s">
        <v>454</v>
      </c>
      <c r="G1921" t="s">
        <v>88</v>
      </c>
      <c r="H1921" t="s">
        <v>333</v>
      </c>
      <c r="I1921" t="s">
        <v>78</v>
      </c>
      <c r="J1921">
        <v>7</v>
      </c>
      <c r="K1921">
        <v>12</v>
      </c>
      <c r="L1921">
        <v>12900000</v>
      </c>
      <c r="M1921">
        <v>25200000</v>
      </c>
      <c r="N1921" t="s">
        <v>209</v>
      </c>
      <c r="O1921" t="s">
        <v>134</v>
      </c>
      <c r="P1921">
        <v>1</v>
      </c>
      <c r="Q1921">
        <v>0</v>
      </c>
      <c r="R1921">
        <v>0</v>
      </c>
      <c r="S1921">
        <v>0</v>
      </c>
      <c r="T1921">
        <v>8</v>
      </c>
      <c r="U1921">
        <v>5</v>
      </c>
      <c r="V1921">
        <v>17</v>
      </c>
      <c r="W1921">
        <v>14</v>
      </c>
      <c r="X1921">
        <v>14</v>
      </c>
      <c r="Y1921">
        <v>18</v>
      </c>
      <c r="Z1921">
        <v>1</v>
      </c>
      <c r="AA1921">
        <v>4</v>
      </c>
      <c r="AB1921">
        <v>1</v>
      </c>
      <c r="AC1921">
        <v>0</v>
      </c>
      <c r="AD1921">
        <v>5</v>
      </c>
      <c r="AE1921">
        <v>1</v>
      </c>
      <c r="AF1921">
        <v>7</v>
      </c>
      <c r="AG1921">
        <v>3</v>
      </c>
      <c r="AH1921">
        <v>1</v>
      </c>
      <c r="AI1921">
        <v>1</v>
      </c>
    </row>
    <row r="1922" spans="1:35" hidden="1" x14ac:dyDescent="0.25">
      <c r="A1922">
        <v>2018</v>
      </c>
      <c r="B1922" s="1">
        <v>43350</v>
      </c>
      <c r="C1922">
        <v>23</v>
      </c>
      <c r="D1922">
        <v>16083</v>
      </c>
      <c r="E1922">
        <v>37000</v>
      </c>
      <c r="F1922" t="s">
        <v>419</v>
      </c>
      <c r="G1922" t="s">
        <v>83</v>
      </c>
      <c r="H1922" t="s">
        <v>71</v>
      </c>
      <c r="I1922" t="s">
        <v>85</v>
      </c>
      <c r="J1922">
        <v>9</v>
      </c>
      <c r="K1922">
        <v>4</v>
      </c>
      <c r="L1922">
        <v>35800000</v>
      </c>
      <c r="M1922">
        <v>24450000</v>
      </c>
      <c r="N1922" t="s">
        <v>189</v>
      </c>
      <c r="O1922" t="s">
        <v>209</v>
      </c>
      <c r="P1922">
        <v>0</v>
      </c>
      <c r="Q1922">
        <v>0</v>
      </c>
      <c r="R1922">
        <v>0</v>
      </c>
      <c r="S1922">
        <v>0</v>
      </c>
      <c r="T1922">
        <v>5</v>
      </c>
      <c r="U1922">
        <v>1</v>
      </c>
      <c r="V1922">
        <v>13</v>
      </c>
      <c r="W1922">
        <v>9</v>
      </c>
      <c r="X1922">
        <v>9</v>
      </c>
      <c r="Y1922">
        <v>13</v>
      </c>
      <c r="Z1922">
        <v>3</v>
      </c>
      <c r="AA1922">
        <v>2</v>
      </c>
      <c r="AB1922">
        <v>0</v>
      </c>
      <c r="AC1922">
        <v>0</v>
      </c>
      <c r="AD1922">
        <v>2</v>
      </c>
      <c r="AE1922">
        <v>3</v>
      </c>
      <c r="AF1922">
        <v>2</v>
      </c>
      <c r="AG1922">
        <v>2</v>
      </c>
      <c r="AH1922">
        <v>0</v>
      </c>
      <c r="AI1922">
        <v>0</v>
      </c>
    </row>
    <row r="1923" spans="1:35" hidden="1" x14ac:dyDescent="0.25">
      <c r="A1923">
        <v>2018</v>
      </c>
      <c r="B1923" s="1">
        <v>43387</v>
      </c>
      <c r="C1923">
        <v>29</v>
      </c>
      <c r="D1923">
        <v>35812</v>
      </c>
      <c r="E1923">
        <v>37000</v>
      </c>
      <c r="F1923" t="s">
        <v>95</v>
      </c>
      <c r="G1923" t="s">
        <v>83</v>
      </c>
      <c r="H1923" t="s">
        <v>336</v>
      </c>
      <c r="I1923" t="s">
        <v>85</v>
      </c>
      <c r="J1923">
        <v>1</v>
      </c>
      <c r="K1923">
        <v>5</v>
      </c>
      <c r="L1923">
        <v>35000000</v>
      </c>
      <c r="M1923">
        <v>35150000</v>
      </c>
      <c r="N1923" t="s">
        <v>86</v>
      </c>
      <c r="O1923" t="s">
        <v>134</v>
      </c>
      <c r="P1923">
        <v>2</v>
      </c>
      <c r="Q1923">
        <v>0</v>
      </c>
      <c r="R1923">
        <v>1</v>
      </c>
      <c r="S1923">
        <v>0</v>
      </c>
      <c r="T1923">
        <v>4</v>
      </c>
      <c r="U1923">
        <v>5</v>
      </c>
      <c r="V1923">
        <v>14</v>
      </c>
      <c r="W1923">
        <v>14</v>
      </c>
      <c r="X1923">
        <v>14</v>
      </c>
      <c r="Y1923">
        <v>14</v>
      </c>
      <c r="Z1923">
        <v>1</v>
      </c>
      <c r="AA1923">
        <v>6</v>
      </c>
      <c r="AB1923">
        <v>0</v>
      </c>
      <c r="AC1923">
        <v>0</v>
      </c>
      <c r="AD1923">
        <v>3</v>
      </c>
      <c r="AE1923">
        <v>0</v>
      </c>
      <c r="AF1923">
        <v>0</v>
      </c>
      <c r="AG1923">
        <v>2</v>
      </c>
      <c r="AH1923">
        <v>2</v>
      </c>
      <c r="AI1923">
        <v>1</v>
      </c>
    </row>
    <row r="1924" spans="1:35" hidden="1" x14ac:dyDescent="0.25">
      <c r="A1924">
        <v>2018</v>
      </c>
      <c r="B1924" s="1">
        <v>43338</v>
      </c>
      <c r="C1924">
        <v>21</v>
      </c>
      <c r="D1924">
        <v>11453</v>
      </c>
      <c r="E1924">
        <v>57483</v>
      </c>
      <c r="F1924" t="s">
        <v>50</v>
      </c>
      <c r="G1924" t="s">
        <v>55</v>
      </c>
      <c r="H1924" t="s">
        <v>240</v>
      </c>
      <c r="I1924" t="s">
        <v>458</v>
      </c>
      <c r="J1924">
        <v>7</v>
      </c>
      <c r="K1924">
        <v>9</v>
      </c>
      <c r="L1924">
        <v>28250000</v>
      </c>
      <c r="M1924">
        <v>14250000</v>
      </c>
      <c r="N1924" t="s">
        <v>135</v>
      </c>
      <c r="O1924" t="s">
        <v>171</v>
      </c>
      <c r="P1924">
        <v>2</v>
      </c>
      <c r="Q1924">
        <v>1</v>
      </c>
      <c r="R1924">
        <v>1</v>
      </c>
      <c r="S1924">
        <v>1</v>
      </c>
      <c r="T1924">
        <v>6</v>
      </c>
      <c r="U1924">
        <v>5</v>
      </c>
      <c r="V1924">
        <v>17</v>
      </c>
      <c r="W1924">
        <v>14</v>
      </c>
      <c r="X1924">
        <v>14</v>
      </c>
      <c r="Y1924">
        <v>18</v>
      </c>
      <c r="Z1924">
        <v>3</v>
      </c>
      <c r="AA1924">
        <v>2</v>
      </c>
      <c r="AB1924">
        <v>1</v>
      </c>
      <c r="AC1924">
        <v>0</v>
      </c>
      <c r="AD1924">
        <v>3</v>
      </c>
      <c r="AE1924">
        <v>3</v>
      </c>
      <c r="AF1924">
        <v>4</v>
      </c>
      <c r="AG1924">
        <v>2</v>
      </c>
      <c r="AH1924">
        <v>1</v>
      </c>
      <c r="AI1924">
        <v>1</v>
      </c>
    </row>
    <row r="1925" spans="1:35" hidden="1" x14ac:dyDescent="0.25">
      <c r="A1925">
        <v>2018</v>
      </c>
      <c r="B1925" s="1">
        <v>43346</v>
      </c>
      <c r="C1925">
        <v>22</v>
      </c>
      <c r="D1925">
        <v>16247</v>
      </c>
      <c r="E1925">
        <v>57483</v>
      </c>
      <c r="F1925" t="s">
        <v>50</v>
      </c>
      <c r="G1925" t="s">
        <v>37</v>
      </c>
      <c r="H1925" t="s">
        <v>240</v>
      </c>
      <c r="I1925" t="s">
        <v>328</v>
      </c>
      <c r="J1925">
        <v>7</v>
      </c>
      <c r="K1925">
        <v>2</v>
      </c>
      <c r="L1925">
        <v>28800000</v>
      </c>
      <c r="M1925">
        <v>24550000</v>
      </c>
      <c r="N1925" t="s">
        <v>144</v>
      </c>
      <c r="O1925" t="s">
        <v>239</v>
      </c>
      <c r="P1925">
        <v>0</v>
      </c>
      <c r="Q1925">
        <v>0</v>
      </c>
      <c r="R1925">
        <v>0</v>
      </c>
      <c r="S1925">
        <v>0</v>
      </c>
      <c r="T1925">
        <v>8</v>
      </c>
      <c r="U1925">
        <v>5</v>
      </c>
      <c r="V1925">
        <v>16</v>
      </c>
      <c r="W1925">
        <v>14</v>
      </c>
      <c r="X1925">
        <v>14</v>
      </c>
      <c r="Y1925">
        <v>19</v>
      </c>
      <c r="Z1925">
        <v>2</v>
      </c>
      <c r="AA1925">
        <v>6</v>
      </c>
      <c r="AB1925">
        <v>3</v>
      </c>
      <c r="AC1925">
        <v>0</v>
      </c>
      <c r="AD1925">
        <v>6</v>
      </c>
      <c r="AE1925">
        <v>2</v>
      </c>
      <c r="AF1925">
        <v>10</v>
      </c>
      <c r="AG1925">
        <v>7</v>
      </c>
      <c r="AH1925">
        <v>0</v>
      </c>
      <c r="AI1925">
        <v>0</v>
      </c>
    </row>
    <row r="1926" spans="1:35" hidden="1" x14ac:dyDescent="0.25">
      <c r="A1926">
        <v>2018</v>
      </c>
      <c r="B1926" s="1">
        <v>43429</v>
      </c>
      <c r="C1926">
        <v>37</v>
      </c>
      <c r="D1926">
        <v>27616</v>
      </c>
      <c r="E1926">
        <v>57483</v>
      </c>
      <c r="F1926" t="s">
        <v>50</v>
      </c>
      <c r="G1926" t="s">
        <v>77</v>
      </c>
      <c r="H1926" t="s">
        <v>240</v>
      </c>
      <c r="I1926" t="s">
        <v>315</v>
      </c>
      <c r="J1926">
        <v>8</v>
      </c>
      <c r="K1926">
        <v>2</v>
      </c>
      <c r="L1926">
        <v>31500000</v>
      </c>
      <c r="M1926">
        <v>34050000</v>
      </c>
      <c r="N1926" t="s">
        <v>138</v>
      </c>
      <c r="O1926" t="s">
        <v>137</v>
      </c>
      <c r="P1926">
        <v>0</v>
      </c>
      <c r="Q1926">
        <v>2</v>
      </c>
      <c r="R1926">
        <v>0</v>
      </c>
      <c r="S1926">
        <v>1</v>
      </c>
      <c r="T1926">
        <v>8</v>
      </c>
      <c r="U1926">
        <v>6</v>
      </c>
      <c r="V1926">
        <v>12</v>
      </c>
      <c r="W1926">
        <v>9</v>
      </c>
      <c r="X1926">
        <v>9</v>
      </c>
      <c r="Y1926">
        <v>12</v>
      </c>
      <c r="Z1926">
        <v>3</v>
      </c>
      <c r="AA1926">
        <v>5</v>
      </c>
      <c r="AB1926">
        <v>0</v>
      </c>
      <c r="AC1926">
        <v>0</v>
      </c>
      <c r="AD1926">
        <v>5</v>
      </c>
      <c r="AE1926">
        <v>5</v>
      </c>
      <c r="AF1926">
        <v>8</v>
      </c>
      <c r="AG1926">
        <v>1</v>
      </c>
      <c r="AH1926">
        <v>-2</v>
      </c>
      <c r="AI1926">
        <v>0</v>
      </c>
    </row>
    <row r="1927" spans="1:35" hidden="1" x14ac:dyDescent="0.25">
      <c r="A1927">
        <v>2018</v>
      </c>
      <c r="B1927" s="1">
        <v>43371</v>
      </c>
      <c r="C1927">
        <v>3</v>
      </c>
      <c r="D1927">
        <v>12985</v>
      </c>
      <c r="E1927">
        <v>20120</v>
      </c>
      <c r="F1927" t="s">
        <v>419</v>
      </c>
      <c r="G1927" t="s">
        <v>82</v>
      </c>
      <c r="H1927" t="s">
        <v>71</v>
      </c>
      <c r="I1927" t="s">
        <v>378</v>
      </c>
      <c r="J1927">
        <v>9</v>
      </c>
      <c r="K1927">
        <v>4</v>
      </c>
      <c r="L1927">
        <v>36300000</v>
      </c>
      <c r="M1927">
        <v>11250000</v>
      </c>
      <c r="N1927" t="s">
        <v>122</v>
      </c>
      <c r="O1927" t="s">
        <v>116</v>
      </c>
      <c r="P1927">
        <v>1</v>
      </c>
      <c r="Q1927">
        <v>1</v>
      </c>
      <c r="R1927">
        <v>1</v>
      </c>
      <c r="S1927">
        <v>0</v>
      </c>
      <c r="T1927">
        <v>10</v>
      </c>
      <c r="U1927">
        <v>6</v>
      </c>
      <c r="V1927">
        <v>11</v>
      </c>
      <c r="W1927">
        <v>17</v>
      </c>
      <c r="X1927">
        <v>17</v>
      </c>
      <c r="Y1927">
        <v>14</v>
      </c>
      <c r="Z1927">
        <v>1</v>
      </c>
      <c r="AA1927">
        <v>2</v>
      </c>
      <c r="AB1927">
        <v>3</v>
      </c>
      <c r="AC1927">
        <v>0</v>
      </c>
      <c r="AD1927">
        <v>3</v>
      </c>
      <c r="AE1927">
        <v>2</v>
      </c>
      <c r="AF1927">
        <v>6</v>
      </c>
      <c r="AG1927">
        <v>7</v>
      </c>
      <c r="AH1927">
        <v>0</v>
      </c>
      <c r="AI1927">
        <v>0</v>
      </c>
    </row>
    <row r="1928" spans="1:35" hidden="1" x14ac:dyDescent="0.25">
      <c r="A1928">
        <v>2018</v>
      </c>
      <c r="B1928" s="1">
        <v>43428</v>
      </c>
      <c r="C1928">
        <v>37</v>
      </c>
      <c r="D1928">
        <v>4591</v>
      </c>
      <c r="E1928">
        <v>20120</v>
      </c>
      <c r="F1928" t="s">
        <v>419</v>
      </c>
      <c r="G1928" t="s">
        <v>89</v>
      </c>
      <c r="H1928" t="s">
        <v>71</v>
      </c>
      <c r="I1928" t="s">
        <v>463</v>
      </c>
      <c r="J1928">
        <v>10</v>
      </c>
      <c r="K1928">
        <v>6</v>
      </c>
      <c r="L1928">
        <v>27750000</v>
      </c>
      <c r="M1928">
        <v>20650000</v>
      </c>
      <c r="N1928">
        <v>27</v>
      </c>
      <c r="O1928" t="s">
        <v>208</v>
      </c>
      <c r="P1928">
        <v>3</v>
      </c>
      <c r="Q1928">
        <v>2</v>
      </c>
      <c r="R1928">
        <v>3</v>
      </c>
      <c r="S1928">
        <v>1</v>
      </c>
      <c r="T1928">
        <v>9</v>
      </c>
      <c r="U1928">
        <v>8</v>
      </c>
      <c r="V1928">
        <v>17</v>
      </c>
      <c r="W1928">
        <v>16</v>
      </c>
      <c r="X1928">
        <v>16</v>
      </c>
      <c r="Y1928">
        <v>17</v>
      </c>
      <c r="Z1928">
        <v>1</v>
      </c>
      <c r="AA1928">
        <v>7</v>
      </c>
      <c r="AB1928">
        <v>0</v>
      </c>
      <c r="AC1928">
        <v>0</v>
      </c>
      <c r="AD1928">
        <v>10</v>
      </c>
      <c r="AE1928">
        <v>3</v>
      </c>
      <c r="AF1928">
        <v>6</v>
      </c>
      <c r="AG1928">
        <v>9</v>
      </c>
      <c r="AH1928">
        <v>1</v>
      </c>
      <c r="AI1928">
        <v>1</v>
      </c>
    </row>
    <row r="1929" spans="1:35" hidden="1" x14ac:dyDescent="0.25">
      <c r="A1929">
        <v>2018</v>
      </c>
      <c r="B1929" s="1">
        <v>43389</v>
      </c>
      <c r="C1929">
        <v>29</v>
      </c>
      <c r="D1929">
        <v>29946</v>
      </c>
      <c r="E1929">
        <v>60326</v>
      </c>
      <c r="F1929" t="s">
        <v>361</v>
      </c>
      <c r="G1929" t="s">
        <v>51</v>
      </c>
      <c r="H1929" t="s">
        <v>362</v>
      </c>
      <c r="I1929" t="s">
        <v>323</v>
      </c>
      <c r="J1929">
        <v>13</v>
      </c>
      <c r="K1929">
        <v>12</v>
      </c>
      <c r="L1929">
        <v>6480000</v>
      </c>
      <c r="M1929">
        <v>12600000</v>
      </c>
      <c r="N1929" t="s">
        <v>137</v>
      </c>
      <c r="O1929" t="s">
        <v>41</v>
      </c>
      <c r="P1929">
        <v>0</v>
      </c>
      <c r="Q1929">
        <v>0</v>
      </c>
      <c r="R1929">
        <v>0</v>
      </c>
      <c r="S1929">
        <v>0</v>
      </c>
      <c r="T1929">
        <v>6</v>
      </c>
      <c r="U1929">
        <v>3</v>
      </c>
      <c r="V1929">
        <v>13</v>
      </c>
      <c r="W1929">
        <v>11</v>
      </c>
      <c r="X1929">
        <v>11</v>
      </c>
      <c r="Y1929">
        <v>14</v>
      </c>
      <c r="Z1929">
        <v>1</v>
      </c>
      <c r="AA1929">
        <v>9</v>
      </c>
      <c r="AB1929">
        <v>1</v>
      </c>
      <c r="AC1929">
        <v>0</v>
      </c>
      <c r="AD1929">
        <v>9</v>
      </c>
      <c r="AE1929">
        <v>1</v>
      </c>
      <c r="AF1929">
        <v>7</v>
      </c>
      <c r="AG1929">
        <v>8</v>
      </c>
      <c r="AH1929">
        <v>0</v>
      </c>
      <c r="AI1929">
        <v>0</v>
      </c>
    </row>
    <row r="1930" spans="1:35" hidden="1" x14ac:dyDescent="0.25">
      <c r="A1930">
        <v>2018</v>
      </c>
      <c r="B1930" s="1">
        <v>43332</v>
      </c>
      <c r="C1930">
        <v>19</v>
      </c>
      <c r="D1930">
        <v>4851</v>
      </c>
      <c r="E1930">
        <v>25000</v>
      </c>
      <c r="F1930" t="s">
        <v>310</v>
      </c>
      <c r="G1930" t="s">
        <v>55</v>
      </c>
      <c r="H1930" t="s">
        <v>450</v>
      </c>
      <c r="I1930" t="s">
        <v>458</v>
      </c>
      <c r="J1930">
        <v>12</v>
      </c>
      <c r="K1930">
        <v>10</v>
      </c>
      <c r="L1930">
        <v>9350000</v>
      </c>
      <c r="M1930">
        <v>14550000</v>
      </c>
      <c r="N1930" t="s">
        <v>197</v>
      </c>
      <c r="O1930" t="s">
        <v>228</v>
      </c>
      <c r="P1930">
        <v>0</v>
      </c>
      <c r="Q1930">
        <v>0</v>
      </c>
      <c r="R1930">
        <v>0</v>
      </c>
      <c r="S1930">
        <v>0</v>
      </c>
      <c r="T1930">
        <v>4</v>
      </c>
      <c r="U1930">
        <v>4</v>
      </c>
      <c r="V1930">
        <v>13</v>
      </c>
      <c r="W1930">
        <v>7</v>
      </c>
      <c r="X1930">
        <v>7</v>
      </c>
      <c r="Y1930">
        <v>14</v>
      </c>
      <c r="Z1930">
        <v>4</v>
      </c>
      <c r="AA1930">
        <v>2</v>
      </c>
      <c r="AB1930">
        <v>1</v>
      </c>
      <c r="AC1930">
        <v>0</v>
      </c>
      <c r="AD1930">
        <v>2</v>
      </c>
      <c r="AE1930">
        <v>4</v>
      </c>
      <c r="AF1930">
        <v>5</v>
      </c>
      <c r="AG1930">
        <v>3</v>
      </c>
      <c r="AH1930">
        <v>0</v>
      </c>
      <c r="AI1930">
        <v>0</v>
      </c>
    </row>
    <row r="1931" spans="1:35" hidden="1" x14ac:dyDescent="0.25">
      <c r="A1931">
        <v>2018</v>
      </c>
      <c r="B1931" s="1">
        <v>43338</v>
      </c>
      <c r="C1931">
        <v>21</v>
      </c>
      <c r="D1931">
        <v>12887</v>
      </c>
      <c r="E1931">
        <v>25000</v>
      </c>
      <c r="F1931" t="s">
        <v>310</v>
      </c>
      <c r="G1931" t="s">
        <v>77</v>
      </c>
      <c r="H1931" t="s">
        <v>450</v>
      </c>
      <c r="I1931" t="s">
        <v>341</v>
      </c>
      <c r="J1931">
        <v>10</v>
      </c>
      <c r="K1931">
        <v>3</v>
      </c>
      <c r="L1931">
        <v>9350000</v>
      </c>
      <c r="M1931">
        <v>51500000</v>
      </c>
      <c r="N1931">
        <v>32</v>
      </c>
      <c r="O1931" t="s">
        <v>73</v>
      </c>
      <c r="P1931">
        <v>2</v>
      </c>
      <c r="Q1931">
        <v>2</v>
      </c>
      <c r="R1931">
        <v>1</v>
      </c>
      <c r="S1931">
        <v>1</v>
      </c>
      <c r="T1931">
        <v>3</v>
      </c>
      <c r="U1931">
        <v>6</v>
      </c>
      <c r="V1931">
        <v>12</v>
      </c>
      <c r="W1931">
        <v>9</v>
      </c>
      <c r="X1931">
        <v>9</v>
      </c>
      <c r="Y1931">
        <v>12</v>
      </c>
      <c r="Z1931">
        <v>4</v>
      </c>
      <c r="AA1931">
        <v>1</v>
      </c>
      <c r="AB1931">
        <v>0</v>
      </c>
      <c r="AC1931">
        <v>0</v>
      </c>
      <c r="AD1931">
        <v>3</v>
      </c>
      <c r="AE1931">
        <v>6</v>
      </c>
      <c r="AF1931">
        <v>8</v>
      </c>
      <c r="AG1931">
        <v>4</v>
      </c>
      <c r="AH1931">
        <v>0</v>
      </c>
      <c r="AI1931">
        <v>0</v>
      </c>
    </row>
    <row r="1932" spans="1:35" hidden="1" x14ac:dyDescent="0.25">
      <c r="A1932">
        <v>2018</v>
      </c>
      <c r="B1932" s="1">
        <v>43366</v>
      </c>
      <c r="C1932">
        <v>26</v>
      </c>
      <c r="D1932">
        <v>18681</v>
      </c>
      <c r="E1932">
        <v>35000</v>
      </c>
      <c r="F1932" t="s">
        <v>391</v>
      </c>
      <c r="G1932" t="s">
        <v>95</v>
      </c>
      <c r="H1932" t="s">
        <v>369</v>
      </c>
      <c r="I1932" t="s">
        <v>336</v>
      </c>
      <c r="J1932">
        <v>19</v>
      </c>
      <c r="K1932">
        <v>3</v>
      </c>
      <c r="L1932">
        <v>10650000</v>
      </c>
      <c r="M1932">
        <v>28650000</v>
      </c>
      <c r="N1932" t="s">
        <v>74</v>
      </c>
      <c r="O1932" t="s">
        <v>123</v>
      </c>
      <c r="P1932">
        <v>0</v>
      </c>
      <c r="Q1932">
        <v>1</v>
      </c>
      <c r="R1932">
        <v>0</v>
      </c>
      <c r="S1932">
        <v>0</v>
      </c>
      <c r="T1932">
        <v>6</v>
      </c>
      <c r="U1932">
        <v>5</v>
      </c>
      <c r="V1932">
        <v>16</v>
      </c>
      <c r="W1932">
        <v>15</v>
      </c>
      <c r="X1932">
        <v>15</v>
      </c>
      <c r="Y1932">
        <v>18</v>
      </c>
      <c r="Z1932">
        <v>2</v>
      </c>
      <c r="AA1932">
        <v>2</v>
      </c>
      <c r="AB1932">
        <v>2</v>
      </c>
      <c r="AC1932">
        <v>0</v>
      </c>
      <c r="AD1932">
        <v>2</v>
      </c>
      <c r="AE1932">
        <v>3</v>
      </c>
      <c r="AF1932">
        <v>4</v>
      </c>
      <c r="AG1932">
        <v>3</v>
      </c>
      <c r="AH1932">
        <v>-1</v>
      </c>
      <c r="AI1932">
        <v>0</v>
      </c>
    </row>
    <row r="1933" spans="1:35" hidden="1" x14ac:dyDescent="0.25">
      <c r="A1933">
        <v>2018</v>
      </c>
      <c r="B1933" s="1">
        <v>43379</v>
      </c>
      <c r="C1933">
        <v>28</v>
      </c>
      <c r="D1933">
        <v>9979</v>
      </c>
      <c r="E1933">
        <v>35000</v>
      </c>
      <c r="F1933" t="s">
        <v>391</v>
      </c>
      <c r="G1933" t="s">
        <v>37</v>
      </c>
      <c r="H1933" t="s">
        <v>462</v>
      </c>
      <c r="I1933" t="s">
        <v>328</v>
      </c>
      <c r="J1933">
        <v>19</v>
      </c>
      <c r="K1933">
        <v>2</v>
      </c>
      <c r="L1933">
        <v>10250000</v>
      </c>
      <c r="M1933">
        <v>19350000</v>
      </c>
      <c r="N1933" t="s">
        <v>123</v>
      </c>
      <c r="O1933" t="s">
        <v>99</v>
      </c>
      <c r="P1933">
        <v>2</v>
      </c>
      <c r="Q1933">
        <v>1</v>
      </c>
      <c r="R1933">
        <v>0</v>
      </c>
      <c r="S1933">
        <v>0</v>
      </c>
      <c r="T1933">
        <v>8</v>
      </c>
      <c r="U1933">
        <v>4</v>
      </c>
      <c r="V1933">
        <v>10</v>
      </c>
      <c r="W1933">
        <v>10</v>
      </c>
      <c r="X1933">
        <v>10</v>
      </c>
      <c r="Y1933">
        <v>11</v>
      </c>
      <c r="Z1933">
        <v>1</v>
      </c>
      <c r="AA1933">
        <v>2</v>
      </c>
      <c r="AB1933">
        <v>1</v>
      </c>
      <c r="AC1933">
        <v>0</v>
      </c>
      <c r="AD1933">
        <v>4</v>
      </c>
      <c r="AE1933">
        <v>2</v>
      </c>
      <c r="AF1933">
        <v>4</v>
      </c>
      <c r="AG1933">
        <v>4</v>
      </c>
      <c r="AH1933">
        <v>1</v>
      </c>
      <c r="AI1933">
        <v>1</v>
      </c>
    </row>
    <row r="1934" spans="1:35" hidden="1" x14ac:dyDescent="0.25">
      <c r="A1934">
        <v>2018</v>
      </c>
      <c r="B1934" s="1">
        <v>43394</v>
      </c>
      <c r="C1934">
        <v>30</v>
      </c>
      <c r="D1934">
        <v>13860</v>
      </c>
      <c r="E1934">
        <v>35000</v>
      </c>
      <c r="F1934" t="s">
        <v>391</v>
      </c>
      <c r="G1934" t="s">
        <v>82</v>
      </c>
      <c r="H1934" t="s">
        <v>462</v>
      </c>
      <c r="I1934" t="s">
        <v>378</v>
      </c>
      <c r="J1934">
        <v>19</v>
      </c>
      <c r="K1934">
        <v>15</v>
      </c>
      <c r="L1934">
        <v>10050000</v>
      </c>
      <c r="M1934">
        <v>11350000</v>
      </c>
      <c r="N1934" t="s">
        <v>163</v>
      </c>
      <c r="O1934" t="s">
        <v>123</v>
      </c>
      <c r="P1934">
        <v>2</v>
      </c>
      <c r="Q1934">
        <v>1</v>
      </c>
      <c r="R1934">
        <v>1</v>
      </c>
      <c r="S1934">
        <v>1</v>
      </c>
      <c r="T1934">
        <v>1</v>
      </c>
      <c r="U1934">
        <v>4</v>
      </c>
      <c r="V1934">
        <v>16</v>
      </c>
      <c r="W1934">
        <v>16</v>
      </c>
      <c r="X1934">
        <v>16</v>
      </c>
      <c r="Y1934">
        <v>16</v>
      </c>
      <c r="Z1934">
        <v>3</v>
      </c>
      <c r="AA1934">
        <v>2</v>
      </c>
      <c r="AB1934">
        <v>0</v>
      </c>
      <c r="AC1934">
        <v>0</v>
      </c>
      <c r="AD1934">
        <v>4</v>
      </c>
      <c r="AE1934">
        <v>4</v>
      </c>
      <c r="AF1934">
        <v>9</v>
      </c>
      <c r="AG1934">
        <v>7</v>
      </c>
      <c r="AH1934">
        <v>1</v>
      </c>
      <c r="AI1934">
        <v>1</v>
      </c>
    </row>
    <row r="1935" spans="1:35" hidden="1" x14ac:dyDescent="0.25">
      <c r="A1935">
        <v>2018</v>
      </c>
      <c r="B1935" s="1">
        <v>43422</v>
      </c>
      <c r="C1935">
        <v>35</v>
      </c>
      <c r="D1935">
        <v>26005</v>
      </c>
      <c r="E1935">
        <v>35000</v>
      </c>
      <c r="F1935" t="s">
        <v>391</v>
      </c>
      <c r="G1935" t="s">
        <v>77</v>
      </c>
      <c r="H1935" t="s">
        <v>462</v>
      </c>
      <c r="I1935" t="s">
        <v>315</v>
      </c>
      <c r="J1935">
        <v>15</v>
      </c>
      <c r="K1935">
        <v>3</v>
      </c>
      <c r="L1935">
        <v>10050000</v>
      </c>
      <c r="M1935">
        <v>41000000</v>
      </c>
      <c r="N1935" t="s">
        <v>209</v>
      </c>
      <c r="O1935" t="s">
        <v>116</v>
      </c>
      <c r="P1935">
        <v>0</v>
      </c>
      <c r="Q1935">
        <v>1</v>
      </c>
      <c r="R1935">
        <v>0</v>
      </c>
      <c r="S1935">
        <v>0</v>
      </c>
      <c r="T1935">
        <v>6</v>
      </c>
      <c r="U1935">
        <v>8</v>
      </c>
      <c r="V1935">
        <v>11</v>
      </c>
      <c r="W1935">
        <v>14</v>
      </c>
      <c r="X1935">
        <v>14</v>
      </c>
      <c r="Y1935">
        <v>14</v>
      </c>
      <c r="Z1935">
        <v>4</v>
      </c>
      <c r="AA1935">
        <v>2</v>
      </c>
      <c r="AB1935">
        <v>3</v>
      </c>
      <c r="AC1935">
        <v>0</v>
      </c>
      <c r="AD1935">
        <v>2</v>
      </c>
      <c r="AE1935">
        <v>5</v>
      </c>
      <c r="AF1935">
        <v>6</v>
      </c>
      <c r="AG1935">
        <v>5</v>
      </c>
      <c r="AH1935">
        <v>-1</v>
      </c>
      <c r="AI1935">
        <v>0</v>
      </c>
    </row>
    <row r="1936" spans="1:35" hidden="1" x14ac:dyDescent="0.25">
      <c r="A1936">
        <v>2018</v>
      </c>
      <c r="B1936" s="1">
        <v>43436</v>
      </c>
      <c r="C1936">
        <v>38</v>
      </c>
      <c r="D1936">
        <v>23451</v>
      </c>
      <c r="E1936">
        <v>35000</v>
      </c>
      <c r="F1936" t="s">
        <v>391</v>
      </c>
      <c r="G1936" t="s">
        <v>419</v>
      </c>
      <c r="H1936" t="s">
        <v>462</v>
      </c>
      <c r="I1936" t="s">
        <v>71</v>
      </c>
      <c r="J1936">
        <v>18</v>
      </c>
      <c r="K1936">
        <v>10</v>
      </c>
      <c r="L1936">
        <v>7650000</v>
      </c>
      <c r="M1936">
        <v>25050000</v>
      </c>
      <c r="N1936" t="s">
        <v>252</v>
      </c>
      <c r="O1936" t="s">
        <v>228</v>
      </c>
      <c r="P1936">
        <v>2</v>
      </c>
      <c r="Q1936">
        <v>1</v>
      </c>
      <c r="R1936">
        <v>0</v>
      </c>
      <c r="S1936">
        <v>0</v>
      </c>
      <c r="T1936">
        <v>1</v>
      </c>
      <c r="U1936">
        <v>1</v>
      </c>
      <c r="V1936">
        <v>21</v>
      </c>
      <c r="W1936">
        <v>20</v>
      </c>
      <c r="X1936">
        <v>20</v>
      </c>
      <c r="Y1936">
        <v>26</v>
      </c>
      <c r="Z1936">
        <v>2</v>
      </c>
      <c r="AA1936">
        <v>2</v>
      </c>
      <c r="AB1936">
        <v>5</v>
      </c>
      <c r="AC1936">
        <v>0</v>
      </c>
      <c r="AD1936">
        <v>4</v>
      </c>
      <c r="AE1936">
        <v>3</v>
      </c>
      <c r="AF1936">
        <v>2</v>
      </c>
      <c r="AG1936">
        <v>4</v>
      </c>
      <c r="AH1936">
        <v>1</v>
      </c>
      <c r="AI1936">
        <v>1</v>
      </c>
    </row>
    <row r="1937" spans="1:35" hidden="1" x14ac:dyDescent="0.25">
      <c r="A1937">
        <v>2018</v>
      </c>
      <c r="B1937" s="1">
        <v>43331</v>
      </c>
      <c r="C1937">
        <v>19</v>
      </c>
      <c r="D1937">
        <v>44959</v>
      </c>
      <c r="E1937">
        <v>56000</v>
      </c>
      <c r="F1937" t="s">
        <v>37</v>
      </c>
      <c r="G1937" t="s">
        <v>457</v>
      </c>
      <c r="H1937" t="s">
        <v>328</v>
      </c>
      <c r="I1937" t="s">
        <v>444</v>
      </c>
      <c r="J1937">
        <v>3</v>
      </c>
      <c r="K1937">
        <v>20</v>
      </c>
      <c r="L1937">
        <v>22950000</v>
      </c>
      <c r="M1937">
        <v>5850000</v>
      </c>
      <c r="N1937" t="s">
        <v>104</v>
      </c>
      <c r="O1937" t="s">
        <v>332</v>
      </c>
      <c r="P1937">
        <v>1</v>
      </c>
      <c r="Q1937">
        <v>0</v>
      </c>
      <c r="R1937">
        <v>0</v>
      </c>
      <c r="S1937">
        <v>0</v>
      </c>
      <c r="T1937">
        <v>15</v>
      </c>
      <c r="U1937">
        <v>3</v>
      </c>
      <c r="V1937">
        <v>15</v>
      </c>
      <c r="W1937">
        <v>16</v>
      </c>
      <c r="X1937">
        <v>16</v>
      </c>
      <c r="Y1937">
        <v>16</v>
      </c>
      <c r="Z1937">
        <v>3</v>
      </c>
      <c r="AA1937">
        <v>3</v>
      </c>
      <c r="AB1937">
        <v>1</v>
      </c>
      <c r="AC1937">
        <v>0</v>
      </c>
      <c r="AD1937">
        <v>4</v>
      </c>
      <c r="AE1937">
        <v>2</v>
      </c>
      <c r="AF1937">
        <v>7</v>
      </c>
      <c r="AG1937">
        <v>7</v>
      </c>
      <c r="AH1937">
        <v>1</v>
      </c>
      <c r="AI1937">
        <v>1</v>
      </c>
    </row>
    <row r="1938" spans="1:35" hidden="1" x14ac:dyDescent="0.25">
      <c r="A1938">
        <v>2018</v>
      </c>
      <c r="B1938" s="1">
        <v>43338</v>
      </c>
      <c r="C1938">
        <v>21</v>
      </c>
      <c r="D1938">
        <v>43743</v>
      </c>
      <c r="E1938">
        <v>56000</v>
      </c>
      <c r="F1938" t="s">
        <v>37</v>
      </c>
      <c r="G1938" t="s">
        <v>95</v>
      </c>
      <c r="H1938" t="s">
        <v>328</v>
      </c>
      <c r="I1938" t="s">
        <v>336</v>
      </c>
      <c r="J1938">
        <v>2</v>
      </c>
      <c r="K1938">
        <v>5</v>
      </c>
      <c r="L1938">
        <v>23700000</v>
      </c>
      <c r="M1938">
        <v>36150000</v>
      </c>
      <c r="N1938" t="s">
        <v>163</v>
      </c>
      <c r="O1938" t="s">
        <v>128</v>
      </c>
      <c r="P1938">
        <v>0</v>
      </c>
      <c r="Q1938">
        <v>0</v>
      </c>
      <c r="R1938">
        <v>0</v>
      </c>
      <c r="S1938">
        <v>0</v>
      </c>
      <c r="T1938">
        <v>5</v>
      </c>
      <c r="U1938">
        <v>4</v>
      </c>
      <c r="V1938">
        <v>14</v>
      </c>
      <c r="W1938">
        <v>22</v>
      </c>
      <c r="X1938">
        <v>22</v>
      </c>
      <c r="Y1938">
        <v>15</v>
      </c>
      <c r="Z1938">
        <v>4</v>
      </c>
      <c r="AA1938">
        <v>4</v>
      </c>
      <c r="AB1938">
        <v>1</v>
      </c>
      <c r="AC1938">
        <v>0</v>
      </c>
      <c r="AD1938">
        <v>5</v>
      </c>
      <c r="AE1938">
        <v>5</v>
      </c>
      <c r="AF1938">
        <v>3</v>
      </c>
      <c r="AG1938">
        <v>12</v>
      </c>
      <c r="AH1938">
        <v>0</v>
      </c>
      <c r="AI1938">
        <v>0</v>
      </c>
    </row>
    <row r="1939" spans="1:35" hidden="1" x14ac:dyDescent="0.25">
      <c r="A1939">
        <v>2018</v>
      </c>
      <c r="B1939" s="1">
        <v>43425</v>
      </c>
      <c r="C1939">
        <v>36</v>
      </c>
      <c r="D1939">
        <v>25067</v>
      </c>
      <c r="E1939">
        <v>56000</v>
      </c>
      <c r="F1939" t="s">
        <v>37</v>
      </c>
      <c r="G1939" t="s">
        <v>89</v>
      </c>
      <c r="H1939" t="s">
        <v>328</v>
      </c>
      <c r="I1939" t="s">
        <v>463</v>
      </c>
      <c r="J1939">
        <v>3</v>
      </c>
      <c r="K1939">
        <v>6</v>
      </c>
      <c r="L1939">
        <v>22650000</v>
      </c>
      <c r="M1939">
        <v>18850000</v>
      </c>
      <c r="N1939" t="s">
        <v>98</v>
      </c>
      <c r="O1939" t="s">
        <v>166</v>
      </c>
      <c r="P1939">
        <v>1</v>
      </c>
      <c r="Q1939">
        <v>2</v>
      </c>
      <c r="R1939">
        <v>0</v>
      </c>
      <c r="S1939">
        <v>1</v>
      </c>
      <c r="T1939">
        <v>11</v>
      </c>
      <c r="U1939">
        <v>4</v>
      </c>
      <c r="V1939">
        <v>8</v>
      </c>
      <c r="W1939">
        <v>15</v>
      </c>
      <c r="X1939">
        <v>15</v>
      </c>
      <c r="Y1939">
        <v>10</v>
      </c>
      <c r="Z1939">
        <v>2</v>
      </c>
      <c r="AA1939">
        <v>4</v>
      </c>
      <c r="AB1939">
        <v>2</v>
      </c>
      <c r="AC1939">
        <v>0</v>
      </c>
      <c r="AD1939">
        <v>4</v>
      </c>
      <c r="AE1939">
        <v>4</v>
      </c>
      <c r="AF1939">
        <v>8</v>
      </c>
      <c r="AG1939">
        <v>7</v>
      </c>
      <c r="AH1939">
        <v>-1</v>
      </c>
      <c r="AI1939">
        <v>0</v>
      </c>
    </row>
    <row r="1940" spans="1:35" hidden="1" x14ac:dyDescent="0.25">
      <c r="A1940">
        <v>2018</v>
      </c>
      <c r="B1940" s="1">
        <v>43336</v>
      </c>
      <c r="C1940">
        <v>20</v>
      </c>
      <c r="D1940">
        <v>22452</v>
      </c>
      <c r="E1940">
        <v>23018</v>
      </c>
      <c r="F1940" t="s">
        <v>89</v>
      </c>
      <c r="G1940" t="s">
        <v>82</v>
      </c>
      <c r="H1940" t="s">
        <v>433</v>
      </c>
      <c r="I1940" t="s">
        <v>464</v>
      </c>
      <c r="J1940">
        <v>5</v>
      </c>
      <c r="K1940">
        <v>15</v>
      </c>
      <c r="L1940">
        <v>17350000</v>
      </c>
      <c r="M1940">
        <v>10300000</v>
      </c>
      <c r="N1940" t="s">
        <v>111</v>
      </c>
      <c r="O1940">
        <v>28</v>
      </c>
      <c r="P1940">
        <v>0</v>
      </c>
      <c r="Q1940">
        <v>0</v>
      </c>
      <c r="R1940">
        <v>0</v>
      </c>
      <c r="S1940">
        <v>0</v>
      </c>
      <c r="T1940">
        <v>12</v>
      </c>
      <c r="U1940">
        <v>1</v>
      </c>
      <c r="V1940">
        <v>16</v>
      </c>
      <c r="W1940">
        <v>15</v>
      </c>
      <c r="X1940">
        <v>15</v>
      </c>
      <c r="Y1940">
        <v>16</v>
      </c>
      <c r="Z1940">
        <v>4</v>
      </c>
      <c r="AA1940">
        <v>4</v>
      </c>
      <c r="AB1940">
        <v>0</v>
      </c>
      <c r="AC1940">
        <v>0</v>
      </c>
      <c r="AD1940">
        <v>4</v>
      </c>
      <c r="AE1940">
        <v>4</v>
      </c>
      <c r="AF1940">
        <v>13</v>
      </c>
      <c r="AG1940">
        <v>4</v>
      </c>
      <c r="AH1940">
        <v>0</v>
      </c>
      <c r="AI1940">
        <v>0</v>
      </c>
    </row>
    <row r="1941" spans="1:35" hidden="1" x14ac:dyDescent="0.25">
      <c r="A1941">
        <v>2018</v>
      </c>
      <c r="B1941" s="1">
        <v>43354</v>
      </c>
      <c r="C1941">
        <v>24</v>
      </c>
      <c r="D1941">
        <v>20922</v>
      </c>
      <c r="E1941">
        <v>23018</v>
      </c>
      <c r="F1941" t="s">
        <v>89</v>
      </c>
      <c r="G1941" t="s">
        <v>454</v>
      </c>
      <c r="H1941" t="s">
        <v>433</v>
      </c>
      <c r="I1941" t="s">
        <v>333</v>
      </c>
      <c r="J1941">
        <v>6</v>
      </c>
      <c r="K1941">
        <v>13</v>
      </c>
      <c r="L1941">
        <v>20050000</v>
      </c>
      <c r="M1941">
        <v>12700000</v>
      </c>
      <c r="N1941" t="s">
        <v>208</v>
      </c>
      <c r="O1941" t="s">
        <v>41</v>
      </c>
      <c r="P1941">
        <v>3</v>
      </c>
      <c r="Q1941">
        <v>1</v>
      </c>
      <c r="R1941">
        <v>1</v>
      </c>
      <c r="S1941">
        <v>1</v>
      </c>
      <c r="T1941">
        <v>6</v>
      </c>
      <c r="U1941">
        <v>6</v>
      </c>
      <c r="V1941">
        <v>13</v>
      </c>
      <c r="W1941">
        <v>10</v>
      </c>
      <c r="X1941">
        <v>10</v>
      </c>
      <c r="Y1941">
        <v>17</v>
      </c>
      <c r="Z1941">
        <v>5</v>
      </c>
      <c r="AA1941">
        <v>2</v>
      </c>
      <c r="AB1941">
        <v>4</v>
      </c>
      <c r="AC1941">
        <v>0</v>
      </c>
      <c r="AD1941">
        <v>5</v>
      </c>
      <c r="AE1941">
        <v>5</v>
      </c>
      <c r="AF1941">
        <v>3</v>
      </c>
      <c r="AG1941">
        <v>6</v>
      </c>
      <c r="AH1941">
        <v>2</v>
      </c>
      <c r="AI1941">
        <v>1</v>
      </c>
    </row>
    <row r="1942" spans="1:35" hidden="1" x14ac:dyDescent="0.25">
      <c r="A1942">
        <v>2018</v>
      </c>
      <c r="B1942" s="1">
        <v>43373</v>
      </c>
      <c r="C1942">
        <v>27</v>
      </c>
      <c r="D1942">
        <v>22654</v>
      </c>
      <c r="E1942">
        <v>23018</v>
      </c>
      <c r="F1942" t="s">
        <v>89</v>
      </c>
      <c r="G1942" t="s">
        <v>391</v>
      </c>
      <c r="H1942" t="s">
        <v>433</v>
      </c>
      <c r="I1942" t="s">
        <v>462</v>
      </c>
      <c r="J1942">
        <v>6</v>
      </c>
      <c r="K1942">
        <v>19</v>
      </c>
      <c r="L1942">
        <v>17950000</v>
      </c>
      <c r="M1942">
        <v>11950000</v>
      </c>
      <c r="N1942" t="s">
        <v>166</v>
      </c>
      <c r="O1942" t="s">
        <v>197</v>
      </c>
      <c r="P1942">
        <v>5</v>
      </c>
      <c r="Q1942">
        <v>2</v>
      </c>
      <c r="R1942">
        <v>4</v>
      </c>
      <c r="S1942">
        <v>1</v>
      </c>
      <c r="T1942">
        <v>7</v>
      </c>
      <c r="U1942">
        <v>6</v>
      </c>
      <c r="V1942">
        <v>14</v>
      </c>
      <c r="W1942">
        <v>11</v>
      </c>
      <c r="X1942">
        <v>11</v>
      </c>
      <c r="Y1942">
        <v>17</v>
      </c>
      <c r="Z1942">
        <v>0</v>
      </c>
      <c r="AA1942">
        <v>2</v>
      </c>
      <c r="AB1942">
        <v>3</v>
      </c>
      <c r="AC1942">
        <v>0</v>
      </c>
      <c r="AD1942">
        <v>8</v>
      </c>
      <c r="AE1942">
        <v>1</v>
      </c>
      <c r="AF1942">
        <v>7</v>
      </c>
      <c r="AG1942">
        <v>3</v>
      </c>
      <c r="AH1942">
        <v>3</v>
      </c>
      <c r="AI1942">
        <v>1</v>
      </c>
    </row>
    <row r="1943" spans="1:35" hidden="1" x14ac:dyDescent="0.25">
      <c r="A1943">
        <v>2018</v>
      </c>
      <c r="B1943" s="1">
        <v>43345</v>
      </c>
      <c r="C1943">
        <v>22</v>
      </c>
      <c r="D1943">
        <v>61277</v>
      </c>
      <c r="E1943">
        <v>78838</v>
      </c>
      <c r="F1943" t="s">
        <v>77</v>
      </c>
      <c r="G1943" t="s">
        <v>361</v>
      </c>
      <c r="H1943" t="s">
        <v>341</v>
      </c>
      <c r="I1943" t="s">
        <v>362</v>
      </c>
      <c r="J1943">
        <v>3</v>
      </c>
      <c r="K1943">
        <v>19</v>
      </c>
      <c r="L1943">
        <v>41750000</v>
      </c>
      <c r="M1943">
        <v>6980000</v>
      </c>
      <c r="N1943" t="s">
        <v>123</v>
      </c>
      <c r="O1943" t="s">
        <v>86</v>
      </c>
      <c r="P1943">
        <v>0</v>
      </c>
      <c r="Q1943">
        <v>1</v>
      </c>
      <c r="R1943">
        <v>0</v>
      </c>
      <c r="S1943">
        <v>0</v>
      </c>
      <c r="T1943">
        <v>12</v>
      </c>
      <c r="U1943">
        <v>1</v>
      </c>
      <c r="V1943">
        <v>17</v>
      </c>
      <c r="W1943">
        <v>14</v>
      </c>
      <c r="X1943">
        <v>14</v>
      </c>
      <c r="Y1943">
        <v>19</v>
      </c>
      <c r="Z1943">
        <v>4</v>
      </c>
      <c r="AA1943">
        <v>9</v>
      </c>
      <c r="AB1943">
        <v>2</v>
      </c>
      <c r="AC1943">
        <v>0</v>
      </c>
      <c r="AD1943">
        <v>9</v>
      </c>
      <c r="AE1943">
        <v>5</v>
      </c>
      <c r="AF1943">
        <v>9</v>
      </c>
      <c r="AG1943">
        <v>4</v>
      </c>
      <c r="AH1943">
        <v>-1</v>
      </c>
      <c r="AI1943">
        <v>0</v>
      </c>
    </row>
    <row r="1944" spans="1:35" hidden="1" x14ac:dyDescent="0.25">
      <c r="A1944">
        <v>2018</v>
      </c>
      <c r="B1944" s="1">
        <v>43352</v>
      </c>
      <c r="C1944">
        <v>24</v>
      </c>
      <c r="D1944">
        <v>28983</v>
      </c>
      <c r="E1944">
        <v>78838</v>
      </c>
      <c r="F1944" t="s">
        <v>77</v>
      </c>
      <c r="G1944" t="s">
        <v>394</v>
      </c>
      <c r="H1944" t="s">
        <v>341</v>
      </c>
      <c r="I1944" t="s">
        <v>340</v>
      </c>
      <c r="J1944">
        <v>4</v>
      </c>
      <c r="K1944">
        <v>17</v>
      </c>
      <c r="L1944">
        <v>36550000</v>
      </c>
      <c r="M1944">
        <v>8150000</v>
      </c>
      <c r="N1944" t="s">
        <v>107</v>
      </c>
      <c r="O1944" t="s">
        <v>41</v>
      </c>
      <c r="P1944">
        <v>2</v>
      </c>
      <c r="Q1944">
        <v>0</v>
      </c>
      <c r="R1944">
        <v>1</v>
      </c>
      <c r="S1944">
        <v>0</v>
      </c>
      <c r="T1944">
        <v>8</v>
      </c>
      <c r="U1944">
        <v>3</v>
      </c>
      <c r="V1944">
        <v>17</v>
      </c>
      <c r="W1944">
        <v>12</v>
      </c>
      <c r="X1944">
        <v>12</v>
      </c>
      <c r="Y1944">
        <v>18</v>
      </c>
      <c r="Z1944">
        <v>3</v>
      </c>
      <c r="AA1944">
        <v>3</v>
      </c>
      <c r="AB1944">
        <v>1</v>
      </c>
      <c r="AC1944">
        <v>0</v>
      </c>
      <c r="AD1944">
        <v>5</v>
      </c>
      <c r="AE1944">
        <v>3</v>
      </c>
      <c r="AF1944">
        <v>6</v>
      </c>
      <c r="AG1944">
        <v>3</v>
      </c>
      <c r="AH1944">
        <v>2</v>
      </c>
      <c r="AI1944">
        <v>1</v>
      </c>
    </row>
    <row r="1945" spans="1:35" hidden="1" x14ac:dyDescent="0.25">
      <c r="A1945">
        <v>2018</v>
      </c>
      <c r="B1945" s="1">
        <v>43386</v>
      </c>
      <c r="C1945">
        <v>29</v>
      </c>
      <c r="D1945">
        <v>52924</v>
      </c>
      <c r="E1945">
        <v>78838</v>
      </c>
      <c r="F1945" t="s">
        <v>77</v>
      </c>
      <c r="G1945" t="s">
        <v>55</v>
      </c>
      <c r="H1945" t="s">
        <v>315</v>
      </c>
      <c r="I1945" t="s">
        <v>458</v>
      </c>
      <c r="J1945">
        <v>3</v>
      </c>
      <c r="K1945">
        <v>8</v>
      </c>
      <c r="L1945">
        <v>45550000</v>
      </c>
      <c r="M1945">
        <v>12750000</v>
      </c>
      <c r="N1945" t="s">
        <v>209</v>
      </c>
      <c r="O1945" t="s">
        <v>252</v>
      </c>
      <c r="P1945">
        <v>3</v>
      </c>
      <c r="Q1945">
        <v>0</v>
      </c>
      <c r="R1945">
        <v>2</v>
      </c>
      <c r="S1945">
        <v>0</v>
      </c>
      <c r="T1945">
        <v>6</v>
      </c>
      <c r="U1945">
        <v>3</v>
      </c>
      <c r="V1945">
        <v>17</v>
      </c>
      <c r="W1945">
        <v>16</v>
      </c>
      <c r="X1945">
        <v>16</v>
      </c>
      <c r="Y1945">
        <v>17</v>
      </c>
      <c r="Z1945">
        <v>5</v>
      </c>
      <c r="AA1945">
        <v>2</v>
      </c>
      <c r="AB1945">
        <v>0</v>
      </c>
      <c r="AC1945">
        <v>0</v>
      </c>
      <c r="AD1945">
        <v>5</v>
      </c>
      <c r="AE1945">
        <v>5</v>
      </c>
      <c r="AF1945">
        <v>5</v>
      </c>
      <c r="AG1945">
        <v>3</v>
      </c>
      <c r="AH1945">
        <v>3</v>
      </c>
      <c r="AI1945">
        <v>1</v>
      </c>
    </row>
    <row r="1946" spans="1:35" hidden="1" x14ac:dyDescent="0.25">
      <c r="A1946">
        <v>2018</v>
      </c>
      <c r="B1946" s="1">
        <v>43419</v>
      </c>
      <c r="C1946">
        <v>34</v>
      </c>
      <c r="D1946">
        <v>46067</v>
      </c>
      <c r="E1946">
        <v>78838</v>
      </c>
      <c r="F1946" t="s">
        <v>77</v>
      </c>
      <c r="G1946" t="s">
        <v>419</v>
      </c>
      <c r="H1946" t="s">
        <v>315</v>
      </c>
      <c r="I1946" t="s">
        <v>71</v>
      </c>
      <c r="J1946">
        <v>3</v>
      </c>
      <c r="K1946">
        <v>8</v>
      </c>
      <c r="L1946">
        <v>32550000</v>
      </c>
      <c r="M1946">
        <v>36350000</v>
      </c>
      <c r="N1946" t="s">
        <v>123</v>
      </c>
      <c r="O1946" t="s">
        <v>221</v>
      </c>
      <c r="P1946">
        <v>1</v>
      </c>
      <c r="Q1946">
        <v>0</v>
      </c>
      <c r="R1946">
        <v>0</v>
      </c>
      <c r="S1946">
        <v>0</v>
      </c>
      <c r="T1946">
        <v>8</v>
      </c>
      <c r="U1946">
        <v>2</v>
      </c>
      <c r="V1946">
        <v>20</v>
      </c>
      <c r="W1946">
        <v>18</v>
      </c>
      <c r="X1946">
        <v>18</v>
      </c>
      <c r="Y1946">
        <v>20</v>
      </c>
      <c r="Z1946">
        <v>3</v>
      </c>
      <c r="AA1946">
        <v>3</v>
      </c>
      <c r="AB1946">
        <v>0</v>
      </c>
      <c r="AC1946">
        <v>0</v>
      </c>
      <c r="AD1946">
        <v>4</v>
      </c>
      <c r="AE1946">
        <v>3</v>
      </c>
      <c r="AF1946">
        <v>10</v>
      </c>
      <c r="AG1946">
        <v>4</v>
      </c>
      <c r="AH1946">
        <v>1</v>
      </c>
      <c r="AI1946">
        <v>1</v>
      </c>
    </row>
    <row r="1947" spans="1:35" hidden="1" x14ac:dyDescent="0.25">
      <c r="A1947">
        <v>2018</v>
      </c>
      <c r="B1947" s="1">
        <v>43426</v>
      </c>
      <c r="C1947">
        <v>36</v>
      </c>
      <c r="D1947">
        <v>36013</v>
      </c>
      <c r="E1947">
        <v>78838</v>
      </c>
      <c r="F1947" t="s">
        <v>77</v>
      </c>
      <c r="G1947" t="s">
        <v>83</v>
      </c>
      <c r="H1947" t="s">
        <v>315</v>
      </c>
      <c r="I1947" t="s">
        <v>85</v>
      </c>
      <c r="J1947">
        <v>2</v>
      </c>
      <c r="K1947">
        <v>4</v>
      </c>
      <c r="L1947">
        <v>35550000</v>
      </c>
      <c r="M1947">
        <v>23200000</v>
      </c>
      <c r="N1947" t="s">
        <v>174</v>
      </c>
      <c r="O1947" t="s">
        <v>168</v>
      </c>
      <c r="P1947">
        <v>2</v>
      </c>
      <c r="Q1947">
        <v>0</v>
      </c>
      <c r="R1947">
        <v>0</v>
      </c>
      <c r="S1947">
        <v>0</v>
      </c>
      <c r="T1947">
        <v>8</v>
      </c>
      <c r="U1947">
        <v>4</v>
      </c>
      <c r="V1947">
        <v>16</v>
      </c>
      <c r="W1947">
        <v>10</v>
      </c>
      <c r="X1947">
        <v>10</v>
      </c>
      <c r="Y1947">
        <v>16</v>
      </c>
      <c r="Z1947">
        <v>5</v>
      </c>
      <c r="AA1947">
        <v>10</v>
      </c>
      <c r="AB1947">
        <v>0</v>
      </c>
      <c r="AC1947">
        <v>0</v>
      </c>
      <c r="AD1947">
        <v>5</v>
      </c>
      <c r="AE1947">
        <v>1</v>
      </c>
      <c r="AF1947">
        <v>5</v>
      </c>
      <c r="AG1947">
        <v>1</v>
      </c>
      <c r="AH1947">
        <v>2</v>
      </c>
      <c r="AI1947">
        <v>1</v>
      </c>
    </row>
    <row r="1948" spans="1:35" hidden="1" x14ac:dyDescent="0.25">
      <c r="A1948">
        <v>2018</v>
      </c>
      <c r="B1948" s="1">
        <v>43435</v>
      </c>
      <c r="C1948">
        <v>38</v>
      </c>
      <c r="D1948">
        <v>66046</v>
      </c>
      <c r="E1948">
        <v>78838</v>
      </c>
      <c r="F1948" t="s">
        <v>77</v>
      </c>
      <c r="G1948" t="s">
        <v>454</v>
      </c>
      <c r="H1948" t="s">
        <v>315</v>
      </c>
      <c r="I1948" t="s">
        <v>333</v>
      </c>
      <c r="J1948">
        <v>2</v>
      </c>
      <c r="K1948">
        <v>7</v>
      </c>
      <c r="L1948">
        <v>38300000</v>
      </c>
      <c r="M1948">
        <v>11450000</v>
      </c>
      <c r="N1948" t="s">
        <v>135</v>
      </c>
      <c r="O1948" t="s">
        <v>239</v>
      </c>
      <c r="P1948">
        <v>1</v>
      </c>
      <c r="Q1948">
        <v>2</v>
      </c>
      <c r="R1948">
        <v>1</v>
      </c>
      <c r="S1948">
        <v>0</v>
      </c>
      <c r="T1948">
        <v>6</v>
      </c>
      <c r="U1948">
        <v>1</v>
      </c>
      <c r="V1948">
        <v>14</v>
      </c>
      <c r="W1948">
        <v>15</v>
      </c>
      <c r="X1948">
        <v>15</v>
      </c>
      <c r="Y1948">
        <v>14</v>
      </c>
      <c r="Z1948">
        <v>1</v>
      </c>
      <c r="AA1948">
        <v>4</v>
      </c>
      <c r="AB1948">
        <v>0</v>
      </c>
      <c r="AC1948">
        <v>0</v>
      </c>
      <c r="AD1948">
        <v>5</v>
      </c>
      <c r="AE1948">
        <v>3</v>
      </c>
      <c r="AF1948">
        <v>6</v>
      </c>
      <c r="AG1948">
        <v>5</v>
      </c>
      <c r="AH1948">
        <v>-1</v>
      </c>
      <c r="AI1948">
        <v>0</v>
      </c>
    </row>
    <row r="1949" spans="1:35" hidden="1" x14ac:dyDescent="0.25">
      <c r="A1949">
        <v>2018</v>
      </c>
      <c r="B1949" s="1">
        <v>43339</v>
      </c>
      <c r="C1949">
        <v>21</v>
      </c>
      <c r="D1949">
        <v>8782</v>
      </c>
      <c r="E1949">
        <v>24584</v>
      </c>
      <c r="F1949" t="s">
        <v>82</v>
      </c>
      <c r="G1949" t="s">
        <v>394</v>
      </c>
      <c r="H1949" t="s">
        <v>464</v>
      </c>
      <c r="I1949" t="s">
        <v>340</v>
      </c>
      <c r="J1949">
        <v>14</v>
      </c>
      <c r="K1949">
        <v>12</v>
      </c>
      <c r="L1949">
        <v>10300000</v>
      </c>
      <c r="M1949">
        <v>10450000</v>
      </c>
      <c r="N1949" t="s">
        <v>128</v>
      </c>
      <c r="O1949" t="s">
        <v>120</v>
      </c>
      <c r="P1949">
        <v>3</v>
      </c>
      <c r="Q1949">
        <v>1</v>
      </c>
      <c r="R1949">
        <v>0</v>
      </c>
      <c r="S1949">
        <v>0</v>
      </c>
      <c r="T1949">
        <v>6</v>
      </c>
      <c r="U1949">
        <v>4</v>
      </c>
      <c r="V1949">
        <v>18</v>
      </c>
      <c r="W1949">
        <v>21</v>
      </c>
      <c r="X1949">
        <v>22</v>
      </c>
      <c r="Y1949">
        <v>18</v>
      </c>
      <c r="Z1949">
        <v>3</v>
      </c>
      <c r="AA1949">
        <v>4</v>
      </c>
      <c r="AB1949">
        <v>0</v>
      </c>
      <c r="AC1949">
        <v>1</v>
      </c>
      <c r="AD1949">
        <v>7</v>
      </c>
      <c r="AE1949">
        <v>4</v>
      </c>
      <c r="AF1949">
        <v>5</v>
      </c>
      <c r="AG1949">
        <v>4</v>
      </c>
      <c r="AH1949">
        <v>2</v>
      </c>
      <c r="AI1949">
        <v>1</v>
      </c>
    </row>
    <row r="1950" spans="1:35" hidden="1" x14ac:dyDescent="0.25">
      <c r="A1950">
        <v>2018</v>
      </c>
      <c r="B1950" s="1">
        <v>43368</v>
      </c>
      <c r="C1950">
        <v>26</v>
      </c>
      <c r="D1950">
        <v>13293</v>
      </c>
      <c r="E1950">
        <v>24584</v>
      </c>
      <c r="F1950" t="s">
        <v>82</v>
      </c>
      <c r="G1950" t="s">
        <v>38</v>
      </c>
      <c r="H1950" t="s">
        <v>378</v>
      </c>
      <c r="I1950" t="s">
        <v>420</v>
      </c>
      <c r="J1950">
        <v>18</v>
      </c>
      <c r="K1950">
        <v>14</v>
      </c>
      <c r="L1950">
        <v>12200000</v>
      </c>
      <c r="M1950">
        <v>10350000</v>
      </c>
      <c r="N1950" t="s">
        <v>111</v>
      </c>
      <c r="O1950" t="s">
        <v>239</v>
      </c>
      <c r="P1950">
        <v>2</v>
      </c>
      <c r="Q1950">
        <v>1</v>
      </c>
      <c r="R1950">
        <v>1</v>
      </c>
      <c r="S1950">
        <v>1</v>
      </c>
      <c r="T1950">
        <v>4</v>
      </c>
      <c r="U1950">
        <v>8</v>
      </c>
      <c r="V1950">
        <v>13</v>
      </c>
      <c r="W1950">
        <v>15</v>
      </c>
      <c r="X1950">
        <v>16</v>
      </c>
      <c r="Y1950">
        <v>18</v>
      </c>
      <c r="Z1950">
        <v>5</v>
      </c>
      <c r="AA1950">
        <v>2</v>
      </c>
      <c r="AB1950">
        <v>5</v>
      </c>
      <c r="AC1950">
        <v>1</v>
      </c>
      <c r="AD1950">
        <v>5</v>
      </c>
      <c r="AE1950">
        <v>6</v>
      </c>
      <c r="AF1950">
        <v>2</v>
      </c>
      <c r="AG1950">
        <v>2</v>
      </c>
      <c r="AH1950">
        <v>1</v>
      </c>
      <c r="AI1950">
        <v>1</v>
      </c>
    </row>
    <row r="1951" spans="1:35" hidden="1" x14ac:dyDescent="0.25">
      <c r="A1951">
        <v>2018</v>
      </c>
      <c r="B1951" s="1">
        <v>43387</v>
      </c>
      <c r="C1951">
        <v>29</v>
      </c>
      <c r="D1951">
        <v>11376</v>
      </c>
      <c r="E1951">
        <v>24584</v>
      </c>
      <c r="F1951" t="s">
        <v>82</v>
      </c>
      <c r="G1951" t="s">
        <v>50</v>
      </c>
      <c r="H1951" t="s">
        <v>378</v>
      </c>
      <c r="I1951" t="s">
        <v>240</v>
      </c>
      <c r="J1951">
        <v>16</v>
      </c>
      <c r="K1951">
        <v>9</v>
      </c>
      <c r="L1951">
        <v>10250000</v>
      </c>
      <c r="M1951">
        <v>14750000</v>
      </c>
      <c r="N1951" t="s">
        <v>98</v>
      </c>
      <c r="O1951" t="s">
        <v>116</v>
      </c>
      <c r="P1951">
        <v>2</v>
      </c>
      <c r="Q1951">
        <v>0</v>
      </c>
      <c r="R1951">
        <v>0</v>
      </c>
      <c r="S1951">
        <v>0</v>
      </c>
      <c r="T1951">
        <v>10</v>
      </c>
      <c r="U1951">
        <v>9</v>
      </c>
      <c r="V1951">
        <v>13</v>
      </c>
      <c r="W1951">
        <v>15</v>
      </c>
      <c r="X1951">
        <v>16</v>
      </c>
      <c r="Y1951">
        <v>14</v>
      </c>
      <c r="Z1951">
        <v>4</v>
      </c>
      <c r="AA1951">
        <v>2</v>
      </c>
      <c r="AB1951">
        <v>1</v>
      </c>
      <c r="AC1951">
        <v>1</v>
      </c>
      <c r="AD1951">
        <v>4</v>
      </c>
      <c r="AE1951">
        <v>4</v>
      </c>
      <c r="AF1951">
        <v>2</v>
      </c>
      <c r="AG1951">
        <v>3</v>
      </c>
      <c r="AH1951">
        <v>2</v>
      </c>
      <c r="AI1951">
        <v>1</v>
      </c>
    </row>
    <row r="1952" spans="1:35" hidden="1" x14ac:dyDescent="0.25">
      <c r="A1952">
        <v>2018</v>
      </c>
      <c r="B1952" s="1">
        <v>43387</v>
      </c>
      <c r="C1952">
        <v>29</v>
      </c>
      <c r="D1952">
        <v>29328</v>
      </c>
      <c r="E1952">
        <v>31000</v>
      </c>
      <c r="F1952" t="s">
        <v>38</v>
      </c>
      <c r="G1952" t="s">
        <v>457</v>
      </c>
      <c r="H1952" t="s">
        <v>420</v>
      </c>
      <c r="I1952" t="s">
        <v>444</v>
      </c>
      <c r="J1952">
        <v>15</v>
      </c>
      <c r="K1952">
        <v>20</v>
      </c>
      <c r="L1952">
        <v>11400000</v>
      </c>
      <c r="M1952">
        <v>3450000</v>
      </c>
      <c r="N1952" t="s">
        <v>117</v>
      </c>
      <c r="O1952" t="s">
        <v>116</v>
      </c>
      <c r="P1952">
        <v>2</v>
      </c>
      <c r="Q1952">
        <v>0</v>
      </c>
      <c r="R1952">
        <v>0</v>
      </c>
      <c r="S1952">
        <v>0</v>
      </c>
      <c r="T1952">
        <v>12</v>
      </c>
      <c r="U1952">
        <v>1</v>
      </c>
      <c r="V1952">
        <v>5</v>
      </c>
      <c r="W1952">
        <v>8</v>
      </c>
      <c r="X1952">
        <v>9</v>
      </c>
      <c r="Y1952">
        <v>7</v>
      </c>
      <c r="Z1952">
        <v>2</v>
      </c>
      <c r="AA1952">
        <v>5</v>
      </c>
      <c r="AB1952">
        <v>2</v>
      </c>
      <c r="AC1952">
        <v>1</v>
      </c>
      <c r="AD1952">
        <v>7</v>
      </c>
      <c r="AE1952">
        <v>3</v>
      </c>
      <c r="AF1952">
        <v>10</v>
      </c>
      <c r="AG1952">
        <v>2</v>
      </c>
      <c r="AH1952">
        <v>2</v>
      </c>
      <c r="AI1952">
        <v>1</v>
      </c>
    </row>
    <row r="1953" spans="1:35" hidden="1" x14ac:dyDescent="0.25">
      <c r="A1953">
        <v>2018</v>
      </c>
      <c r="B1953" s="1">
        <v>43342</v>
      </c>
      <c r="C1953">
        <v>15</v>
      </c>
      <c r="D1953">
        <v>10755</v>
      </c>
      <c r="E1953">
        <v>20268</v>
      </c>
      <c r="F1953" t="s">
        <v>361</v>
      </c>
      <c r="G1953" t="s">
        <v>38</v>
      </c>
      <c r="H1953" t="s">
        <v>362</v>
      </c>
      <c r="I1953" t="s">
        <v>420</v>
      </c>
      <c r="J1953">
        <v>20</v>
      </c>
      <c r="K1953">
        <v>14</v>
      </c>
      <c r="L1953">
        <v>8250000</v>
      </c>
      <c r="M1953">
        <v>11700000</v>
      </c>
      <c r="N1953" t="s">
        <v>48</v>
      </c>
      <c r="O1953" t="s">
        <v>151</v>
      </c>
      <c r="P1953">
        <v>0</v>
      </c>
      <c r="Q1953">
        <v>2</v>
      </c>
      <c r="R1953">
        <v>0</v>
      </c>
      <c r="S1953">
        <v>1</v>
      </c>
      <c r="T1953">
        <v>11</v>
      </c>
      <c r="U1953">
        <v>2</v>
      </c>
      <c r="V1953">
        <v>15</v>
      </c>
      <c r="W1953">
        <v>23</v>
      </c>
      <c r="X1953">
        <v>24</v>
      </c>
      <c r="Y1953">
        <v>15</v>
      </c>
      <c r="Z1953">
        <v>4</v>
      </c>
      <c r="AA1953">
        <v>13</v>
      </c>
      <c r="AB1953">
        <v>0</v>
      </c>
      <c r="AC1953">
        <v>1</v>
      </c>
      <c r="AD1953">
        <v>5</v>
      </c>
      <c r="AE1953">
        <v>3</v>
      </c>
      <c r="AF1953">
        <v>3</v>
      </c>
      <c r="AG1953">
        <v>0</v>
      </c>
      <c r="AH1953">
        <v>-2</v>
      </c>
      <c r="AI1953">
        <v>0</v>
      </c>
    </row>
    <row r="1954" spans="1:35" hidden="1" x14ac:dyDescent="0.25">
      <c r="A1954">
        <v>2018</v>
      </c>
      <c r="B1954" s="1">
        <v>43379</v>
      </c>
      <c r="C1954">
        <v>28</v>
      </c>
      <c r="D1954">
        <v>7478</v>
      </c>
      <c r="E1954">
        <v>35632</v>
      </c>
      <c r="F1954" t="s">
        <v>94</v>
      </c>
      <c r="G1954" t="s">
        <v>419</v>
      </c>
      <c r="H1954" t="s">
        <v>455</v>
      </c>
      <c r="I1954" t="s">
        <v>71</v>
      </c>
      <c r="J1954">
        <v>17</v>
      </c>
      <c r="K1954">
        <v>8</v>
      </c>
      <c r="L1954">
        <v>6150000</v>
      </c>
      <c r="M1954">
        <v>31750000</v>
      </c>
      <c r="N1954" t="s">
        <v>348</v>
      </c>
      <c r="O1954" t="s">
        <v>120</v>
      </c>
      <c r="P1954">
        <v>0</v>
      </c>
      <c r="Q1954">
        <v>1</v>
      </c>
      <c r="R1954">
        <v>0</v>
      </c>
      <c r="S1954">
        <v>1</v>
      </c>
      <c r="T1954">
        <v>8</v>
      </c>
      <c r="U1954">
        <v>2</v>
      </c>
      <c r="V1954">
        <v>17</v>
      </c>
      <c r="W1954">
        <v>21</v>
      </c>
      <c r="X1954">
        <v>22</v>
      </c>
      <c r="Y1954">
        <v>17</v>
      </c>
      <c r="Z1954">
        <v>2</v>
      </c>
      <c r="AA1954">
        <v>4</v>
      </c>
      <c r="AB1954">
        <v>0</v>
      </c>
      <c r="AC1954">
        <v>1</v>
      </c>
      <c r="AD1954">
        <v>3</v>
      </c>
      <c r="AE1954">
        <v>3</v>
      </c>
      <c r="AF1954">
        <v>8</v>
      </c>
      <c r="AG1954">
        <v>2</v>
      </c>
      <c r="AH1954">
        <v>-1</v>
      </c>
      <c r="AI1954">
        <v>0</v>
      </c>
    </row>
    <row r="1955" spans="1:35" hidden="1" x14ac:dyDescent="0.25">
      <c r="A1955">
        <v>2018</v>
      </c>
      <c r="B1955" s="1">
        <v>43394</v>
      </c>
      <c r="C1955">
        <v>30</v>
      </c>
      <c r="D1955">
        <v>18663</v>
      </c>
      <c r="E1955">
        <v>35632</v>
      </c>
      <c r="F1955" t="s">
        <v>94</v>
      </c>
      <c r="G1955" t="s">
        <v>88</v>
      </c>
      <c r="H1955" t="s">
        <v>455</v>
      </c>
      <c r="I1955" t="s">
        <v>78</v>
      </c>
      <c r="J1955">
        <v>17</v>
      </c>
      <c r="K1955">
        <v>11</v>
      </c>
      <c r="L1955">
        <v>11250000</v>
      </c>
      <c r="M1955">
        <v>27400000</v>
      </c>
      <c r="N1955" t="s">
        <v>221</v>
      </c>
      <c r="O1955" t="s">
        <v>105</v>
      </c>
      <c r="P1955">
        <v>2</v>
      </c>
      <c r="Q1955">
        <v>2</v>
      </c>
      <c r="R1955">
        <v>1</v>
      </c>
      <c r="S1955">
        <v>1</v>
      </c>
      <c r="T1955">
        <v>5</v>
      </c>
      <c r="U1955">
        <v>5</v>
      </c>
      <c r="V1955">
        <v>19</v>
      </c>
      <c r="W1955">
        <v>22</v>
      </c>
      <c r="X1955">
        <v>23</v>
      </c>
      <c r="Y1955">
        <v>20</v>
      </c>
      <c r="Z1955">
        <v>1</v>
      </c>
      <c r="AA1955">
        <v>4</v>
      </c>
      <c r="AB1955">
        <v>1</v>
      </c>
      <c r="AC1955">
        <v>1</v>
      </c>
      <c r="AD1955">
        <v>6</v>
      </c>
      <c r="AE1955">
        <v>3</v>
      </c>
      <c r="AF1955">
        <v>3</v>
      </c>
      <c r="AG1955">
        <v>4</v>
      </c>
      <c r="AH1955">
        <v>0</v>
      </c>
      <c r="AI1955">
        <v>0</v>
      </c>
    </row>
    <row r="1956" spans="1:35" hidden="1" x14ac:dyDescent="0.25">
      <c r="A1956">
        <v>2018</v>
      </c>
      <c r="B1956" s="1">
        <v>43360</v>
      </c>
      <c r="C1956">
        <v>25</v>
      </c>
      <c r="D1956">
        <v>21112</v>
      </c>
      <c r="E1956">
        <v>49205</v>
      </c>
      <c r="F1956" t="s">
        <v>88</v>
      </c>
      <c r="G1956" t="s">
        <v>391</v>
      </c>
      <c r="H1956" t="s">
        <v>78</v>
      </c>
      <c r="I1956" t="s">
        <v>369</v>
      </c>
      <c r="J1956">
        <v>10</v>
      </c>
      <c r="K1956">
        <v>18</v>
      </c>
      <c r="L1956">
        <v>19100000</v>
      </c>
      <c r="M1956">
        <v>8850000</v>
      </c>
      <c r="N1956" t="s">
        <v>86</v>
      </c>
      <c r="O1956" t="s">
        <v>74</v>
      </c>
      <c r="P1956">
        <v>2</v>
      </c>
      <c r="Q1956">
        <v>1</v>
      </c>
      <c r="R1956">
        <v>0</v>
      </c>
      <c r="S1956">
        <v>1</v>
      </c>
      <c r="T1956">
        <v>5</v>
      </c>
      <c r="U1956">
        <v>6</v>
      </c>
      <c r="V1956">
        <v>16</v>
      </c>
      <c r="W1956">
        <v>20</v>
      </c>
      <c r="X1956">
        <v>21</v>
      </c>
      <c r="Y1956">
        <v>20</v>
      </c>
      <c r="Z1956">
        <v>6</v>
      </c>
      <c r="AA1956">
        <v>4</v>
      </c>
      <c r="AB1956">
        <v>4</v>
      </c>
      <c r="AC1956">
        <v>1</v>
      </c>
      <c r="AD1956">
        <v>6</v>
      </c>
      <c r="AE1956">
        <v>7</v>
      </c>
      <c r="AF1956">
        <v>4</v>
      </c>
      <c r="AG1956">
        <v>5</v>
      </c>
      <c r="AH1956">
        <v>1</v>
      </c>
      <c r="AI1956">
        <v>1</v>
      </c>
    </row>
    <row r="1957" spans="1:35" hidden="1" x14ac:dyDescent="0.25">
      <c r="A1957">
        <v>2018</v>
      </c>
      <c r="B1957" s="1">
        <v>43366</v>
      </c>
      <c r="C1957">
        <v>26</v>
      </c>
      <c r="D1957">
        <v>27199</v>
      </c>
      <c r="E1957">
        <v>49205</v>
      </c>
      <c r="F1957" t="s">
        <v>88</v>
      </c>
      <c r="G1957" t="s">
        <v>37</v>
      </c>
      <c r="H1957" t="s">
        <v>78</v>
      </c>
      <c r="I1957" t="s">
        <v>328</v>
      </c>
      <c r="J1957">
        <v>8</v>
      </c>
      <c r="K1957">
        <v>2</v>
      </c>
      <c r="L1957">
        <v>30100000</v>
      </c>
      <c r="M1957">
        <v>22550000</v>
      </c>
      <c r="N1957" t="s">
        <v>117</v>
      </c>
      <c r="O1957" t="s">
        <v>252</v>
      </c>
      <c r="P1957">
        <v>1</v>
      </c>
      <c r="Q1957">
        <v>1</v>
      </c>
      <c r="R1957">
        <v>0</v>
      </c>
      <c r="S1957">
        <v>1</v>
      </c>
      <c r="T1957">
        <v>2</v>
      </c>
      <c r="U1957">
        <v>3</v>
      </c>
      <c r="V1957">
        <v>12</v>
      </c>
      <c r="W1957">
        <v>10</v>
      </c>
      <c r="X1957">
        <v>11</v>
      </c>
      <c r="Y1957">
        <v>13</v>
      </c>
      <c r="Z1957">
        <v>1</v>
      </c>
      <c r="AA1957">
        <v>3</v>
      </c>
      <c r="AB1957">
        <v>1</v>
      </c>
      <c r="AC1957">
        <v>1</v>
      </c>
      <c r="AD1957">
        <v>4</v>
      </c>
      <c r="AE1957">
        <v>2</v>
      </c>
      <c r="AF1957">
        <v>2</v>
      </c>
      <c r="AG1957">
        <v>2</v>
      </c>
      <c r="AH1957">
        <v>0</v>
      </c>
      <c r="AI1957">
        <v>0</v>
      </c>
    </row>
    <row r="1958" spans="1:35" hidden="1" x14ac:dyDescent="0.25">
      <c r="A1958">
        <v>2018</v>
      </c>
      <c r="B1958" s="1">
        <v>43421</v>
      </c>
      <c r="C1958">
        <v>35</v>
      </c>
      <c r="D1958">
        <v>38605</v>
      </c>
      <c r="E1958">
        <v>49205</v>
      </c>
      <c r="F1958" t="s">
        <v>88</v>
      </c>
      <c r="G1958" t="s">
        <v>82</v>
      </c>
      <c r="H1958" t="s">
        <v>78</v>
      </c>
      <c r="I1958" t="s">
        <v>378</v>
      </c>
      <c r="J1958">
        <v>13</v>
      </c>
      <c r="K1958">
        <v>14</v>
      </c>
      <c r="L1958">
        <v>25200000</v>
      </c>
      <c r="M1958">
        <v>12950000</v>
      </c>
      <c r="N1958" t="s">
        <v>134</v>
      </c>
      <c r="O1958" t="s">
        <v>120</v>
      </c>
      <c r="P1958">
        <v>1</v>
      </c>
      <c r="Q1958">
        <v>0</v>
      </c>
      <c r="R1958">
        <v>0</v>
      </c>
      <c r="S1958">
        <v>0</v>
      </c>
      <c r="T1958">
        <v>5</v>
      </c>
      <c r="U1958">
        <v>9</v>
      </c>
      <c r="V1958">
        <v>17</v>
      </c>
      <c r="W1958">
        <v>12</v>
      </c>
      <c r="X1958">
        <v>13</v>
      </c>
      <c r="Y1958">
        <v>20</v>
      </c>
      <c r="Z1958">
        <v>4</v>
      </c>
      <c r="AA1958">
        <v>1</v>
      </c>
      <c r="AB1958">
        <v>3</v>
      </c>
      <c r="AC1958">
        <v>1</v>
      </c>
      <c r="AD1958">
        <v>2</v>
      </c>
      <c r="AE1958">
        <v>4</v>
      </c>
      <c r="AF1958">
        <v>6</v>
      </c>
      <c r="AG1958">
        <v>6</v>
      </c>
      <c r="AH1958">
        <v>1</v>
      </c>
      <c r="AI1958">
        <v>1</v>
      </c>
    </row>
    <row r="1959" spans="1:35" hidden="1" x14ac:dyDescent="0.25">
      <c r="A1959">
        <v>2018</v>
      </c>
      <c r="B1959" s="1">
        <v>43429</v>
      </c>
      <c r="C1959">
        <v>37</v>
      </c>
      <c r="D1959">
        <v>36110</v>
      </c>
      <c r="E1959">
        <v>49205</v>
      </c>
      <c r="F1959" t="s">
        <v>88</v>
      </c>
      <c r="G1959" t="s">
        <v>394</v>
      </c>
      <c r="H1959" t="s">
        <v>78</v>
      </c>
      <c r="I1959" t="s">
        <v>444</v>
      </c>
      <c r="J1959">
        <v>12</v>
      </c>
      <c r="K1959">
        <v>16</v>
      </c>
      <c r="L1959">
        <v>26000000</v>
      </c>
      <c r="M1959">
        <v>11750000</v>
      </c>
      <c r="N1959" t="s">
        <v>104</v>
      </c>
      <c r="O1959" t="s">
        <v>235</v>
      </c>
      <c r="P1959">
        <v>0</v>
      </c>
      <c r="Q1959">
        <v>0</v>
      </c>
      <c r="R1959">
        <v>0</v>
      </c>
      <c r="S1959">
        <v>0</v>
      </c>
      <c r="T1959">
        <v>9</v>
      </c>
      <c r="U1959">
        <v>4</v>
      </c>
      <c r="V1959">
        <v>13</v>
      </c>
      <c r="W1959">
        <v>13</v>
      </c>
      <c r="X1959">
        <v>14</v>
      </c>
      <c r="Y1959">
        <v>13</v>
      </c>
      <c r="Z1959">
        <v>2</v>
      </c>
      <c r="AA1959">
        <v>1</v>
      </c>
      <c r="AB1959">
        <v>0</v>
      </c>
      <c r="AC1959">
        <v>1</v>
      </c>
      <c r="AD1959">
        <v>1</v>
      </c>
      <c r="AE1959">
        <v>2</v>
      </c>
      <c r="AF1959">
        <v>5</v>
      </c>
      <c r="AG1959">
        <v>11</v>
      </c>
      <c r="AH1959">
        <v>0</v>
      </c>
      <c r="AI1959">
        <v>0</v>
      </c>
    </row>
    <row r="1960" spans="1:35" hidden="1" x14ac:dyDescent="0.25">
      <c r="A1960">
        <v>2018</v>
      </c>
      <c r="B1960" s="1">
        <v>43352</v>
      </c>
      <c r="C1960">
        <v>24</v>
      </c>
      <c r="D1960">
        <v>10969</v>
      </c>
      <c r="E1960">
        <v>82238</v>
      </c>
      <c r="F1960" t="s">
        <v>55</v>
      </c>
      <c r="G1960" t="s">
        <v>51</v>
      </c>
      <c r="H1960" t="s">
        <v>458</v>
      </c>
      <c r="I1960" t="s">
        <v>323</v>
      </c>
      <c r="J1960">
        <v>12</v>
      </c>
      <c r="K1960">
        <v>15</v>
      </c>
      <c r="L1960">
        <v>12350000</v>
      </c>
      <c r="M1960">
        <v>12300000</v>
      </c>
      <c r="N1960" t="s">
        <v>116</v>
      </c>
      <c r="O1960" t="s">
        <v>113</v>
      </c>
      <c r="P1960">
        <v>1</v>
      </c>
      <c r="Q1960">
        <v>0</v>
      </c>
      <c r="R1960">
        <v>1</v>
      </c>
      <c r="S1960">
        <v>0</v>
      </c>
      <c r="T1960">
        <v>6</v>
      </c>
      <c r="U1960">
        <v>7</v>
      </c>
      <c r="V1960">
        <v>20</v>
      </c>
      <c r="W1960">
        <v>13</v>
      </c>
      <c r="X1960">
        <v>14</v>
      </c>
      <c r="Y1960">
        <v>21</v>
      </c>
      <c r="Z1960">
        <v>2</v>
      </c>
      <c r="AA1960">
        <v>4</v>
      </c>
      <c r="AB1960">
        <v>1</v>
      </c>
      <c r="AC1960">
        <v>1</v>
      </c>
      <c r="AD1960">
        <v>5</v>
      </c>
      <c r="AE1960">
        <v>2</v>
      </c>
      <c r="AF1960">
        <v>2</v>
      </c>
      <c r="AG1960">
        <v>5</v>
      </c>
      <c r="AH1960">
        <v>1</v>
      </c>
      <c r="AI1960">
        <v>1</v>
      </c>
    </row>
    <row r="1961" spans="1:35" hidden="1" x14ac:dyDescent="0.25">
      <c r="A1961">
        <v>2018</v>
      </c>
      <c r="B1961" s="1">
        <v>43372</v>
      </c>
      <c r="C1961">
        <v>27</v>
      </c>
      <c r="D1961">
        <v>8721</v>
      </c>
      <c r="E1961">
        <v>82238</v>
      </c>
      <c r="F1961" t="s">
        <v>55</v>
      </c>
      <c r="G1961" t="s">
        <v>83</v>
      </c>
      <c r="H1961" t="s">
        <v>458</v>
      </c>
      <c r="I1961" t="s">
        <v>85</v>
      </c>
      <c r="J1961">
        <v>9</v>
      </c>
      <c r="K1961">
        <v>5</v>
      </c>
      <c r="L1961">
        <v>13550000</v>
      </c>
      <c r="M1961">
        <v>9050000</v>
      </c>
      <c r="N1961" t="s">
        <v>233</v>
      </c>
      <c r="O1961" t="s">
        <v>114</v>
      </c>
      <c r="P1961">
        <v>0</v>
      </c>
      <c r="Q1961">
        <v>1</v>
      </c>
      <c r="R1961">
        <v>0</v>
      </c>
      <c r="S1961">
        <v>0</v>
      </c>
      <c r="T1961">
        <v>7</v>
      </c>
      <c r="U1961">
        <v>2</v>
      </c>
      <c r="V1961">
        <v>11</v>
      </c>
      <c r="W1961">
        <v>9</v>
      </c>
      <c r="X1961">
        <v>10</v>
      </c>
      <c r="Y1961">
        <v>11</v>
      </c>
      <c r="Z1961">
        <v>4</v>
      </c>
      <c r="AA1961">
        <v>2</v>
      </c>
      <c r="AB1961">
        <v>0</v>
      </c>
      <c r="AC1961">
        <v>1</v>
      </c>
      <c r="AD1961">
        <v>2</v>
      </c>
      <c r="AE1961">
        <v>5</v>
      </c>
      <c r="AF1961">
        <v>4</v>
      </c>
      <c r="AG1961">
        <v>1</v>
      </c>
      <c r="AH1961">
        <v>-1</v>
      </c>
      <c r="AI1961">
        <v>0</v>
      </c>
    </row>
    <row r="1962" spans="1:35" hidden="1" x14ac:dyDescent="0.25">
      <c r="A1962">
        <v>2018</v>
      </c>
      <c r="B1962" s="1">
        <v>43394</v>
      </c>
      <c r="C1962">
        <v>30</v>
      </c>
      <c r="D1962">
        <v>4762</v>
      </c>
      <c r="E1962">
        <v>82238</v>
      </c>
      <c r="F1962" t="s">
        <v>55</v>
      </c>
      <c r="G1962" t="s">
        <v>89</v>
      </c>
      <c r="H1962" t="s">
        <v>458</v>
      </c>
      <c r="I1962" t="s">
        <v>463</v>
      </c>
      <c r="J1962">
        <v>9</v>
      </c>
      <c r="K1962">
        <v>6</v>
      </c>
      <c r="L1962">
        <v>13850000</v>
      </c>
      <c r="M1962">
        <v>22950000</v>
      </c>
      <c r="N1962" t="s">
        <v>80</v>
      </c>
      <c r="O1962" t="s">
        <v>74</v>
      </c>
      <c r="P1962">
        <v>1</v>
      </c>
      <c r="Q1962">
        <v>0</v>
      </c>
      <c r="R1962">
        <v>0</v>
      </c>
      <c r="S1962">
        <v>0</v>
      </c>
      <c r="T1962">
        <v>4</v>
      </c>
      <c r="U1962">
        <v>7</v>
      </c>
      <c r="V1962">
        <v>12</v>
      </c>
      <c r="W1962">
        <v>18</v>
      </c>
      <c r="X1962">
        <v>19</v>
      </c>
      <c r="Y1962">
        <v>14</v>
      </c>
      <c r="Z1962">
        <v>3</v>
      </c>
      <c r="AA1962">
        <v>5</v>
      </c>
      <c r="AB1962">
        <v>2</v>
      </c>
      <c r="AC1962">
        <v>1</v>
      </c>
      <c r="AD1962">
        <v>6</v>
      </c>
      <c r="AE1962">
        <v>4</v>
      </c>
      <c r="AF1962">
        <v>5</v>
      </c>
      <c r="AG1962">
        <v>7</v>
      </c>
      <c r="AH1962">
        <v>1</v>
      </c>
      <c r="AI1962">
        <v>1</v>
      </c>
    </row>
    <row r="1963" spans="1:35" hidden="1" x14ac:dyDescent="0.25">
      <c r="A1963">
        <v>2018</v>
      </c>
      <c r="B1963" s="1">
        <v>43423</v>
      </c>
      <c r="C1963">
        <v>35</v>
      </c>
      <c r="D1963">
        <v>6435</v>
      </c>
      <c r="E1963">
        <v>82238</v>
      </c>
      <c r="F1963" t="s">
        <v>55</v>
      </c>
      <c r="G1963" t="s">
        <v>361</v>
      </c>
      <c r="H1963" t="s">
        <v>458</v>
      </c>
      <c r="I1963" t="s">
        <v>362</v>
      </c>
      <c r="J1963">
        <v>12</v>
      </c>
      <c r="K1963">
        <v>16</v>
      </c>
      <c r="L1963">
        <v>12950000</v>
      </c>
      <c r="M1963">
        <v>7380000</v>
      </c>
      <c r="N1963" t="s">
        <v>122</v>
      </c>
      <c r="O1963" t="s">
        <v>134</v>
      </c>
      <c r="P1963">
        <v>0</v>
      </c>
      <c r="Q1963">
        <v>0</v>
      </c>
      <c r="R1963">
        <v>0</v>
      </c>
      <c r="S1963">
        <v>0</v>
      </c>
      <c r="T1963">
        <v>2</v>
      </c>
      <c r="U1963">
        <v>4</v>
      </c>
      <c r="V1963">
        <v>16</v>
      </c>
      <c r="W1963">
        <v>25</v>
      </c>
      <c r="X1963">
        <v>26</v>
      </c>
      <c r="Y1963">
        <v>21</v>
      </c>
      <c r="Z1963">
        <v>4</v>
      </c>
      <c r="AA1963">
        <v>2</v>
      </c>
      <c r="AB1963">
        <v>5</v>
      </c>
      <c r="AC1963">
        <v>1</v>
      </c>
      <c r="AD1963">
        <v>2</v>
      </c>
      <c r="AE1963">
        <v>4</v>
      </c>
      <c r="AF1963">
        <v>5</v>
      </c>
      <c r="AG1963">
        <v>7</v>
      </c>
      <c r="AH1963">
        <v>0</v>
      </c>
      <c r="AI1963">
        <v>0</v>
      </c>
    </row>
    <row r="1964" spans="1:35" hidden="1" x14ac:dyDescent="0.25">
      <c r="A1964">
        <v>2018</v>
      </c>
      <c r="B1964" s="1">
        <v>43324</v>
      </c>
      <c r="C1964">
        <v>18</v>
      </c>
      <c r="D1964">
        <v>10070</v>
      </c>
      <c r="E1964">
        <v>22600</v>
      </c>
      <c r="F1964" t="s">
        <v>394</v>
      </c>
      <c r="G1964" t="s">
        <v>88</v>
      </c>
      <c r="H1964" t="s">
        <v>340</v>
      </c>
      <c r="I1964" t="s">
        <v>399</v>
      </c>
      <c r="J1964">
        <v>17</v>
      </c>
      <c r="K1964">
        <v>7</v>
      </c>
      <c r="L1964">
        <v>10050000</v>
      </c>
      <c r="M1964">
        <v>18050000</v>
      </c>
      <c r="N1964" t="s">
        <v>73</v>
      </c>
      <c r="O1964" t="s">
        <v>339</v>
      </c>
      <c r="P1964">
        <v>2</v>
      </c>
      <c r="Q1964">
        <v>1</v>
      </c>
      <c r="R1964">
        <v>0</v>
      </c>
      <c r="S1964">
        <v>1</v>
      </c>
      <c r="T1964">
        <v>7</v>
      </c>
      <c r="U1964">
        <v>5</v>
      </c>
      <c r="V1964">
        <v>15</v>
      </c>
      <c r="W1964">
        <v>20</v>
      </c>
      <c r="X1964">
        <v>21</v>
      </c>
      <c r="Y1964">
        <v>16</v>
      </c>
      <c r="Z1964">
        <v>3</v>
      </c>
      <c r="AA1964">
        <v>3</v>
      </c>
      <c r="AB1964">
        <v>1</v>
      </c>
      <c r="AC1964">
        <v>1</v>
      </c>
      <c r="AD1964">
        <v>5</v>
      </c>
      <c r="AE1964">
        <v>4</v>
      </c>
      <c r="AF1964">
        <v>7</v>
      </c>
      <c r="AG1964">
        <v>5</v>
      </c>
      <c r="AH1964">
        <v>1</v>
      </c>
      <c r="AI1964">
        <v>1</v>
      </c>
    </row>
    <row r="1965" spans="1:35" hidden="1" x14ac:dyDescent="0.25">
      <c r="A1965">
        <v>2018</v>
      </c>
      <c r="B1965" s="1">
        <v>43379</v>
      </c>
      <c r="C1965">
        <v>28</v>
      </c>
      <c r="D1965">
        <v>10074</v>
      </c>
      <c r="E1965">
        <v>22600</v>
      </c>
      <c r="F1965" t="s">
        <v>394</v>
      </c>
      <c r="G1965" t="s">
        <v>89</v>
      </c>
      <c r="H1965" t="s">
        <v>340</v>
      </c>
      <c r="I1965" t="s">
        <v>433</v>
      </c>
      <c r="J1965">
        <v>18</v>
      </c>
      <c r="K1965">
        <v>6</v>
      </c>
      <c r="L1965">
        <v>9350000</v>
      </c>
      <c r="M1965">
        <v>16550000</v>
      </c>
      <c r="N1965" t="s">
        <v>163</v>
      </c>
      <c r="O1965" t="s">
        <v>129</v>
      </c>
      <c r="P1965">
        <v>1</v>
      </c>
      <c r="Q1965">
        <v>0</v>
      </c>
      <c r="R1965">
        <v>0</v>
      </c>
      <c r="S1965">
        <v>0</v>
      </c>
      <c r="T1965">
        <v>5</v>
      </c>
      <c r="U1965">
        <v>9</v>
      </c>
      <c r="V1965">
        <v>18</v>
      </c>
      <c r="W1965">
        <v>13</v>
      </c>
      <c r="X1965">
        <v>14</v>
      </c>
      <c r="Y1965">
        <v>18</v>
      </c>
      <c r="Z1965">
        <v>2</v>
      </c>
      <c r="AA1965">
        <v>0</v>
      </c>
      <c r="AB1965">
        <v>0</v>
      </c>
      <c r="AC1965">
        <v>1</v>
      </c>
      <c r="AD1965">
        <v>1</v>
      </c>
      <c r="AE1965">
        <v>2</v>
      </c>
      <c r="AF1965">
        <v>5</v>
      </c>
      <c r="AG1965">
        <v>5</v>
      </c>
      <c r="AH1965">
        <v>1</v>
      </c>
      <c r="AI1965">
        <v>1</v>
      </c>
    </row>
    <row r="1966" spans="1:35" hidden="1" x14ac:dyDescent="0.25">
      <c r="A1966">
        <v>2018</v>
      </c>
      <c r="B1966" s="1">
        <v>43401</v>
      </c>
      <c r="C1966">
        <v>31</v>
      </c>
      <c r="D1966">
        <v>13278</v>
      </c>
      <c r="E1966">
        <v>22600</v>
      </c>
      <c r="F1966" t="s">
        <v>394</v>
      </c>
      <c r="G1966" t="s">
        <v>310</v>
      </c>
      <c r="H1966" t="s">
        <v>444</v>
      </c>
      <c r="I1966" t="s">
        <v>450</v>
      </c>
      <c r="J1966">
        <v>18</v>
      </c>
      <c r="K1966">
        <v>16</v>
      </c>
      <c r="L1966">
        <v>10800000</v>
      </c>
      <c r="M1966">
        <v>8650000</v>
      </c>
      <c r="N1966" t="s">
        <v>209</v>
      </c>
      <c r="O1966" t="s">
        <v>86</v>
      </c>
      <c r="P1966">
        <v>1</v>
      </c>
      <c r="Q1966">
        <v>0</v>
      </c>
      <c r="R1966">
        <v>0</v>
      </c>
      <c r="S1966">
        <v>0</v>
      </c>
      <c r="T1966">
        <v>4</v>
      </c>
      <c r="U1966">
        <v>4</v>
      </c>
      <c r="V1966">
        <v>11</v>
      </c>
      <c r="W1966">
        <v>19</v>
      </c>
      <c r="X1966">
        <v>20</v>
      </c>
      <c r="Y1966">
        <v>12</v>
      </c>
      <c r="Z1966">
        <v>2</v>
      </c>
      <c r="AA1966">
        <v>3</v>
      </c>
      <c r="AB1966">
        <v>1</v>
      </c>
      <c r="AC1966">
        <v>1</v>
      </c>
      <c r="AD1966">
        <v>4</v>
      </c>
      <c r="AE1966">
        <v>2</v>
      </c>
      <c r="AF1966">
        <v>3</v>
      </c>
      <c r="AG1966">
        <v>2</v>
      </c>
      <c r="AH1966">
        <v>1</v>
      </c>
      <c r="AI1966">
        <v>1</v>
      </c>
    </row>
    <row r="1967" spans="1:35" hidden="1" x14ac:dyDescent="0.25">
      <c r="A1967">
        <v>2018</v>
      </c>
      <c r="B1967" s="1">
        <v>43419</v>
      </c>
      <c r="C1967">
        <v>34</v>
      </c>
      <c r="D1967">
        <v>17261</v>
      </c>
      <c r="E1967">
        <v>22600</v>
      </c>
      <c r="F1967" t="s">
        <v>394</v>
      </c>
      <c r="G1967" t="s">
        <v>51</v>
      </c>
      <c r="H1967" t="s">
        <v>444</v>
      </c>
      <c r="I1967" t="s">
        <v>323</v>
      </c>
      <c r="J1967">
        <v>17</v>
      </c>
      <c r="K1967">
        <v>12</v>
      </c>
      <c r="L1967">
        <v>11300000</v>
      </c>
      <c r="M1967">
        <v>14050000</v>
      </c>
      <c r="N1967" t="s">
        <v>123</v>
      </c>
      <c r="O1967" t="s">
        <v>99</v>
      </c>
      <c r="P1967">
        <v>0</v>
      </c>
      <c r="Q1967">
        <v>1</v>
      </c>
      <c r="R1967">
        <v>0</v>
      </c>
      <c r="S1967">
        <v>0</v>
      </c>
      <c r="T1967">
        <v>10</v>
      </c>
      <c r="U1967">
        <v>5</v>
      </c>
      <c r="V1967">
        <v>11</v>
      </c>
      <c r="W1967">
        <v>13</v>
      </c>
      <c r="X1967">
        <v>14</v>
      </c>
      <c r="Y1967">
        <v>11</v>
      </c>
      <c r="Z1967">
        <v>3</v>
      </c>
      <c r="AA1967">
        <v>3</v>
      </c>
      <c r="AB1967">
        <v>0</v>
      </c>
      <c r="AC1967">
        <v>1</v>
      </c>
      <c r="AD1967">
        <v>3</v>
      </c>
      <c r="AE1967">
        <v>4</v>
      </c>
      <c r="AF1967">
        <v>8</v>
      </c>
      <c r="AG1967">
        <v>4</v>
      </c>
      <c r="AH1967">
        <v>-1</v>
      </c>
      <c r="AI1967">
        <v>0</v>
      </c>
    </row>
    <row r="1968" spans="1:35" hidden="1" x14ac:dyDescent="0.25">
      <c r="A1968">
        <v>2018</v>
      </c>
      <c r="B1968" s="1">
        <v>43427</v>
      </c>
      <c r="C1968">
        <v>36</v>
      </c>
      <c r="D1968">
        <v>12384</v>
      </c>
      <c r="E1968">
        <v>22600</v>
      </c>
      <c r="F1968" t="s">
        <v>394</v>
      </c>
      <c r="G1968" t="s">
        <v>391</v>
      </c>
      <c r="H1968" t="s">
        <v>444</v>
      </c>
      <c r="I1968" t="s">
        <v>462</v>
      </c>
      <c r="J1968">
        <v>18</v>
      </c>
      <c r="K1968">
        <v>16</v>
      </c>
      <c r="L1968">
        <v>11350000</v>
      </c>
      <c r="M1968">
        <v>10050000</v>
      </c>
      <c r="N1968" t="s">
        <v>111</v>
      </c>
      <c r="O1968" t="s">
        <v>209</v>
      </c>
      <c r="P1968">
        <v>2</v>
      </c>
      <c r="Q1968">
        <v>1</v>
      </c>
      <c r="R1968">
        <v>2</v>
      </c>
      <c r="S1968">
        <v>0</v>
      </c>
      <c r="T1968">
        <v>7</v>
      </c>
      <c r="U1968">
        <v>6</v>
      </c>
      <c r="V1968">
        <v>20</v>
      </c>
      <c r="W1968">
        <v>9</v>
      </c>
      <c r="X1968">
        <v>10</v>
      </c>
      <c r="Y1968">
        <v>20</v>
      </c>
      <c r="Z1968">
        <v>2</v>
      </c>
      <c r="AA1968">
        <v>5</v>
      </c>
      <c r="AB1968">
        <v>0</v>
      </c>
      <c r="AC1968">
        <v>1</v>
      </c>
      <c r="AD1968">
        <v>7</v>
      </c>
      <c r="AE1968">
        <v>4</v>
      </c>
      <c r="AF1968">
        <v>3</v>
      </c>
      <c r="AG1968">
        <v>6</v>
      </c>
      <c r="AH1968">
        <v>1</v>
      </c>
      <c r="AI1968">
        <v>1</v>
      </c>
    </row>
    <row r="1969" spans="1:35" hidden="1" x14ac:dyDescent="0.25">
      <c r="A1969">
        <v>2018</v>
      </c>
      <c r="B1969" s="1">
        <v>43349</v>
      </c>
      <c r="C1969">
        <v>23</v>
      </c>
      <c r="D1969">
        <v>24601</v>
      </c>
      <c r="E1969">
        <v>43600</v>
      </c>
      <c r="F1969" t="s">
        <v>95</v>
      </c>
      <c r="G1969" t="s">
        <v>454</v>
      </c>
      <c r="H1969" t="s">
        <v>336</v>
      </c>
      <c r="I1969" t="s">
        <v>333</v>
      </c>
      <c r="J1969">
        <v>5</v>
      </c>
      <c r="K1969">
        <v>10</v>
      </c>
      <c r="L1969">
        <v>28200000</v>
      </c>
      <c r="M1969">
        <v>11200000</v>
      </c>
      <c r="N1969" t="s">
        <v>208</v>
      </c>
      <c r="O1969" t="s">
        <v>149</v>
      </c>
      <c r="P1969">
        <v>2</v>
      </c>
      <c r="Q1969">
        <v>0</v>
      </c>
      <c r="R1969">
        <v>0</v>
      </c>
      <c r="S1969">
        <v>0</v>
      </c>
      <c r="T1969">
        <v>6</v>
      </c>
      <c r="U1969">
        <v>6</v>
      </c>
      <c r="V1969">
        <v>15</v>
      </c>
      <c r="W1969">
        <v>14</v>
      </c>
      <c r="X1969">
        <v>15</v>
      </c>
      <c r="Y1969">
        <v>15</v>
      </c>
      <c r="Z1969">
        <v>1</v>
      </c>
      <c r="AA1969">
        <v>2</v>
      </c>
      <c r="AB1969">
        <v>0</v>
      </c>
      <c r="AC1969">
        <v>1</v>
      </c>
      <c r="AD1969">
        <v>4</v>
      </c>
      <c r="AE1969">
        <v>1</v>
      </c>
      <c r="AF1969">
        <v>3</v>
      </c>
      <c r="AG1969">
        <v>3</v>
      </c>
      <c r="AH1969">
        <v>2</v>
      </c>
      <c r="AI1969">
        <v>1</v>
      </c>
    </row>
    <row r="1970" spans="1:35" hidden="1" x14ac:dyDescent="0.25">
      <c r="A1970">
        <v>2018</v>
      </c>
      <c r="B1970" s="1">
        <v>43408</v>
      </c>
      <c r="C1970">
        <v>32</v>
      </c>
      <c r="D1970">
        <v>21463</v>
      </c>
      <c r="E1970">
        <v>46931</v>
      </c>
      <c r="F1970" t="s">
        <v>51</v>
      </c>
      <c r="G1970" t="s">
        <v>88</v>
      </c>
      <c r="H1970" t="s">
        <v>323</v>
      </c>
      <c r="I1970" t="s">
        <v>78</v>
      </c>
      <c r="J1970">
        <v>15</v>
      </c>
      <c r="K1970">
        <v>11</v>
      </c>
      <c r="L1970">
        <v>15650000</v>
      </c>
      <c r="M1970">
        <v>28250000</v>
      </c>
      <c r="N1970" t="s">
        <v>163</v>
      </c>
      <c r="O1970" t="s">
        <v>66</v>
      </c>
      <c r="P1970">
        <v>1</v>
      </c>
      <c r="Q1970">
        <v>0</v>
      </c>
      <c r="R1970">
        <v>1</v>
      </c>
      <c r="S1970">
        <v>0</v>
      </c>
      <c r="T1970">
        <v>5</v>
      </c>
      <c r="U1970">
        <v>3</v>
      </c>
      <c r="V1970">
        <v>23</v>
      </c>
      <c r="W1970">
        <v>17</v>
      </c>
      <c r="X1970">
        <v>18</v>
      </c>
      <c r="Y1970">
        <v>23</v>
      </c>
      <c r="Z1970">
        <v>5</v>
      </c>
      <c r="AA1970">
        <v>3</v>
      </c>
      <c r="AB1970">
        <v>0</v>
      </c>
      <c r="AC1970">
        <v>1</v>
      </c>
      <c r="AD1970">
        <v>3</v>
      </c>
      <c r="AE1970">
        <v>5</v>
      </c>
      <c r="AF1970">
        <v>8</v>
      </c>
      <c r="AG1970">
        <v>3</v>
      </c>
      <c r="AH1970">
        <v>1</v>
      </c>
      <c r="AI1970">
        <v>1</v>
      </c>
    </row>
    <row r="1971" spans="1:35" hidden="1" x14ac:dyDescent="0.25">
      <c r="A1971">
        <v>2018</v>
      </c>
      <c r="B1971" s="1">
        <v>43332</v>
      </c>
      <c r="C1971">
        <v>19</v>
      </c>
      <c r="D1971">
        <v>41075</v>
      </c>
      <c r="E1971">
        <v>67428</v>
      </c>
      <c r="F1971" t="s">
        <v>62</v>
      </c>
      <c r="G1971" t="s">
        <v>394</v>
      </c>
      <c r="H1971" t="s">
        <v>342</v>
      </c>
      <c r="I1971" t="s">
        <v>340</v>
      </c>
      <c r="J1971">
        <v>1</v>
      </c>
      <c r="K1971">
        <v>13</v>
      </c>
      <c r="L1971">
        <v>28450000</v>
      </c>
      <c r="M1971">
        <v>10450000</v>
      </c>
      <c r="N1971" t="s">
        <v>135</v>
      </c>
      <c r="O1971" t="s">
        <v>100</v>
      </c>
      <c r="P1971">
        <v>2</v>
      </c>
      <c r="Q1971">
        <v>0</v>
      </c>
      <c r="R1971">
        <v>1</v>
      </c>
      <c r="S1971">
        <v>0</v>
      </c>
      <c r="T1971">
        <v>2</v>
      </c>
      <c r="U1971">
        <v>6</v>
      </c>
      <c r="V1971">
        <v>16</v>
      </c>
      <c r="W1971">
        <v>19</v>
      </c>
      <c r="X1971">
        <v>20</v>
      </c>
      <c r="Y1971">
        <v>17</v>
      </c>
      <c r="Z1971">
        <v>2</v>
      </c>
      <c r="AA1971">
        <v>1</v>
      </c>
      <c r="AB1971">
        <v>1</v>
      </c>
      <c r="AC1971">
        <v>1</v>
      </c>
      <c r="AD1971">
        <v>3</v>
      </c>
      <c r="AE1971">
        <v>2</v>
      </c>
      <c r="AF1971">
        <v>2</v>
      </c>
      <c r="AG1971">
        <v>2</v>
      </c>
      <c r="AH1971">
        <v>2</v>
      </c>
      <c r="AI1971">
        <v>1</v>
      </c>
    </row>
    <row r="1972" spans="1:35" hidden="1" x14ac:dyDescent="0.25">
      <c r="A1972">
        <v>2018</v>
      </c>
      <c r="B1972" s="1">
        <v>43408</v>
      </c>
      <c r="C1972">
        <v>32</v>
      </c>
      <c r="D1972">
        <v>32612</v>
      </c>
      <c r="E1972">
        <v>67428</v>
      </c>
      <c r="F1972" t="s">
        <v>62</v>
      </c>
      <c r="G1972" t="s">
        <v>77</v>
      </c>
      <c r="H1972" t="s">
        <v>342</v>
      </c>
      <c r="I1972" t="s">
        <v>315</v>
      </c>
      <c r="J1972">
        <v>4</v>
      </c>
      <c r="K1972">
        <v>2</v>
      </c>
      <c r="L1972">
        <v>26400000</v>
      </c>
      <c r="M1972">
        <v>45550000</v>
      </c>
      <c r="N1972" t="s">
        <v>135</v>
      </c>
      <c r="O1972" t="s">
        <v>209</v>
      </c>
      <c r="P1972">
        <v>2</v>
      </c>
      <c r="Q1972">
        <v>2</v>
      </c>
      <c r="R1972">
        <v>1</v>
      </c>
      <c r="S1972">
        <v>1</v>
      </c>
      <c r="T1972">
        <v>8</v>
      </c>
      <c r="U1972">
        <v>7</v>
      </c>
      <c r="V1972">
        <v>15</v>
      </c>
      <c r="W1972">
        <v>13</v>
      </c>
      <c r="X1972">
        <v>14</v>
      </c>
      <c r="Y1972">
        <v>16</v>
      </c>
      <c r="Z1972">
        <v>4</v>
      </c>
      <c r="AA1972">
        <v>1</v>
      </c>
      <c r="AB1972">
        <v>1</v>
      </c>
      <c r="AC1972">
        <v>1</v>
      </c>
      <c r="AD1972">
        <v>3</v>
      </c>
      <c r="AE1972">
        <v>6</v>
      </c>
      <c r="AF1972">
        <v>2</v>
      </c>
      <c r="AG1972">
        <v>10</v>
      </c>
      <c r="AH1972">
        <v>0</v>
      </c>
      <c r="AI1972">
        <v>0</v>
      </c>
    </row>
    <row r="1973" spans="1:35" hidden="1" x14ac:dyDescent="0.25">
      <c r="A1973">
        <v>2018</v>
      </c>
      <c r="B1973" s="1">
        <v>43430</v>
      </c>
      <c r="C1973">
        <v>37</v>
      </c>
      <c r="D1973">
        <v>15235</v>
      </c>
      <c r="E1973">
        <v>67428</v>
      </c>
      <c r="F1973" t="s">
        <v>62</v>
      </c>
      <c r="G1973" t="s">
        <v>391</v>
      </c>
      <c r="H1973" t="s">
        <v>461</v>
      </c>
      <c r="I1973" t="s">
        <v>462</v>
      </c>
      <c r="J1973">
        <v>5</v>
      </c>
      <c r="K1973">
        <v>17</v>
      </c>
      <c r="L1973">
        <v>21750000</v>
      </c>
      <c r="M1973">
        <v>7800000</v>
      </c>
      <c r="N1973" t="s">
        <v>209</v>
      </c>
      <c r="O1973" t="s">
        <v>151</v>
      </c>
      <c r="P1973">
        <v>0</v>
      </c>
      <c r="Q1973">
        <v>0</v>
      </c>
      <c r="R1973">
        <v>0</v>
      </c>
      <c r="S1973">
        <v>0</v>
      </c>
      <c r="T1973">
        <v>7</v>
      </c>
      <c r="U1973">
        <v>5</v>
      </c>
      <c r="V1973">
        <v>16</v>
      </c>
      <c r="W1973">
        <v>20</v>
      </c>
      <c r="X1973">
        <v>21</v>
      </c>
      <c r="Y1973">
        <v>23</v>
      </c>
      <c r="Z1973">
        <v>2</v>
      </c>
      <c r="AA1973">
        <v>6</v>
      </c>
      <c r="AB1973">
        <v>7</v>
      </c>
      <c r="AC1973">
        <v>1</v>
      </c>
      <c r="AD1973">
        <v>5</v>
      </c>
      <c r="AE1973">
        <v>2</v>
      </c>
      <c r="AF1973">
        <v>10</v>
      </c>
      <c r="AG1973">
        <v>1</v>
      </c>
      <c r="AH1973">
        <v>0</v>
      </c>
      <c r="AI1973">
        <v>0</v>
      </c>
    </row>
    <row r="1974" spans="1:35" hidden="1" x14ac:dyDescent="0.25">
      <c r="A1974">
        <v>2018</v>
      </c>
      <c r="B1974" s="1">
        <v>43349</v>
      </c>
      <c r="C1974">
        <v>23</v>
      </c>
      <c r="D1974">
        <v>2829</v>
      </c>
      <c r="E1974">
        <v>20083</v>
      </c>
      <c r="F1974" t="s">
        <v>457</v>
      </c>
      <c r="G1974" t="s">
        <v>394</v>
      </c>
      <c r="H1974" t="s">
        <v>444</v>
      </c>
      <c r="I1974" t="s">
        <v>340</v>
      </c>
      <c r="J1974">
        <v>20</v>
      </c>
      <c r="K1974">
        <v>17</v>
      </c>
      <c r="L1974">
        <v>4750000</v>
      </c>
      <c r="M1974">
        <v>8600000</v>
      </c>
      <c r="N1974">
        <v>26</v>
      </c>
      <c r="O1974" t="s">
        <v>120</v>
      </c>
      <c r="P1974">
        <v>1</v>
      </c>
      <c r="Q1974">
        <v>1</v>
      </c>
      <c r="R1974">
        <v>1</v>
      </c>
      <c r="S1974">
        <v>0</v>
      </c>
      <c r="T1974">
        <v>11</v>
      </c>
      <c r="U1974">
        <v>3</v>
      </c>
      <c r="V1974">
        <v>22</v>
      </c>
      <c r="W1974">
        <v>19</v>
      </c>
      <c r="X1974">
        <v>20</v>
      </c>
      <c r="Y1974">
        <v>24</v>
      </c>
      <c r="Z1974">
        <v>5</v>
      </c>
      <c r="AA1974">
        <v>3</v>
      </c>
      <c r="AB1974">
        <v>2</v>
      </c>
      <c r="AC1974">
        <v>1</v>
      </c>
      <c r="AD1974">
        <v>5</v>
      </c>
      <c r="AE1974">
        <v>6</v>
      </c>
      <c r="AF1974">
        <v>6</v>
      </c>
      <c r="AG1974">
        <v>3</v>
      </c>
      <c r="AH1974">
        <v>0</v>
      </c>
      <c r="AI1974">
        <v>0</v>
      </c>
    </row>
    <row r="1975" spans="1:35" hidden="1" x14ac:dyDescent="0.25">
      <c r="A1975">
        <v>2018</v>
      </c>
      <c r="B1975" s="1">
        <v>43419</v>
      </c>
      <c r="C1975">
        <v>34</v>
      </c>
      <c r="D1975">
        <v>1610</v>
      </c>
      <c r="E1975">
        <v>20083</v>
      </c>
      <c r="F1975" t="s">
        <v>457</v>
      </c>
      <c r="G1975" t="s">
        <v>89</v>
      </c>
      <c r="H1975" t="s">
        <v>398</v>
      </c>
      <c r="I1975" t="s">
        <v>463</v>
      </c>
      <c r="J1975">
        <v>20</v>
      </c>
      <c r="K1975">
        <v>6</v>
      </c>
      <c r="L1975">
        <v>3350000</v>
      </c>
      <c r="M1975">
        <v>16250000</v>
      </c>
      <c r="N1975">
        <v>25</v>
      </c>
      <c r="O1975" t="s">
        <v>128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5</v>
      </c>
      <c r="V1975">
        <v>18</v>
      </c>
      <c r="W1975">
        <v>16</v>
      </c>
      <c r="X1975">
        <v>17</v>
      </c>
      <c r="Y1975">
        <v>18</v>
      </c>
      <c r="Z1975">
        <v>3</v>
      </c>
      <c r="AA1975">
        <v>2</v>
      </c>
      <c r="AB1975">
        <v>0</v>
      </c>
      <c r="AC1975">
        <v>1</v>
      </c>
      <c r="AD1975">
        <v>2</v>
      </c>
      <c r="AE1975">
        <v>4</v>
      </c>
      <c r="AF1975">
        <v>1</v>
      </c>
      <c r="AG1975">
        <v>6</v>
      </c>
      <c r="AH1975">
        <v>-1</v>
      </c>
      <c r="AI1975">
        <v>0</v>
      </c>
    </row>
    <row r="1976" spans="1:35" hidden="1" x14ac:dyDescent="0.25">
      <c r="A1976">
        <v>2018</v>
      </c>
      <c r="B1976" s="1">
        <v>43415</v>
      </c>
      <c r="C1976">
        <v>33</v>
      </c>
      <c r="D1976">
        <v>22622</v>
      </c>
      <c r="E1976">
        <v>60540</v>
      </c>
      <c r="F1976" t="s">
        <v>83</v>
      </c>
      <c r="G1976" t="s">
        <v>82</v>
      </c>
      <c r="H1976" t="s">
        <v>85</v>
      </c>
      <c r="I1976" t="s">
        <v>378</v>
      </c>
      <c r="J1976">
        <v>5</v>
      </c>
      <c r="K1976">
        <v>13</v>
      </c>
      <c r="L1976">
        <v>24700000</v>
      </c>
      <c r="M1976">
        <v>9300000</v>
      </c>
      <c r="N1976">
        <v>31</v>
      </c>
      <c r="O1976" t="s">
        <v>116</v>
      </c>
      <c r="P1976">
        <v>2</v>
      </c>
      <c r="Q1976">
        <v>1</v>
      </c>
      <c r="R1976">
        <v>1</v>
      </c>
      <c r="S1976">
        <v>1</v>
      </c>
      <c r="T1976">
        <v>7</v>
      </c>
      <c r="U1976">
        <v>2</v>
      </c>
      <c r="V1976">
        <v>14</v>
      </c>
      <c r="W1976">
        <v>15</v>
      </c>
      <c r="X1976">
        <v>16</v>
      </c>
      <c r="Y1976">
        <v>15</v>
      </c>
      <c r="Z1976">
        <v>1</v>
      </c>
      <c r="AA1976">
        <v>3</v>
      </c>
      <c r="AB1976">
        <v>1</v>
      </c>
      <c r="AC1976">
        <v>1</v>
      </c>
      <c r="AD1976">
        <v>7</v>
      </c>
      <c r="AE1976">
        <v>2</v>
      </c>
      <c r="AF1976">
        <v>7</v>
      </c>
      <c r="AG1976">
        <v>3</v>
      </c>
      <c r="AH1976">
        <v>1</v>
      </c>
      <c r="AI1976">
        <v>1</v>
      </c>
    </row>
    <row r="1977" spans="1:35" hidden="1" x14ac:dyDescent="0.25">
      <c r="A1977">
        <v>2018</v>
      </c>
      <c r="B1977" s="1">
        <v>43342</v>
      </c>
      <c r="C1977">
        <v>15</v>
      </c>
      <c r="D1977">
        <v>12907</v>
      </c>
      <c r="E1977">
        <v>42372</v>
      </c>
      <c r="F1977" t="s">
        <v>454</v>
      </c>
      <c r="G1977" t="s">
        <v>82</v>
      </c>
      <c r="H1977" t="s">
        <v>333</v>
      </c>
      <c r="I1977" t="s">
        <v>378</v>
      </c>
      <c r="J1977">
        <v>19</v>
      </c>
      <c r="K1977">
        <v>8</v>
      </c>
      <c r="L1977">
        <v>10250000</v>
      </c>
      <c r="M1977">
        <v>9950000</v>
      </c>
      <c r="N1977" t="s">
        <v>99</v>
      </c>
      <c r="O1977" t="s">
        <v>117</v>
      </c>
      <c r="P1977">
        <v>1</v>
      </c>
      <c r="Q1977">
        <v>0</v>
      </c>
      <c r="R1977">
        <v>0</v>
      </c>
      <c r="S1977">
        <v>0</v>
      </c>
      <c r="T1977">
        <v>8</v>
      </c>
      <c r="U1977">
        <v>5</v>
      </c>
      <c r="V1977">
        <v>16</v>
      </c>
      <c r="W1977">
        <v>14</v>
      </c>
      <c r="X1977">
        <v>15</v>
      </c>
      <c r="Y1977">
        <v>17</v>
      </c>
      <c r="Z1977">
        <v>3</v>
      </c>
      <c r="AA1977">
        <v>3</v>
      </c>
      <c r="AB1977">
        <v>1</v>
      </c>
      <c r="AC1977">
        <v>1</v>
      </c>
      <c r="AD1977">
        <v>4</v>
      </c>
      <c r="AE1977">
        <v>3</v>
      </c>
      <c r="AF1977">
        <v>5</v>
      </c>
      <c r="AG1977">
        <v>9</v>
      </c>
      <c r="AH1977">
        <v>1</v>
      </c>
      <c r="AI1977">
        <v>1</v>
      </c>
    </row>
    <row r="1978" spans="1:35" hidden="1" x14ac:dyDescent="0.25">
      <c r="A1978">
        <v>2018</v>
      </c>
      <c r="B1978" s="1">
        <v>43331</v>
      </c>
      <c r="C1978">
        <v>19</v>
      </c>
      <c r="D1978">
        <v>22061</v>
      </c>
      <c r="E1978">
        <v>42372</v>
      </c>
      <c r="F1978" t="s">
        <v>454</v>
      </c>
      <c r="G1978" t="s">
        <v>77</v>
      </c>
      <c r="H1978" t="s">
        <v>333</v>
      </c>
      <c r="I1978" t="s">
        <v>341</v>
      </c>
      <c r="J1978">
        <v>17</v>
      </c>
      <c r="K1978">
        <v>2</v>
      </c>
      <c r="L1978">
        <v>11500000</v>
      </c>
      <c r="M1978">
        <v>44100000</v>
      </c>
      <c r="N1978" t="s">
        <v>239</v>
      </c>
      <c r="O1978" t="s">
        <v>228</v>
      </c>
      <c r="P1978">
        <v>3</v>
      </c>
      <c r="Q1978">
        <v>0</v>
      </c>
      <c r="R1978">
        <v>3</v>
      </c>
      <c r="S1978">
        <v>0</v>
      </c>
      <c r="T1978">
        <v>5</v>
      </c>
      <c r="U1978">
        <v>5</v>
      </c>
      <c r="V1978">
        <v>14</v>
      </c>
      <c r="W1978">
        <v>11</v>
      </c>
      <c r="X1978">
        <v>12</v>
      </c>
      <c r="Y1978">
        <v>17</v>
      </c>
      <c r="Z1978">
        <v>7</v>
      </c>
      <c r="AA1978">
        <v>6</v>
      </c>
      <c r="AB1978">
        <v>3</v>
      </c>
      <c r="AC1978">
        <v>1</v>
      </c>
      <c r="AD1978">
        <v>9</v>
      </c>
      <c r="AE1978">
        <v>7</v>
      </c>
      <c r="AF1978">
        <v>3</v>
      </c>
      <c r="AG1978">
        <v>7</v>
      </c>
      <c r="AH1978">
        <v>3</v>
      </c>
      <c r="AI1978">
        <v>1</v>
      </c>
    </row>
    <row r="1979" spans="1:35" hidden="1" x14ac:dyDescent="0.25">
      <c r="A1979">
        <v>2018</v>
      </c>
      <c r="B1979" s="1">
        <v>43388</v>
      </c>
      <c r="C1979">
        <v>29</v>
      </c>
      <c r="D1979">
        <v>13481</v>
      </c>
      <c r="E1979">
        <v>42372</v>
      </c>
      <c r="F1979" t="s">
        <v>454</v>
      </c>
      <c r="G1979" t="s">
        <v>391</v>
      </c>
      <c r="H1979" t="s">
        <v>333</v>
      </c>
      <c r="I1979" t="s">
        <v>462</v>
      </c>
      <c r="J1979">
        <v>10</v>
      </c>
      <c r="K1979">
        <v>19</v>
      </c>
      <c r="L1979">
        <v>12000000</v>
      </c>
      <c r="M1979">
        <v>9650000</v>
      </c>
      <c r="N1979" t="s">
        <v>107</v>
      </c>
      <c r="O1979" t="s">
        <v>100</v>
      </c>
      <c r="P1979">
        <v>4</v>
      </c>
      <c r="Q1979">
        <v>0</v>
      </c>
      <c r="R1979">
        <v>0</v>
      </c>
      <c r="S1979">
        <v>0</v>
      </c>
      <c r="T1979">
        <v>10</v>
      </c>
      <c r="U1979">
        <v>3</v>
      </c>
      <c r="V1979">
        <v>12</v>
      </c>
      <c r="W1979">
        <v>11</v>
      </c>
      <c r="X1979">
        <v>12</v>
      </c>
      <c r="Y1979">
        <v>12</v>
      </c>
      <c r="Z1979">
        <v>2</v>
      </c>
      <c r="AA1979">
        <v>4</v>
      </c>
      <c r="AB1979">
        <v>0</v>
      </c>
      <c r="AC1979">
        <v>1</v>
      </c>
      <c r="AD1979">
        <v>8</v>
      </c>
      <c r="AE1979">
        <v>2</v>
      </c>
      <c r="AF1979">
        <v>9</v>
      </c>
      <c r="AG1979">
        <v>2</v>
      </c>
      <c r="AH1979">
        <v>4</v>
      </c>
      <c r="AI1979">
        <v>1</v>
      </c>
    </row>
    <row r="1980" spans="1:35" hidden="1" x14ac:dyDescent="0.25">
      <c r="A1980">
        <v>2018</v>
      </c>
      <c r="B1980" s="1">
        <v>43414</v>
      </c>
      <c r="C1980">
        <v>33</v>
      </c>
      <c r="D1980">
        <v>8641</v>
      </c>
      <c r="E1980">
        <v>42372</v>
      </c>
      <c r="F1980" t="s">
        <v>454</v>
      </c>
      <c r="G1980" t="s">
        <v>50</v>
      </c>
      <c r="H1980" t="s">
        <v>333</v>
      </c>
      <c r="I1980" t="s">
        <v>240</v>
      </c>
      <c r="J1980">
        <v>9</v>
      </c>
      <c r="K1980">
        <v>8</v>
      </c>
      <c r="L1980">
        <v>14000000</v>
      </c>
      <c r="M1980">
        <v>29300000</v>
      </c>
      <c r="N1980" t="s">
        <v>99</v>
      </c>
      <c r="O1980" t="s">
        <v>205</v>
      </c>
      <c r="P1980">
        <v>2</v>
      </c>
      <c r="Q1980">
        <v>0</v>
      </c>
      <c r="R1980">
        <v>2</v>
      </c>
      <c r="S1980">
        <v>0</v>
      </c>
      <c r="T1980">
        <v>4</v>
      </c>
      <c r="U1980">
        <v>3</v>
      </c>
      <c r="V1980">
        <v>17</v>
      </c>
      <c r="W1980">
        <v>14</v>
      </c>
      <c r="X1980">
        <v>15</v>
      </c>
      <c r="Y1980">
        <v>17</v>
      </c>
      <c r="Z1980">
        <v>4</v>
      </c>
      <c r="AA1980">
        <v>2</v>
      </c>
      <c r="AB1980">
        <v>0</v>
      </c>
      <c r="AC1980">
        <v>1</v>
      </c>
      <c r="AD1980">
        <v>4</v>
      </c>
      <c r="AE1980">
        <v>4</v>
      </c>
      <c r="AF1980">
        <v>3</v>
      </c>
      <c r="AG1980">
        <v>3</v>
      </c>
      <c r="AH1980">
        <v>2</v>
      </c>
      <c r="AI1980">
        <v>1</v>
      </c>
    </row>
    <row r="1981" spans="1:35" hidden="1" x14ac:dyDescent="0.25">
      <c r="A1981">
        <v>2018</v>
      </c>
      <c r="B1981" s="1">
        <v>43429</v>
      </c>
      <c r="C1981">
        <v>37</v>
      </c>
      <c r="D1981">
        <v>9632</v>
      </c>
      <c r="E1981">
        <v>42372</v>
      </c>
      <c r="F1981" t="s">
        <v>454</v>
      </c>
      <c r="G1981" t="s">
        <v>361</v>
      </c>
      <c r="H1981" t="s">
        <v>333</v>
      </c>
      <c r="I1981" t="s">
        <v>362</v>
      </c>
      <c r="J1981">
        <v>7</v>
      </c>
      <c r="K1981">
        <v>15</v>
      </c>
      <c r="L1981">
        <v>10750000</v>
      </c>
      <c r="M1981">
        <v>7750000</v>
      </c>
      <c r="N1981">
        <v>26</v>
      </c>
      <c r="O1981" t="s">
        <v>120</v>
      </c>
      <c r="P1981">
        <v>2</v>
      </c>
      <c r="Q1981">
        <v>2</v>
      </c>
      <c r="R1981">
        <v>0</v>
      </c>
      <c r="S1981">
        <v>1</v>
      </c>
      <c r="T1981">
        <v>10</v>
      </c>
      <c r="U1981">
        <v>4</v>
      </c>
      <c r="V1981">
        <v>17</v>
      </c>
      <c r="W1981">
        <v>17</v>
      </c>
      <c r="X1981">
        <v>18</v>
      </c>
      <c r="Y1981">
        <v>21</v>
      </c>
      <c r="Z1981">
        <v>1</v>
      </c>
      <c r="AA1981">
        <v>1</v>
      </c>
      <c r="AB1981">
        <v>4</v>
      </c>
      <c r="AC1981">
        <v>1</v>
      </c>
      <c r="AD1981">
        <v>3</v>
      </c>
      <c r="AE1981">
        <v>3</v>
      </c>
      <c r="AF1981">
        <v>7</v>
      </c>
      <c r="AG1981">
        <v>6</v>
      </c>
      <c r="AH1981">
        <v>0</v>
      </c>
      <c r="AI1981">
        <v>0</v>
      </c>
    </row>
    <row r="1982" spans="1:35" hidden="1" x14ac:dyDescent="0.25">
      <c r="A1982">
        <v>2018</v>
      </c>
      <c r="B1982" s="1">
        <v>43373</v>
      </c>
      <c r="C1982">
        <v>27</v>
      </c>
      <c r="D1982">
        <v>35654</v>
      </c>
      <c r="E1982">
        <v>37000</v>
      </c>
      <c r="F1982" t="s">
        <v>95</v>
      </c>
      <c r="G1982" t="s">
        <v>50</v>
      </c>
      <c r="H1982" t="s">
        <v>336</v>
      </c>
      <c r="I1982" t="s">
        <v>240</v>
      </c>
      <c r="J1982">
        <v>2</v>
      </c>
      <c r="K1982">
        <v>7</v>
      </c>
      <c r="L1982">
        <v>37900000</v>
      </c>
      <c r="M1982">
        <v>17300000</v>
      </c>
      <c r="N1982" t="s">
        <v>86</v>
      </c>
      <c r="O1982" t="s">
        <v>209</v>
      </c>
      <c r="P1982">
        <v>3</v>
      </c>
      <c r="Q1982">
        <v>1</v>
      </c>
      <c r="R1982">
        <v>2</v>
      </c>
      <c r="S1982">
        <v>1</v>
      </c>
      <c r="T1982">
        <v>7</v>
      </c>
      <c r="U1982">
        <v>2</v>
      </c>
      <c r="V1982">
        <v>14</v>
      </c>
      <c r="W1982">
        <v>16</v>
      </c>
      <c r="X1982">
        <v>17</v>
      </c>
      <c r="Y1982">
        <v>17</v>
      </c>
      <c r="Z1982">
        <v>0</v>
      </c>
      <c r="AA1982">
        <v>1</v>
      </c>
      <c r="AB1982">
        <v>3</v>
      </c>
      <c r="AC1982">
        <v>1</v>
      </c>
      <c r="AD1982">
        <v>4</v>
      </c>
      <c r="AE1982">
        <v>1</v>
      </c>
      <c r="AF1982">
        <v>5</v>
      </c>
      <c r="AG1982">
        <v>2</v>
      </c>
      <c r="AH1982">
        <v>2</v>
      </c>
      <c r="AI1982">
        <v>1</v>
      </c>
    </row>
    <row r="1983" spans="1:35" hidden="1" x14ac:dyDescent="0.25">
      <c r="A1983">
        <v>2018</v>
      </c>
      <c r="B1983" s="1">
        <v>43387</v>
      </c>
      <c r="C1983">
        <v>29</v>
      </c>
      <c r="D1983">
        <v>26428</v>
      </c>
      <c r="E1983">
        <v>37000</v>
      </c>
      <c r="F1983" t="s">
        <v>419</v>
      </c>
      <c r="G1983" t="s">
        <v>88</v>
      </c>
      <c r="H1983" t="s">
        <v>71</v>
      </c>
      <c r="I1983" t="s">
        <v>78</v>
      </c>
      <c r="J1983">
        <v>7</v>
      </c>
      <c r="K1983">
        <v>11</v>
      </c>
      <c r="L1983">
        <v>26350000</v>
      </c>
      <c r="M1983">
        <v>22850000</v>
      </c>
      <c r="N1983">
        <v>27</v>
      </c>
      <c r="O1983" t="s">
        <v>332</v>
      </c>
      <c r="P1983">
        <v>1</v>
      </c>
      <c r="Q1983">
        <v>0</v>
      </c>
      <c r="R1983">
        <v>1</v>
      </c>
      <c r="S1983">
        <v>0</v>
      </c>
      <c r="T1983">
        <v>5</v>
      </c>
      <c r="U1983">
        <v>2</v>
      </c>
      <c r="V1983">
        <v>17</v>
      </c>
      <c r="W1983">
        <v>17</v>
      </c>
      <c r="X1983">
        <v>18</v>
      </c>
      <c r="Y1983">
        <v>19</v>
      </c>
      <c r="Z1983">
        <v>5</v>
      </c>
      <c r="AA1983">
        <v>4</v>
      </c>
      <c r="AB1983">
        <v>2</v>
      </c>
      <c r="AC1983">
        <v>1</v>
      </c>
      <c r="AD1983">
        <v>4</v>
      </c>
      <c r="AE1983">
        <v>1</v>
      </c>
      <c r="AF1983">
        <v>0</v>
      </c>
      <c r="AG1983">
        <v>2</v>
      </c>
      <c r="AH1983">
        <v>1</v>
      </c>
      <c r="AI1983">
        <v>1</v>
      </c>
    </row>
    <row r="1984" spans="1:35" hidden="1" x14ac:dyDescent="0.25">
      <c r="A1984">
        <v>2018</v>
      </c>
      <c r="B1984" s="1">
        <v>43359</v>
      </c>
      <c r="C1984">
        <v>25</v>
      </c>
      <c r="D1984">
        <v>24999</v>
      </c>
      <c r="E1984">
        <v>57483</v>
      </c>
      <c r="F1984" t="s">
        <v>50</v>
      </c>
      <c r="G1984" t="s">
        <v>89</v>
      </c>
      <c r="H1984" t="s">
        <v>240</v>
      </c>
      <c r="I1984" t="s">
        <v>433</v>
      </c>
      <c r="J1984">
        <v>7</v>
      </c>
      <c r="K1984">
        <v>5</v>
      </c>
      <c r="L1984">
        <v>16050000</v>
      </c>
      <c r="M1984">
        <v>20450000</v>
      </c>
      <c r="N1984" t="s">
        <v>149</v>
      </c>
      <c r="O1984" t="s">
        <v>142</v>
      </c>
      <c r="P1984">
        <v>0</v>
      </c>
      <c r="Q1984">
        <v>0</v>
      </c>
      <c r="R1984">
        <v>0</v>
      </c>
      <c r="S1984">
        <v>0</v>
      </c>
      <c r="T1984">
        <v>6</v>
      </c>
      <c r="U1984">
        <v>3</v>
      </c>
      <c r="V1984">
        <v>17</v>
      </c>
      <c r="W1984">
        <v>18</v>
      </c>
      <c r="X1984">
        <v>19</v>
      </c>
      <c r="Y1984">
        <v>19</v>
      </c>
      <c r="Z1984">
        <v>2</v>
      </c>
      <c r="AA1984">
        <v>1</v>
      </c>
      <c r="AB1984">
        <v>2</v>
      </c>
      <c r="AC1984">
        <v>1</v>
      </c>
      <c r="AD1984">
        <v>2</v>
      </c>
      <c r="AE1984">
        <v>2</v>
      </c>
      <c r="AF1984">
        <v>5</v>
      </c>
      <c r="AG1984">
        <v>5</v>
      </c>
      <c r="AH1984">
        <v>0</v>
      </c>
      <c r="AI1984">
        <v>0</v>
      </c>
    </row>
    <row r="1985" spans="1:35" hidden="1" x14ac:dyDescent="0.25">
      <c r="A1985">
        <v>2018</v>
      </c>
      <c r="B1985" s="1">
        <v>43367</v>
      </c>
      <c r="C1985">
        <v>26</v>
      </c>
      <c r="D1985">
        <v>9029</v>
      </c>
      <c r="E1985">
        <v>57483</v>
      </c>
      <c r="F1985" t="s">
        <v>50</v>
      </c>
      <c r="G1985" t="s">
        <v>419</v>
      </c>
      <c r="H1985" t="s">
        <v>240</v>
      </c>
      <c r="I1985" t="s">
        <v>71</v>
      </c>
      <c r="J1985">
        <v>7</v>
      </c>
      <c r="K1985">
        <v>9</v>
      </c>
      <c r="L1985">
        <v>15050000</v>
      </c>
      <c r="M1985">
        <v>35300000</v>
      </c>
      <c r="N1985" t="s">
        <v>129</v>
      </c>
      <c r="O1985" t="s">
        <v>122</v>
      </c>
      <c r="P1985">
        <v>2</v>
      </c>
      <c r="Q1985">
        <v>1</v>
      </c>
      <c r="R1985">
        <v>0</v>
      </c>
      <c r="S1985">
        <v>1</v>
      </c>
      <c r="T1985">
        <v>4</v>
      </c>
      <c r="U1985">
        <v>6</v>
      </c>
      <c r="V1985">
        <v>17</v>
      </c>
      <c r="W1985">
        <v>11</v>
      </c>
      <c r="X1985">
        <v>12</v>
      </c>
      <c r="Y1985">
        <v>18</v>
      </c>
      <c r="Z1985">
        <v>5</v>
      </c>
      <c r="AA1985">
        <v>2</v>
      </c>
      <c r="AB1985">
        <v>1</v>
      </c>
      <c r="AC1985">
        <v>1</v>
      </c>
      <c r="AD1985">
        <v>4</v>
      </c>
      <c r="AE1985">
        <v>7</v>
      </c>
      <c r="AF1985">
        <v>1</v>
      </c>
      <c r="AG1985">
        <v>3</v>
      </c>
      <c r="AH1985">
        <v>1</v>
      </c>
      <c r="AI1985">
        <v>1</v>
      </c>
    </row>
    <row r="1986" spans="1:35" hidden="1" x14ac:dyDescent="0.25">
      <c r="A1986">
        <v>2018</v>
      </c>
      <c r="B1986" s="1">
        <v>43330</v>
      </c>
      <c r="C1986">
        <v>19</v>
      </c>
      <c r="D1986">
        <v>10991</v>
      </c>
      <c r="E1986">
        <v>20120</v>
      </c>
      <c r="F1986" t="s">
        <v>419</v>
      </c>
      <c r="G1986" t="s">
        <v>391</v>
      </c>
      <c r="H1986" t="s">
        <v>71</v>
      </c>
      <c r="I1986" t="s">
        <v>369</v>
      </c>
      <c r="J1986">
        <v>18</v>
      </c>
      <c r="K1986">
        <v>15</v>
      </c>
      <c r="L1986">
        <v>36250000</v>
      </c>
      <c r="M1986">
        <v>13650000</v>
      </c>
      <c r="N1986" t="s">
        <v>98</v>
      </c>
      <c r="O1986" t="s">
        <v>174</v>
      </c>
      <c r="P1986">
        <v>3</v>
      </c>
      <c r="Q1986">
        <v>0</v>
      </c>
      <c r="R1986">
        <v>1</v>
      </c>
      <c r="S1986">
        <v>0</v>
      </c>
      <c r="T1986">
        <v>4</v>
      </c>
      <c r="U1986">
        <v>4</v>
      </c>
      <c r="V1986">
        <v>20</v>
      </c>
      <c r="W1986">
        <v>22</v>
      </c>
      <c r="X1986">
        <v>23</v>
      </c>
      <c r="Y1986">
        <v>25</v>
      </c>
      <c r="Z1986">
        <v>3</v>
      </c>
      <c r="AA1986">
        <v>3</v>
      </c>
      <c r="AB1986">
        <v>5</v>
      </c>
      <c r="AC1986">
        <v>1</v>
      </c>
      <c r="AD1986">
        <v>6</v>
      </c>
      <c r="AE1986">
        <v>3</v>
      </c>
      <c r="AF1986">
        <v>4</v>
      </c>
      <c r="AG1986">
        <v>5</v>
      </c>
      <c r="AH1986">
        <v>3</v>
      </c>
      <c r="AI1986">
        <v>1</v>
      </c>
    </row>
    <row r="1987" spans="1:35" hidden="1" x14ac:dyDescent="0.25">
      <c r="A1987">
        <v>2018</v>
      </c>
      <c r="B1987" s="1">
        <v>43359</v>
      </c>
      <c r="C1987">
        <v>25</v>
      </c>
      <c r="D1987">
        <v>13488</v>
      </c>
      <c r="E1987">
        <v>20120</v>
      </c>
      <c r="F1987" t="s">
        <v>419</v>
      </c>
      <c r="G1987" t="s">
        <v>62</v>
      </c>
      <c r="H1987" t="s">
        <v>71</v>
      </c>
      <c r="I1987" t="s">
        <v>342</v>
      </c>
      <c r="J1987">
        <v>8</v>
      </c>
      <c r="K1987">
        <v>2</v>
      </c>
      <c r="L1987">
        <v>36800000</v>
      </c>
      <c r="M1987">
        <v>24250000</v>
      </c>
      <c r="N1987" t="s">
        <v>80</v>
      </c>
      <c r="O1987">
        <v>31</v>
      </c>
      <c r="P1987">
        <v>0</v>
      </c>
      <c r="Q1987">
        <v>0</v>
      </c>
      <c r="R1987">
        <v>0</v>
      </c>
      <c r="S1987">
        <v>0</v>
      </c>
      <c r="T1987">
        <v>4</v>
      </c>
      <c r="U1987">
        <v>4</v>
      </c>
      <c r="V1987">
        <v>16</v>
      </c>
      <c r="W1987">
        <v>15</v>
      </c>
      <c r="X1987">
        <v>16</v>
      </c>
      <c r="Y1987">
        <v>20</v>
      </c>
      <c r="Z1987">
        <v>3</v>
      </c>
      <c r="AA1987">
        <v>5</v>
      </c>
      <c r="AB1987">
        <v>4</v>
      </c>
      <c r="AC1987">
        <v>1</v>
      </c>
      <c r="AD1987">
        <v>5</v>
      </c>
      <c r="AE1987">
        <v>3</v>
      </c>
      <c r="AF1987">
        <v>4</v>
      </c>
      <c r="AG1987">
        <v>0</v>
      </c>
      <c r="AH1987">
        <v>0</v>
      </c>
      <c r="AI1987">
        <v>0</v>
      </c>
    </row>
    <row r="1988" spans="1:35" hidden="1" x14ac:dyDescent="0.25">
      <c r="A1988">
        <v>2018</v>
      </c>
      <c r="B1988" s="1">
        <v>43400</v>
      </c>
      <c r="C1988">
        <v>31</v>
      </c>
      <c r="D1988">
        <v>8680</v>
      </c>
      <c r="E1988">
        <v>20120</v>
      </c>
      <c r="F1988" t="s">
        <v>419</v>
      </c>
      <c r="G1988" t="s">
        <v>55</v>
      </c>
      <c r="H1988" t="s">
        <v>71</v>
      </c>
      <c r="I1988" t="s">
        <v>458</v>
      </c>
      <c r="J1988">
        <v>7</v>
      </c>
      <c r="K1988">
        <v>9</v>
      </c>
      <c r="L1988">
        <v>39300000</v>
      </c>
      <c r="M1988">
        <v>6400000</v>
      </c>
      <c r="N1988" t="s">
        <v>149</v>
      </c>
      <c r="O1988" t="s">
        <v>176</v>
      </c>
      <c r="P1988">
        <v>3</v>
      </c>
      <c r="Q1988">
        <v>0</v>
      </c>
      <c r="R1988">
        <v>0</v>
      </c>
      <c r="S1988">
        <v>0</v>
      </c>
      <c r="T1988">
        <v>12</v>
      </c>
      <c r="U1988">
        <v>2</v>
      </c>
      <c r="V1988">
        <v>14</v>
      </c>
      <c r="W1988">
        <v>16</v>
      </c>
      <c r="X1988">
        <v>17</v>
      </c>
      <c r="Y1988">
        <v>16</v>
      </c>
      <c r="Z1988">
        <v>2</v>
      </c>
      <c r="AA1988">
        <v>7</v>
      </c>
      <c r="AB1988">
        <v>2</v>
      </c>
      <c r="AC1988">
        <v>1</v>
      </c>
      <c r="AD1988">
        <v>10</v>
      </c>
      <c r="AE1988">
        <v>2</v>
      </c>
      <c r="AF1988">
        <v>5</v>
      </c>
      <c r="AG1988">
        <v>3</v>
      </c>
      <c r="AH1988">
        <v>3</v>
      </c>
      <c r="AI1988">
        <v>1</v>
      </c>
    </row>
    <row r="1989" spans="1:35" hidden="1" x14ac:dyDescent="0.25">
      <c r="A1989">
        <v>2018</v>
      </c>
      <c r="B1989" s="1">
        <v>43426</v>
      </c>
      <c r="C1989">
        <v>36</v>
      </c>
      <c r="D1989">
        <v>3620</v>
      </c>
      <c r="E1989">
        <v>20120</v>
      </c>
      <c r="F1989" t="s">
        <v>419</v>
      </c>
      <c r="G1989" t="s">
        <v>51</v>
      </c>
      <c r="H1989" t="s">
        <v>71</v>
      </c>
      <c r="I1989" t="s">
        <v>323</v>
      </c>
      <c r="J1989">
        <v>10</v>
      </c>
      <c r="K1989">
        <v>9</v>
      </c>
      <c r="L1989">
        <v>30250000</v>
      </c>
      <c r="M1989">
        <v>15350000</v>
      </c>
      <c r="N1989" t="s">
        <v>171</v>
      </c>
      <c r="O1989" t="s">
        <v>339</v>
      </c>
      <c r="P1989">
        <v>1</v>
      </c>
      <c r="Q1989">
        <v>1</v>
      </c>
      <c r="R1989">
        <v>1</v>
      </c>
      <c r="S1989">
        <v>0</v>
      </c>
      <c r="T1989">
        <v>9</v>
      </c>
      <c r="U1989">
        <v>5</v>
      </c>
      <c r="V1989">
        <v>17</v>
      </c>
      <c r="W1989">
        <v>16</v>
      </c>
      <c r="X1989">
        <v>17</v>
      </c>
      <c r="Y1989">
        <v>17</v>
      </c>
      <c r="Z1989">
        <v>2</v>
      </c>
      <c r="AA1989">
        <v>4</v>
      </c>
      <c r="AB1989">
        <v>0</v>
      </c>
      <c r="AC1989">
        <v>1</v>
      </c>
      <c r="AD1989">
        <v>5</v>
      </c>
      <c r="AE1989">
        <v>3</v>
      </c>
      <c r="AF1989">
        <v>4</v>
      </c>
      <c r="AG1989">
        <v>3</v>
      </c>
      <c r="AH1989">
        <v>0</v>
      </c>
      <c r="AI1989">
        <v>0</v>
      </c>
    </row>
    <row r="1990" spans="1:35" hidden="1" x14ac:dyDescent="0.25">
      <c r="A1990">
        <v>2018</v>
      </c>
      <c r="B1990" s="1">
        <v>43349</v>
      </c>
      <c r="C1990">
        <v>23</v>
      </c>
      <c r="D1990">
        <v>39785</v>
      </c>
      <c r="E1990">
        <v>60326</v>
      </c>
      <c r="F1990" t="s">
        <v>361</v>
      </c>
      <c r="G1990" t="s">
        <v>88</v>
      </c>
      <c r="H1990" t="s">
        <v>362</v>
      </c>
      <c r="I1990" t="s">
        <v>399</v>
      </c>
      <c r="J1990">
        <v>19</v>
      </c>
      <c r="K1990">
        <v>8</v>
      </c>
      <c r="L1990">
        <v>6180000</v>
      </c>
      <c r="M1990">
        <v>18300000</v>
      </c>
      <c r="N1990" t="s">
        <v>98</v>
      </c>
      <c r="O1990" t="s">
        <v>41</v>
      </c>
      <c r="P1990">
        <v>2</v>
      </c>
      <c r="Q1990">
        <v>1</v>
      </c>
      <c r="R1990">
        <v>1</v>
      </c>
      <c r="S1990">
        <v>0</v>
      </c>
      <c r="T1990">
        <v>7</v>
      </c>
      <c r="U1990">
        <v>4</v>
      </c>
      <c r="V1990">
        <v>20</v>
      </c>
      <c r="W1990">
        <v>18</v>
      </c>
      <c r="X1990">
        <v>19</v>
      </c>
      <c r="Y1990">
        <v>20</v>
      </c>
      <c r="Z1990">
        <v>4</v>
      </c>
      <c r="AA1990">
        <v>6</v>
      </c>
      <c r="AB1990">
        <v>0</v>
      </c>
      <c r="AC1990">
        <v>1</v>
      </c>
      <c r="AD1990">
        <v>7</v>
      </c>
      <c r="AE1990">
        <v>5</v>
      </c>
      <c r="AF1990">
        <v>5</v>
      </c>
      <c r="AG1990">
        <v>3</v>
      </c>
      <c r="AH1990">
        <v>1</v>
      </c>
      <c r="AI1990">
        <v>1</v>
      </c>
    </row>
    <row r="1991" spans="1:35" hidden="1" x14ac:dyDescent="0.25">
      <c r="A1991">
        <v>2018</v>
      </c>
      <c r="B1991" s="1">
        <v>43358</v>
      </c>
      <c r="C1991">
        <v>25</v>
      </c>
      <c r="D1991">
        <v>32136</v>
      </c>
      <c r="E1991">
        <v>60326</v>
      </c>
      <c r="F1991" t="s">
        <v>361</v>
      </c>
      <c r="G1991" t="s">
        <v>94</v>
      </c>
      <c r="H1991" t="s">
        <v>362</v>
      </c>
      <c r="I1991" t="s">
        <v>455</v>
      </c>
      <c r="J1991">
        <v>19</v>
      </c>
      <c r="K1991">
        <v>12</v>
      </c>
      <c r="L1991">
        <v>6180000</v>
      </c>
      <c r="M1991">
        <v>10350000</v>
      </c>
      <c r="N1991" t="s">
        <v>98</v>
      </c>
      <c r="O1991" t="s">
        <v>220</v>
      </c>
      <c r="P1991">
        <v>2</v>
      </c>
      <c r="Q1991">
        <v>0</v>
      </c>
      <c r="R1991">
        <v>1</v>
      </c>
      <c r="S1991">
        <v>0</v>
      </c>
      <c r="T1991">
        <v>4</v>
      </c>
      <c r="U1991">
        <v>3</v>
      </c>
      <c r="V1991">
        <v>18</v>
      </c>
      <c r="W1991">
        <v>15</v>
      </c>
      <c r="X1991">
        <v>16</v>
      </c>
      <c r="Y1991">
        <v>18</v>
      </c>
      <c r="Z1991">
        <v>4</v>
      </c>
      <c r="AA1991">
        <v>1</v>
      </c>
      <c r="AB1991">
        <v>0</v>
      </c>
      <c r="AC1991">
        <v>1</v>
      </c>
      <c r="AD1991">
        <v>2</v>
      </c>
      <c r="AE1991">
        <v>0</v>
      </c>
      <c r="AF1991">
        <v>8</v>
      </c>
      <c r="AG1991">
        <v>2</v>
      </c>
      <c r="AH1991">
        <v>2</v>
      </c>
      <c r="AI1991">
        <v>1</v>
      </c>
    </row>
    <row r="1992" spans="1:35" hidden="1" x14ac:dyDescent="0.25">
      <c r="A1992">
        <v>2018</v>
      </c>
      <c r="B1992" s="1">
        <v>43415</v>
      </c>
      <c r="C1992">
        <v>33</v>
      </c>
      <c r="D1992">
        <v>42149</v>
      </c>
      <c r="E1992">
        <v>60326</v>
      </c>
      <c r="F1992" t="s">
        <v>361</v>
      </c>
      <c r="G1992" t="s">
        <v>37</v>
      </c>
      <c r="H1992" t="s">
        <v>362</v>
      </c>
      <c r="I1992" t="s">
        <v>328</v>
      </c>
      <c r="J1992">
        <v>15</v>
      </c>
      <c r="K1992">
        <v>2</v>
      </c>
      <c r="L1992">
        <v>6480000</v>
      </c>
      <c r="M1992">
        <v>22650000</v>
      </c>
      <c r="N1992" t="s">
        <v>135</v>
      </c>
      <c r="O1992" t="s">
        <v>98</v>
      </c>
      <c r="P1992">
        <v>1</v>
      </c>
      <c r="Q1992">
        <v>1</v>
      </c>
      <c r="R1992">
        <v>1</v>
      </c>
      <c r="S1992">
        <v>1</v>
      </c>
      <c r="T1992">
        <v>6</v>
      </c>
      <c r="U1992">
        <v>5</v>
      </c>
      <c r="V1992">
        <v>11</v>
      </c>
      <c r="W1992">
        <v>14</v>
      </c>
      <c r="X1992">
        <v>15</v>
      </c>
      <c r="Y1992">
        <v>13</v>
      </c>
      <c r="Z1992">
        <v>3</v>
      </c>
      <c r="AA1992">
        <v>4</v>
      </c>
      <c r="AB1992">
        <v>2</v>
      </c>
      <c r="AC1992">
        <v>1</v>
      </c>
      <c r="AD1992">
        <v>5</v>
      </c>
      <c r="AE1992">
        <v>4</v>
      </c>
      <c r="AF1992">
        <v>7</v>
      </c>
      <c r="AG1992">
        <v>0</v>
      </c>
      <c r="AH1992">
        <v>0</v>
      </c>
      <c r="AI1992">
        <v>0</v>
      </c>
    </row>
    <row r="1993" spans="1:35" hidden="1" x14ac:dyDescent="0.25">
      <c r="A1993">
        <v>2018</v>
      </c>
      <c r="B1993" s="1">
        <v>43427</v>
      </c>
      <c r="C1993">
        <v>36</v>
      </c>
      <c r="D1993">
        <v>48824</v>
      </c>
      <c r="E1993">
        <v>60326</v>
      </c>
      <c r="F1993" t="s">
        <v>361</v>
      </c>
      <c r="G1993" t="s">
        <v>457</v>
      </c>
      <c r="H1993" t="s">
        <v>362</v>
      </c>
      <c r="I1993" t="s">
        <v>398</v>
      </c>
      <c r="J1993">
        <v>14</v>
      </c>
      <c r="K1993">
        <v>20</v>
      </c>
      <c r="L1993">
        <v>7080000</v>
      </c>
      <c r="M1993">
        <v>3500000</v>
      </c>
      <c r="N1993" t="s">
        <v>137</v>
      </c>
      <c r="O1993" t="s">
        <v>318</v>
      </c>
      <c r="P1993">
        <v>1</v>
      </c>
      <c r="Q1993">
        <v>0</v>
      </c>
      <c r="R1993">
        <v>1</v>
      </c>
      <c r="S1993">
        <v>0</v>
      </c>
      <c r="T1993">
        <v>7</v>
      </c>
      <c r="U1993">
        <v>6</v>
      </c>
      <c r="V1993">
        <v>16</v>
      </c>
      <c r="W1993">
        <v>11</v>
      </c>
      <c r="X1993">
        <v>12</v>
      </c>
      <c r="Y1993">
        <v>18</v>
      </c>
      <c r="Z1993">
        <v>0</v>
      </c>
      <c r="AA1993">
        <v>5</v>
      </c>
      <c r="AB1993">
        <v>2</v>
      </c>
      <c r="AC1993">
        <v>1</v>
      </c>
      <c r="AD1993">
        <v>6</v>
      </c>
      <c r="AE1993">
        <v>0</v>
      </c>
      <c r="AF1993">
        <v>8</v>
      </c>
      <c r="AG1993">
        <v>3</v>
      </c>
      <c r="AH1993">
        <v>1</v>
      </c>
      <c r="AI1993">
        <v>1</v>
      </c>
    </row>
    <row r="1994" spans="1:35" hidden="1" x14ac:dyDescent="0.25">
      <c r="A1994">
        <v>2018</v>
      </c>
      <c r="B1994" s="1">
        <v>43350</v>
      </c>
      <c r="C1994">
        <v>23</v>
      </c>
      <c r="D1994">
        <v>5061</v>
      </c>
      <c r="E1994">
        <v>25000</v>
      </c>
      <c r="F1994" t="s">
        <v>310</v>
      </c>
      <c r="G1994" t="s">
        <v>82</v>
      </c>
      <c r="H1994" t="s">
        <v>450</v>
      </c>
      <c r="I1994" t="s">
        <v>378</v>
      </c>
      <c r="J1994">
        <v>12</v>
      </c>
      <c r="K1994">
        <v>15</v>
      </c>
      <c r="L1994">
        <v>9150000</v>
      </c>
      <c r="M1994">
        <v>11100000</v>
      </c>
      <c r="N1994" t="s">
        <v>67</v>
      </c>
      <c r="O1994" t="s">
        <v>86</v>
      </c>
      <c r="P1994">
        <v>2</v>
      </c>
      <c r="Q1994">
        <v>1</v>
      </c>
      <c r="R1994">
        <v>1</v>
      </c>
      <c r="S1994">
        <v>0</v>
      </c>
      <c r="T1994">
        <v>4</v>
      </c>
      <c r="U1994">
        <v>5</v>
      </c>
      <c r="V1994">
        <v>18</v>
      </c>
      <c r="W1994">
        <v>12</v>
      </c>
      <c r="X1994">
        <v>13</v>
      </c>
      <c r="Y1994">
        <v>20</v>
      </c>
      <c r="Z1994">
        <v>3</v>
      </c>
      <c r="AA1994">
        <v>4</v>
      </c>
      <c r="AB1994">
        <v>2</v>
      </c>
      <c r="AC1994">
        <v>1</v>
      </c>
      <c r="AD1994">
        <v>6</v>
      </c>
      <c r="AE1994">
        <v>4</v>
      </c>
      <c r="AF1994">
        <v>3</v>
      </c>
      <c r="AG1994">
        <v>1</v>
      </c>
      <c r="AH1994">
        <v>1</v>
      </c>
      <c r="AI1994">
        <v>1</v>
      </c>
    </row>
    <row r="1995" spans="1:35" hidden="1" x14ac:dyDescent="0.25">
      <c r="A1995">
        <v>2018</v>
      </c>
      <c r="B1995" s="1">
        <v>43352</v>
      </c>
      <c r="C1995">
        <v>24</v>
      </c>
      <c r="D1995">
        <v>4348</v>
      </c>
      <c r="E1995">
        <v>25000</v>
      </c>
      <c r="F1995" t="s">
        <v>310</v>
      </c>
      <c r="G1995" t="s">
        <v>361</v>
      </c>
      <c r="H1995" t="s">
        <v>450</v>
      </c>
      <c r="I1995" t="s">
        <v>362</v>
      </c>
      <c r="J1995">
        <v>9</v>
      </c>
      <c r="K1995">
        <v>19</v>
      </c>
      <c r="L1995">
        <v>8950000</v>
      </c>
      <c r="M1995">
        <v>6430000</v>
      </c>
      <c r="N1995">
        <v>32</v>
      </c>
      <c r="O1995">
        <v>30</v>
      </c>
      <c r="P1995">
        <v>0</v>
      </c>
      <c r="Q1995">
        <v>0</v>
      </c>
      <c r="R1995">
        <v>0</v>
      </c>
      <c r="S1995">
        <v>0</v>
      </c>
      <c r="T1995">
        <v>3</v>
      </c>
      <c r="U1995">
        <v>4</v>
      </c>
      <c r="V1995">
        <v>16</v>
      </c>
      <c r="W1995">
        <v>10</v>
      </c>
      <c r="X1995">
        <v>11</v>
      </c>
      <c r="Y1995">
        <v>18</v>
      </c>
      <c r="Z1995">
        <v>2</v>
      </c>
      <c r="AA1995">
        <v>0</v>
      </c>
      <c r="AB1995">
        <v>2</v>
      </c>
      <c r="AC1995">
        <v>1</v>
      </c>
      <c r="AD1995">
        <v>0</v>
      </c>
      <c r="AE1995">
        <v>2</v>
      </c>
      <c r="AF1995">
        <v>4</v>
      </c>
      <c r="AG1995">
        <v>2</v>
      </c>
      <c r="AH1995">
        <v>0</v>
      </c>
      <c r="AI1995">
        <v>0</v>
      </c>
    </row>
    <row r="1996" spans="1:35" hidden="1" x14ac:dyDescent="0.25">
      <c r="A1996">
        <v>2018</v>
      </c>
      <c r="B1996" s="1">
        <v>43395</v>
      </c>
      <c r="C1996">
        <v>30</v>
      </c>
      <c r="D1996">
        <v>12666</v>
      </c>
      <c r="E1996">
        <v>25000</v>
      </c>
      <c r="F1996" t="s">
        <v>50</v>
      </c>
      <c r="G1996" t="s">
        <v>394</v>
      </c>
      <c r="H1996" t="s">
        <v>240</v>
      </c>
      <c r="I1996" t="s">
        <v>444</v>
      </c>
      <c r="J1996">
        <v>10</v>
      </c>
      <c r="K1996">
        <v>18</v>
      </c>
      <c r="L1996">
        <v>30800000</v>
      </c>
      <c r="M1996">
        <v>10650000</v>
      </c>
      <c r="N1996">
        <v>32</v>
      </c>
      <c r="O1996" t="s">
        <v>114</v>
      </c>
      <c r="P1996">
        <v>3</v>
      </c>
      <c r="Q1996">
        <v>0</v>
      </c>
      <c r="R1996">
        <v>3</v>
      </c>
      <c r="S1996">
        <v>0</v>
      </c>
      <c r="T1996">
        <v>4</v>
      </c>
      <c r="U1996">
        <v>4</v>
      </c>
      <c r="V1996">
        <v>9</v>
      </c>
      <c r="W1996">
        <v>14</v>
      </c>
      <c r="X1996">
        <v>15</v>
      </c>
      <c r="Y1996">
        <v>10</v>
      </c>
      <c r="Z1996">
        <v>3</v>
      </c>
      <c r="AA1996">
        <v>2</v>
      </c>
      <c r="AB1996">
        <v>1</v>
      </c>
      <c r="AC1996">
        <v>1</v>
      </c>
      <c r="AD1996">
        <v>5</v>
      </c>
      <c r="AE1996">
        <v>3</v>
      </c>
      <c r="AF1996">
        <v>5</v>
      </c>
      <c r="AG1996">
        <v>8</v>
      </c>
      <c r="AH1996">
        <v>3</v>
      </c>
      <c r="AI1996">
        <v>1</v>
      </c>
    </row>
    <row r="1997" spans="1:35" hidden="1" x14ac:dyDescent="0.25">
      <c r="A1997">
        <v>2018</v>
      </c>
      <c r="B1997" s="1">
        <v>43408</v>
      </c>
      <c r="C1997">
        <v>32</v>
      </c>
      <c r="D1997">
        <v>9423</v>
      </c>
      <c r="E1997">
        <v>25000</v>
      </c>
      <c r="F1997" t="s">
        <v>310</v>
      </c>
      <c r="G1997" t="s">
        <v>50</v>
      </c>
      <c r="H1997" t="s">
        <v>450</v>
      </c>
      <c r="I1997" t="s">
        <v>240</v>
      </c>
      <c r="J1997">
        <v>16</v>
      </c>
      <c r="K1997">
        <v>9</v>
      </c>
      <c r="L1997">
        <v>9050000</v>
      </c>
      <c r="M1997">
        <v>30800000</v>
      </c>
      <c r="N1997">
        <v>29</v>
      </c>
      <c r="O1997">
        <v>32</v>
      </c>
      <c r="P1997">
        <v>1</v>
      </c>
      <c r="Q1997">
        <v>2</v>
      </c>
      <c r="R1997">
        <v>0</v>
      </c>
      <c r="S1997">
        <v>1</v>
      </c>
      <c r="T1997">
        <v>8</v>
      </c>
      <c r="U1997">
        <v>2</v>
      </c>
      <c r="V1997">
        <v>17</v>
      </c>
      <c r="W1997">
        <v>4</v>
      </c>
      <c r="X1997">
        <v>5</v>
      </c>
      <c r="Y1997">
        <v>17</v>
      </c>
      <c r="Z1997">
        <v>1</v>
      </c>
      <c r="AA1997">
        <v>5</v>
      </c>
      <c r="AB1997">
        <v>0</v>
      </c>
      <c r="AC1997">
        <v>1</v>
      </c>
      <c r="AD1997">
        <v>6</v>
      </c>
      <c r="AE1997">
        <v>3</v>
      </c>
      <c r="AF1997">
        <v>4</v>
      </c>
      <c r="AG1997">
        <v>2</v>
      </c>
      <c r="AH1997">
        <v>-1</v>
      </c>
      <c r="AI1997">
        <v>0</v>
      </c>
    </row>
    <row r="1998" spans="1:35" hidden="1" x14ac:dyDescent="0.25">
      <c r="A1998">
        <v>2018</v>
      </c>
      <c r="B1998" s="1">
        <v>43414</v>
      </c>
      <c r="C1998">
        <v>33</v>
      </c>
      <c r="D1998">
        <v>5074</v>
      </c>
      <c r="E1998">
        <v>25000</v>
      </c>
      <c r="F1998" t="s">
        <v>310</v>
      </c>
      <c r="G1998" t="s">
        <v>457</v>
      </c>
      <c r="H1998" t="s">
        <v>450</v>
      </c>
      <c r="I1998" t="s">
        <v>398</v>
      </c>
      <c r="J1998">
        <v>18</v>
      </c>
      <c r="K1998">
        <v>20</v>
      </c>
      <c r="L1998">
        <v>8500000</v>
      </c>
      <c r="M1998">
        <v>3850000</v>
      </c>
      <c r="N1998" t="s">
        <v>128</v>
      </c>
      <c r="O1998" t="s">
        <v>220</v>
      </c>
      <c r="P1998">
        <v>0</v>
      </c>
      <c r="Q1998">
        <v>1</v>
      </c>
      <c r="R1998">
        <v>0</v>
      </c>
      <c r="S1998">
        <v>0</v>
      </c>
      <c r="T1998">
        <v>13</v>
      </c>
      <c r="U1998">
        <v>6</v>
      </c>
      <c r="V1998">
        <v>10</v>
      </c>
      <c r="W1998">
        <v>10</v>
      </c>
      <c r="X1998">
        <v>11</v>
      </c>
      <c r="Y1998">
        <v>18</v>
      </c>
      <c r="Z1998">
        <v>9</v>
      </c>
      <c r="AA1998">
        <v>3</v>
      </c>
      <c r="AB1998">
        <v>8</v>
      </c>
      <c r="AC1998">
        <v>1</v>
      </c>
      <c r="AD1998">
        <v>1</v>
      </c>
      <c r="AE1998">
        <v>2</v>
      </c>
      <c r="AF1998">
        <v>2</v>
      </c>
      <c r="AG1998">
        <v>0</v>
      </c>
      <c r="AH1998">
        <v>-1</v>
      </c>
      <c r="AI1998">
        <v>0</v>
      </c>
    </row>
    <row r="1999" spans="1:35" hidden="1" x14ac:dyDescent="0.25">
      <c r="A1999">
        <v>2018</v>
      </c>
      <c r="B1999" s="1">
        <v>43324</v>
      </c>
      <c r="C1999">
        <v>18</v>
      </c>
      <c r="D1999">
        <v>16050</v>
      </c>
      <c r="E1999">
        <v>35000</v>
      </c>
      <c r="F1999" t="s">
        <v>391</v>
      </c>
      <c r="G1999" t="s">
        <v>62</v>
      </c>
      <c r="H1999" t="s">
        <v>444</v>
      </c>
      <c r="I1999" t="s">
        <v>342</v>
      </c>
      <c r="J1999">
        <v>14</v>
      </c>
      <c r="K1999">
        <v>1</v>
      </c>
      <c r="L1999">
        <v>11200000</v>
      </c>
      <c r="M1999">
        <v>31000000</v>
      </c>
      <c r="N1999" t="s">
        <v>111</v>
      </c>
      <c r="O1999">
        <v>31</v>
      </c>
      <c r="P1999">
        <v>1</v>
      </c>
      <c r="Q1999">
        <v>3</v>
      </c>
      <c r="R1999">
        <v>0</v>
      </c>
      <c r="S1999">
        <v>1</v>
      </c>
      <c r="T1999">
        <v>2</v>
      </c>
      <c r="U1999">
        <v>3</v>
      </c>
      <c r="V1999">
        <v>7</v>
      </c>
      <c r="W1999">
        <v>15</v>
      </c>
      <c r="X1999">
        <v>16</v>
      </c>
      <c r="Y1999">
        <v>7</v>
      </c>
      <c r="Z1999">
        <v>3</v>
      </c>
      <c r="AA1999">
        <v>6</v>
      </c>
      <c r="AB1999">
        <v>0</v>
      </c>
      <c r="AC1999">
        <v>1</v>
      </c>
      <c r="AD1999">
        <v>7</v>
      </c>
      <c r="AE1999">
        <v>6</v>
      </c>
      <c r="AF1999">
        <v>5</v>
      </c>
      <c r="AG1999">
        <v>7</v>
      </c>
      <c r="AH1999">
        <v>-2</v>
      </c>
      <c r="AI1999">
        <v>0</v>
      </c>
    </row>
    <row r="2000" spans="1:35" hidden="1" x14ac:dyDescent="0.25">
      <c r="A2000">
        <v>2018</v>
      </c>
      <c r="B2000" s="1">
        <v>43409</v>
      </c>
      <c r="C2000">
        <v>32</v>
      </c>
      <c r="D2000">
        <v>25002</v>
      </c>
      <c r="E2000">
        <v>35000</v>
      </c>
      <c r="F2000" t="s">
        <v>391</v>
      </c>
      <c r="G2000" t="s">
        <v>361</v>
      </c>
      <c r="H2000" t="s">
        <v>462</v>
      </c>
      <c r="I2000" t="s">
        <v>362</v>
      </c>
      <c r="J2000">
        <v>18</v>
      </c>
      <c r="K2000">
        <v>13</v>
      </c>
      <c r="L2000">
        <v>9250000</v>
      </c>
      <c r="M2000">
        <v>7030000</v>
      </c>
      <c r="N2000" t="s">
        <v>120</v>
      </c>
      <c r="O2000" t="s">
        <v>66</v>
      </c>
      <c r="P2000">
        <v>1</v>
      </c>
      <c r="Q2000">
        <v>0</v>
      </c>
      <c r="R2000">
        <v>0</v>
      </c>
      <c r="S2000">
        <v>0</v>
      </c>
      <c r="T2000">
        <v>8</v>
      </c>
      <c r="U2000">
        <v>3</v>
      </c>
      <c r="V2000">
        <v>13</v>
      </c>
      <c r="W2000">
        <v>16</v>
      </c>
      <c r="X2000">
        <v>17</v>
      </c>
      <c r="Y2000">
        <v>14</v>
      </c>
      <c r="Z2000">
        <v>5</v>
      </c>
      <c r="AA2000">
        <v>2</v>
      </c>
      <c r="AB2000">
        <v>1</v>
      </c>
      <c r="AC2000">
        <v>1</v>
      </c>
      <c r="AD2000">
        <v>3</v>
      </c>
      <c r="AE2000">
        <v>5</v>
      </c>
      <c r="AF2000">
        <v>2</v>
      </c>
      <c r="AG2000">
        <v>5</v>
      </c>
      <c r="AH2000">
        <v>1</v>
      </c>
      <c r="AI2000">
        <v>1</v>
      </c>
    </row>
    <row r="2001" spans="1:35" hidden="1" x14ac:dyDescent="0.25">
      <c r="A2001">
        <v>2018</v>
      </c>
      <c r="B2001" s="1">
        <v>43373</v>
      </c>
      <c r="C2001">
        <v>27</v>
      </c>
      <c r="D2001">
        <v>37070</v>
      </c>
      <c r="E2001">
        <v>56000</v>
      </c>
      <c r="F2001" t="s">
        <v>37</v>
      </c>
      <c r="G2001" t="s">
        <v>94</v>
      </c>
      <c r="H2001" t="s">
        <v>328</v>
      </c>
      <c r="I2001" t="s">
        <v>455</v>
      </c>
      <c r="J2001">
        <v>3</v>
      </c>
      <c r="K2001">
        <v>14</v>
      </c>
      <c r="L2001">
        <v>22650000</v>
      </c>
      <c r="M2001">
        <v>8300000</v>
      </c>
      <c r="N2001" t="s">
        <v>41</v>
      </c>
      <c r="O2001" t="s">
        <v>351</v>
      </c>
      <c r="P2001">
        <v>2</v>
      </c>
      <c r="Q2001">
        <v>1</v>
      </c>
      <c r="R2001">
        <v>0</v>
      </c>
      <c r="S2001">
        <v>1</v>
      </c>
      <c r="T2001">
        <v>7</v>
      </c>
      <c r="U2001">
        <v>0</v>
      </c>
      <c r="V2001">
        <v>18</v>
      </c>
      <c r="W2001">
        <v>16</v>
      </c>
      <c r="X2001">
        <v>17</v>
      </c>
      <c r="Y2001">
        <v>22</v>
      </c>
      <c r="Z2001">
        <v>1</v>
      </c>
      <c r="AA2001">
        <v>1</v>
      </c>
      <c r="AB2001">
        <v>4</v>
      </c>
      <c r="AC2001">
        <v>1</v>
      </c>
      <c r="AD2001">
        <v>3</v>
      </c>
      <c r="AE2001">
        <v>1</v>
      </c>
      <c r="AF2001">
        <v>2</v>
      </c>
      <c r="AG2001">
        <v>0</v>
      </c>
      <c r="AH2001">
        <v>1</v>
      </c>
      <c r="AI2001">
        <v>1</v>
      </c>
    </row>
    <row r="2002" spans="1:35" hidden="1" x14ac:dyDescent="0.25">
      <c r="A2002">
        <v>2018</v>
      </c>
      <c r="B2002" s="1">
        <v>43408</v>
      </c>
      <c r="C2002">
        <v>32</v>
      </c>
      <c r="D2002">
        <v>32007</v>
      </c>
      <c r="E2002">
        <v>56000</v>
      </c>
      <c r="F2002" t="s">
        <v>37</v>
      </c>
      <c r="G2002" t="s">
        <v>454</v>
      </c>
      <c r="H2002" t="s">
        <v>328</v>
      </c>
      <c r="I2002" t="s">
        <v>333</v>
      </c>
      <c r="J2002">
        <v>3</v>
      </c>
      <c r="K2002">
        <v>8</v>
      </c>
      <c r="L2002">
        <v>18600000</v>
      </c>
      <c r="M2002">
        <v>11250000</v>
      </c>
      <c r="N2002" t="s">
        <v>135</v>
      </c>
      <c r="O2002" t="s">
        <v>149</v>
      </c>
      <c r="P2002">
        <v>2</v>
      </c>
      <c r="Q2002">
        <v>1</v>
      </c>
      <c r="R2002">
        <v>0</v>
      </c>
      <c r="S2002">
        <v>0</v>
      </c>
      <c r="T2002">
        <v>11</v>
      </c>
      <c r="U2002">
        <v>5</v>
      </c>
      <c r="V2002">
        <v>8</v>
      </c>
      <c r="W2002">
        <v>16</v>
      </c>
      <c r="X2002">
        <v>17</v>
      </c>
      <c r="Y2002">
        <v>9</v>
      </c>
      <c r="Z2002">
        <v>3</v>
      </c>
      <c r="AA2002">
        <v>3</v>
      </c>
      <c r="AB2002">
        <v>1</v>
      </c>
      <c r="AC2002">
        <v>1</v>
      </c>
      <c r="AD2002">
        <v>5</v>
      </c>
      <c r="AE2002">
        <v>4</v>
      </c>
      <c r="AF2002">
        <v>5</v>
      </c>
      <c r="AG2002">
        <v>3</v>
      </c>
      <c r="AH2002">
        <v>1</v>
      </c>
      <c r="AI2002">
        <v>1</v>
      </c>
    </row>
    <row r="2003" spans="1:35" hidden="1" x14ac:dyDescent="0.25">
      <c r="A2003">
        <v>2018</v>
      </c>
      <c r="B2003" s="1">
        <v>43429</v>
      </c>
      <c r="C2003">
        <v>37</v>
      </c>
      <c r="D2003">
        <v>31395</v>
      </c>
      <c r="E2003">
        <v>56000</v>
      </c>
      <c r="F2003" t="s">
        <v>37</v>
      </c>
      <c r="G2003" t="s">
        <v>55</v>
      </c>
      <c r="H2003" t="s">
        <v>328</v>
      </c>
      <c r="I2003" t="s">
        <v>458</v>
      </c>
      <c r="J2003">
        <v>3</v>
      </c>
      <c r="K2003">
        <v>13</v>
      </c>
      <c r="L2003">
        <v>23200000</v>
      </c>
      <c r="M2003">
        <v>8900000</v>
      </c>
      <c r="N2003" t="s">
        <v>134</v>
      </c>
      <c r="O2003" t="s">
        <v>80</v>
      </c>
      <c r="P2003">
        <v>2</v>
      </c>
      <c r="Q2003">
        <v>0</v>
      </c>
      <c r="R2003">
        <v>0</v>
      </c>
      <c r="S2003">
        <v>0</v>
      </c>
      <c r="T2003">
        <v>8</v>
      </c>
      <c r="U2003">
        <v>4</v>
      </c>
      <c r="V2003">
        <v>11</v>
      </c>
      <c r="W2003">
        <v>14</v>
      </c>
      <c r="X2003">
        <v>15</v>
      </c>
      <c r="Y2003">
        <v>12</v>
      </c>
      <c r="Z2003">
        <v>3</v>
      </c>
      <c r="AA2003">
        <v>1</v>
      </c>
      <c r="AB2003">
        <v>1</v>
      </c>
      <c r="AC2003">
        <v>1</v>
      </c>
      <c r="AD2003">
        <v>3</v>
      </c>
      <c r="AE2003">
        <v>3</v>
      </c>
      <c r="AF2003">
        <v>11</v>
      </c>
      <c r="AG2003">
        <v>4</v>
      </c>
      <c r="AH2003">
        <v>2</v>
      </c>
      <c r="AI2003">
        <v>1</v>
      </c>
    </row>
    <row r="2004" spans="1:35" hidden="1" x14ac:dyDescent="0.25">
      <c r="A2004">
        <v>2018</v>
      </c>
      <c r="B2004" s="1">
        <v>43324</v>
      </c>
      <c r="C2004">
        <v>18</v>
      </c>
      <c r="D2004">
        <v>19100</v>
      </c>
      <c r="E2004">
        <v>55000</v>
      </c>
      <c r="F2004" t="s">
        <v>38</v>
      </c>
      <c r="G2004" t="s">
        <v>310</v>
      </c>
      <c r="H2004" t="s">
        <v>420</v>
      </c>
      <c r="I2004" t="s">
        <v>450</v>
      </c>
      <c r="J2004">
        <v>11</v>
      </c>
      <c r="K2004">
        <v>10</v>
      </c>
      <c r="L2004">
        <v>12350000</v>
      </c>
      <c r="M2004">
        <v>9450000</v>
      </c>
      <c r="N2004" t="s">
        <v>66</v>
      </c>
      <c r="O2004" t="s">
        <v>47</v>
      </c>
      <c r="P2004">
        <v>1</v>
      </c>
      <c r="Q2004">
        <v>0</v>
      </c>
      <c r="R2004">
        <v>0</v>
      </c>
      <c r="S2004">
        <v>0</v>
      </c>
      <c r="T2004">
        <v>9</v>
      </c>
      <c r="U2004">
        <v>2</v>
      </c>
      <c r="V2004">
        <v>13</v>
      </c>
      <c r="W2004">
        <v>13</v>
      </c>
      <c r="X2004">
        <v>14</v>
      </c>
      <c r="Y2004">
        <v>15</v>
      </c>
      <c r="Z2004">
        <v>2</v>
      </c>
      <c r="AA2004">
        <v>5</v>
      </c>
      <c r="AB2004">
        <v>2</v>
      </c>
      <c r="AC2004">
        <v>1</v>
      </c>
      <c r="AD2004">
        <v>6</v>
      </c>
      <c r="AE2004">
        <v>2</v>
      </c>
      <c r="AF2004">
        <v>3</v>
      </c>
      <c r="AG2004">
        <v>2</v>
      </c>
      <c r="AH2004">
        <v>1</v>
      </c>
      <c r="AI2004">
        <v>1</v>
      </c>
    </row>
    <row r="2005" spans="1:35" hidden="1" x14ac:dyDescent="0.25">
      <c r="A2005">
        <v>2018</v>
      </c>
      <c r="B2005" s="1">
        <v>43335</v>
      </c>
      <c r="C2005">
        <v>20</v>
      </c>
      <c r="D2005">
        <v>18671</v>
      </c>
      <c r="E2005">
        <v>55000</v>
      </c>
      <c r="F2005" t="s">
        <v>38</v>
      </c>
      <c r="G2005" t="s">
        <v>37</v>
      </c>
      <c r="H2005" t="s">
        <v>420</v>
      </c>
      <c r="I2005" t="s">
        <v>328</v>
      </c>
      <c r="J2005">
        <v>9</v>
      </c>
      <c r="K2005">
        <v>2</v>
      </c>
      <c r="L2005">
        <v>12950000</v>
      </c>
      <c r="M2005">
        <v>23700000</v>
      </c>
      <c r="N2005" t="s">
        <v>129</v>
      </c>
      <c r="O2005">
        <v>27</v>
      </c>
      <c r="P2005">
        <v>0</v>
      </c>
      <c r="Q2005">
        <v>1</v>
      </c>
      <c r="R2005">
        <v>0</v>
      </c>
      <c r="S2005">
        <v>1</v>
      </c>
      <c r="T2005">
        <v>3</v>
      </c>
      <c r="U2005">
        <v>5</v>
      </c>
      <c r="V2005">
        <v>15</v>
      </c>
      <c r="W2005">
        <v>18</v>
      </c>
      <c r="X2005">
        <v>19</v>
      </c>
      <c r="Y2005">
        <v>15</v>
      </c>
      <c r="Z2005">
        <v>4</v>
      </c>
      <c r="AA2005">
        <v>2</v>
      </c>
      <c r="AB2005">
        <v>0</v>
      </c>
      <c r="AC2005">
        <v>1</v>
      </c>
      <c r="AD2005">
        <v>2</v>
      </c>
      <c r="AE2005">
        <v>5</v>
      </c>
      <c r="AF2005">
        <v>10</v>
      </c>
      <c r="AG2005">
        <v>5</v>
      </c>
      <c r="AH2005">
        <v>-1</v>
      </c>
      <c r="AI2005">
        <v>0</v>
      </c>
    </row>
    <row r="2006" spans="1:35" hidden="1" x14ac:dyDescent="0.25">
      <c r="A2006">
        <v>2018</v>
      </c>
      <c r="B2006" s="1">
        <v>43419</v>
      </c>
      <c r="C2006">
        <v>34</v>
      </c>
      <c r="D2006">
        <v>17825</v>
      </c>
      <c r="E2006">
        <v>55000</v>
      </c>
      <c r="F2006" t="s">
        <v>38</v>
      </c>
      <c r="G2006" t="s">
        <v>361</v>
      </c>
      <c r="H2006" t="s">
        <v>420</v>
      </c>
      <c r="I2006" t="s">
        <v>362</v>
      </c>
      <c r="J2006">
        <v>11</v>
      </c>
      <c r="K2006">
        <v>14</v>
      </c>
      <c r="L2006">
        <v>13600000</v>
      </c>
      <c r="M2006">
        <v>6780000</v>
      </c>
      <c r="N2006" t="s">
        <v>168</v>
      </c>
      <c r="O2006" t="s">
        <v>98</v>
      </c>
      <c r="P2006">
        <v>2</v>
      </c>
      <c r="Q2006">
        <v>1</v>
      </c>
      <c r="R2006">
        <v>1</v>
      </c>
      <c r="S2006">
        <v>1</v>
      </c>
      <c r="T2006">
        <v>10</v>
      </c>
      <c r="U2006">
        <v>0</v>
      </c>
      <c r="V2006">
        <v>10</v>
      </c>
      <c r="W2006">
        <v>12</v>
      </c>
      <c r="X2006">
        <v>13</v>
      </c>
      <c r="Y2006">
        <v>10</v>
      </c>
      <c r="Z2006">
        <v>2</v>
      </c>
      <c r="AA2006">
        <v>10</v>
      </c>
      <c r="AB2006">
        <v>0</v>
      </c>
      <c r="AC2006">
        <v>1</v>
      </c>
      <c r="AD2006">
        <v>9</v>
      </c>
      <c r="AE2006">
        <v>2</v>
      </c>
      <c r="AF2006">
        <v>2</v>
      </c>
      <c r="AG2006">
        <v>1</v>
      </c>
      <c r="AH2006">
        <v>1</v>
      </c>
      <c r="AI2006">
        <v>1</v>
      </c>
    </row>
    <row r="2007" spans="1:35" hidden="1" x14ac:dyDescent="0.25">
      <c r="A2007">
        <v>2018</v>
      </c>
      <c r="B2007" s="1">
        <v>43359</v>
      </c>
      <c r="C2007">
        <v>25</v>
      </c>
      <c r="D2007">
        <v>54288</v>
      </c>
      <c r="E2007">
        <v>71400</v>
      </c>
      <c r="F2007" t="s">
        <v>82</v>
      </c>
      <c r="G2007" t="s">
        <v>77</v>
      </c>
      <c r="H2007" t="s">
        <v>378</v>
      </c>
      <c r="I2007" t="s">
        <v>341</v>
      </c>
      <c r="J2007">
        <v>16</v>
      </c>
      <c r="K2007">
        <v>4</v>
      </c>
      <c r="L2007">
        <v>9700000</v>
      </c>
      <c r="M2007">
        <v>47550000</v>
      </c>
      <c r="N2007" t="s">
        <v>74</v>
      </c>
      <c r="O2007" t="s">
        <v>66</v>
      </c>
      <c r="P2007">
        <v>1</v>
      </c>
      <c r="Q2007">
        <v>1</v>
      </c>
      <c r="R2007">
        <v>1</v>
      </c>
      <c r="S2007">
        <v>0</v>
      </c>
      <c r="T2007">
        <v>6</v>
      </c>
      <c r="U2007">
        <v>13</v>
      </c>
      <c r="V2007">
        <v>17</v>
      </c>
      <c r="W2007">
        <v>15</v>
      </c>
      <c r="X2007">
        <v>16</v>
      </c>
      <c r="Y2007">
        <v>17</v>
      </c>
      <c r="Z2007">
        <v>6</v>
      </c>
      <c r="AA2007">
        <v>4</v>
      </c>
      <c r="AB2007">
        <v>0</v>
      </c>
      <c r="AC2007">
        <v>1</v>
      </c>
      <c r="AD2007">
        <v>5</v>
      </c>
      <c r="AE2007">
        <v>6</v>
      </c>
      <c r="AF2007">
        <v>8</v>
      </c>
      <c r="AG2007">
        <v>11</v>
      </c>
      <c r="AH2007">
        <v>0</v>
      </c>
      <c r="AI2007">
        <v>0</v>
      </c>
    </row>
    <row r="2008" spans="1:35" hidden="1" x14ac:dyDescent="0.25">
      <c r="A2008">
        <v>2018</v>
      </c>
      <c r="B2008" s="1">
        <v>43324</v>
      </c>
      <c r="C2008">
        <v>18</v>
      </c>
      <c r="D2008">
        <v>22062</v>
      </c>
      <c r="E2008">
        <v>23018</v>
      </c>
      <c r="F2008" t="s">
        <v>89</v>
      </c>
      <c r="G2008" t="s">
        <v>419</v>
      </c>
      <c r="H2008" t="s">
        <v>433</v>
      </c>
      <c r="I2008" t="s">
        <v>71</v>
      </c>
      <c r="J2008">
        <v>5</v>
      </c>
      <c r="K2008">
        <v>16</v>
      </c>
      <c r="L2008">
        <v>11200000</v>
      </c>
      <c r="M2008">
        <v>40750000</v>
      </c>
      <c r="N2008" t="s">
        <v>120</v>
      </c>
      <c r="O2008" t="s">
        <v>252</v>
      </c>
      <c r="P2008">
        <v>3</v>
      </c>
      <c r="Q2008">
        <v>1</v>
      </c>
      <c r="R2008">
        <v>1</v>
      </c>
      <c r="S2008">
        <v>1</v>
      </c>
      <c r="T2008">
        <v>3</v>
      </c>
      <c r="U2008">
        <v>4</v>
      </c>
      <c r="V2008">
        <v>17</v>
      </c>
      <c r="W2008">
        <v>8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4</v>
      </c>
      <c r="AE2008">
        <v>1</v>
      </c>
      <c r="AF2008">
        <v>5</v>
      </c>
      <c r="AG2008">
        <v>4</v>
      </c>
      <c r="AH2008">
        <v>2</v>
      </c>
      <c r="AI2008">
        <v>1</v>
      </c>
    </row>
    <row r="2009" spans="1:35" hidden="1" x14ac:dyDescent="0.25">
      <c r="A2009">
        <v>2018</v>
      </c>
      <c r="B2009" s="1">
        <v>43336</v>
      </c>
      <c r="C2009">
        <v>20</v>
      </c>
      <c r="D2009">
        <v>51878</v>
      </c>
      <c r="E2009">
        <v>78838</v>
      </c>
      <c r="F2009" t="s">
        <v>77</v>
      </c>
      <c r="G2009" t="s">
        <v>94</v>
      </c>
      <c r="H2009" t="s">
        <v>341</v>
      </c>
      <c r="I2009" t="s">
        <v>455</v>
      </c>
      <c r="J2009">
        <v>3</v>
      </c>
      <c r="K2009">
        <v>18</v>
      </c>
      <c r="L2009">
        <v>51500000</v>
      </c>
      <c r="M2009">
        <v>9750000</v>
      </c>
      <c r="N2009" t="s">
        <v>73</v>
      </c>
      <c r="O2009" t="s">
        <v>220</v>
      </c>
      <c r="P2009">
        <v>1</v>
      </c>
      <c r="Q2009">
        <v>0</v>
      </c>
      <c r="R2009">
        <v>1</v>
      </c>
      <c r="S2009">
        <v>0</v>
      </c>
      <c r="T2009">
        <v>7</v>
      </c>
      <c r="U2009">
        <v>4</v>
      </c>
      <c r="V2009">
        <v>19</v>
      </c>
      <c r="W2009">
        <v>20</v>
      </c>
      <c r="X2009">
        <v>21</v>
      </c>
      <c r="Y2009">
        <v>20</v>
      </c>
      <c r="Z2009">
        <v>1</v>
      </c>
      <c r="AA2009">
        <v>6</v>
      </c>
      <c r="AB2009">
        <v>1</v>
      </c>
      <c r="AC2009">
        <v>1</v>
      </c>
      <c r="AD2009">
        <v>6</v>
      </c>
      <c r="AE2009">
        <v>1</v>
      </c>
      <c r="AF2009">
        <v>6</v>
      </c>
      <c r="AG2009">
        <v>2</v>
      </c>
      <c r="AH2009">
        <v>1</v>
      </c>
      <c r="AI2009">
        <v>1</v>
      </c>
    </row>
    <row r="2010" spans="1:35" hidden="1" x14ac:dyDescent="0.25">
      <c r="A2010">
        <v>2018</v>
      </c>
      <c r="B2010" s="1">
        <v>43366</v>
      </c>
      <c r="C2010">
        <v>26</v>
      </c>
      <c r="D2010">
        <v>39462</v>
      </c>
      <c r="E2010">
        <v>78838</v>
      </c>
      <c r="F2010" t="s">
        <v>77</v>
      </c>
      <c r="G2010" t="s">
        <v>89</v>
      </c>
      <c r="H2010" t="s">
        <v>341</v>
      </c>
      <c r="I2010" t="s">
        <v>433</v>
      </c>
      <c r="J2010">
        <v>4</v>
      </c>
      <c r="K2010">
        <v>6</v>
      </c>
      <c r="L2010">
        <v>43500000</v>
      </c>
      <c r="M2010">
        <v>14700000</v>
      </c>
      <c r="N2010" t="s">
        <v>209</v>
      </c>
      <c r="O2010" t="s">
        <v>174</v>
      </c>
      <c r="P2010">
        <v>2</v>
      </c>
      <c r="Q2010">
        <v>1</v>
      </c>
      <c r="R2010">
        <v>1</v>
      </c>
      <c r="S2010">
        <v>1</v>
      </c>
      <c r="T2010">
        <v>4</v>
      </c>
      <c r="U2010">
        <v>6</v>
      </c>
      <c r="V2010">
        <v>26</v>
      </c>
      <c r="W2010">
        <v>15</v>
      </c>
      <c r="X2010">
        <v>16</v>
      </c>
      <c r="Y2010">
        <v>28</v>
      </c>
      <c r="Z2010">
        <v>3</v>
      </c>
      <c r="AA2010">
        <v>0</v>
      </c>
      <c r="AB2010">
        <v>2</v>
      </c>
      <c r="AC2010">
        <v>1</v>
      </c>
      <c r="AD2010">
        <v>2</v>
      </c>
      <c r="AE2010">
        <v>4</v>
      </c>
      <c r="AF2010">
        <v>5</v>
      </c>
      <c r="AG2010">
        <v>3</v>
      </c>
      <c r="AH2010">
        <v>1</v>
      </c>
      <c r="AI2010">
        <v>1</v>
      </c>
    </row>
    <row r="2011" spans="1:35" hidden="1" x14ac:dyDescent="0.25">
      <c r="A2011">
        <v>2018</v>
      </c>
      <c r="B2011" s="1">
        <v>43333</v>
      </c>
      <c r="C2011">
        <v>19</v>
      </c>
      <c r="D2011">
        <v>15539</v>
      </c>
      <c r="E2011">
        <v>24584</v>
      </c>
      <c r="F2011" t="s">
        <v>82</v>
      </c>
      <c r="G2011" t="s">
        <v>361</v>
      </c>
      <c r="H2011" t="s">
        <v>464</v>
      </c>
      <c r="I2011" t="s">
        <v>362</v>
      </c>
      <c r="J2011">
        <v>14</v>
      </c>
      <c r="K2011">
        <v>19</v>
      </c>
      <c r="L2011">
        <v>15450000</v>
      </c>
      <c r="M2011">
        <v>6680000</v>
      </c>
      <c r="N2011" t="s">
        <v>208</v>
      </c>
      <c r="O2011" t="s">
        <v>66</v>
      </c>
      <c r="P2011">
        <v>1</v>
      </c>
      <c r="Q2011">
        <v>1</v>
      </c>
      <c r="R2011">
        <v>0</v>
      </c>
      <c r="S2011">
        <v>0</v>
      </c>
      <c r="T2011">
        <v>4</v>
      </c>
      <c r="U2011">
        <v>6</v>
      </c>
      <c r="V2011">
        <v>15</v>
      </c>
      <c r="W2011">
        <v>20</v>
      </c>
      <c r="X2011">
        <v>22</v>
      </c>
      <c r="Y2011">
        <v>15</v>
      </c>
      <c r="Z2011">
        <v>0</v>
      </c>
      <c r="AA2011">
        <v>4</v>
      </c>
      <c r="AB2011">
        <v>0</v>
      </c>
      <c r="AC2011">
        <v>2</v>
      </c>
      <c r="AD2011">
        <v>5</v>
      </c>
      <c r="AE2011">
        <v>1</v>
      </c>
      <c r="AF2011">
        <v>3</v>
      </c>
      <c r="AG2011">
        <v>5</v>
      </c>
      <c r="AH2011">
        <v>0</v>
      </c>
      <c r="AI2011">
        <v>0</v>
      </c>
    </row>
    <row r="2012" spans="1:35" hidden="1" x14ac:dyDescent="0.25">
      <c r="A2012">
        <v>2018</v>
      </c>
      <c r="B2012" s="1">
        <v>43400</v>
      </c>
      <c r="C2012">
        <v>31</v>
      </c>
      <c r="D2012">
        <v>8301</v>
      </c>
      <c r="E2012">
        <v>24584</v>
      </c>
      <c r="F2012" t="s">
        <v>82</v>
      </c>
      <c r="G2012" t="s">
        <v>37</v>
      </c>
      <c r="H2012" t="s">
        <v>378</v>
      </c>
      <c r="I2012" t="s">
        <v>328</v>
      </c>
      <c r="J2012">
        <v>15</v>
      </c>
      <c r="K2012">
        <v>3</v>
      </c>
      <c r="L2012">
        <v>11150000</v>
      </c>
      <c r="M2012">
        <v>22300000</v>
      </c>
      <c r="N2012" t="s">
        <v>128</v>
      </c>
      <c r="O2012" t="s">
        <v>128</v>
      </c>
      <c r="P2012">
        <v>1</v>
      </c>
      <c r="Q2012">
        <v>1</v>
      </c>
      <c r="R2012">
        <v>0</v>
      </c>
      <c r="S2012">
        <v>0</v>
      </c>
      <c r="T2012">
        <v>6</v>
      </c>
      <c r="U2012">
        <v>4</v>
      </c>
      <c r="V2012">
        <v>17</v>
      </c>
      <c r="W2012">
        <v>18</v>
      </c>
      <c r="X2012">
        <v>20</v>
      </c>
      <c r="Y2012">
        <v>18</v>
      </c>
      <c r="Z2012">
        <v>7</v>
      </c>
      <c r="AA2012">
        <v>7</v>
      </c>
      <c r="AB2012">
        <v>1</v>
      </c>
      <c r="AC2012">
        <v>2</v>
      </c>
      <c r="AD2012">
        <v>5</v>
      </c>
      <c r="AE2012">
        <v>3</v>
      </c>
      <c r="AF2012">
        <v>5</v>
      </c>
      <c r="AG2012">
        <v>0</v>
      </c>
      <c r="AH2012">
        <v>0</v>
      </c>
      <c r="AI2012">
        <v>0</v>
      </c>
    </row>
    <row r="2013" spans="1:35" hidden="1" x14ac:dyDescent="0.25">
      <c r="A2013">
        <v>2018</v>
      </c>
      <c r="B2013" s="1">
        <v>43426</v>
      </c>
      <c r="C2013">
        <v>36</v>
      </c>
      <c r="D2013">
        <v>14917</v>
      </c>
      <c r="E2013">
        <v>24584</v>
      </c>
      <c r="F2013" t="s">
        <v>82</v>
      </c>
      <c r="G2013" t="s">
        <v>62</v>
      </c>
      <c r="H2013" t="s">
        <v>378</v>
      </c>
      <c r="I2013" t="s">
        <v>461</v>
      </c>
      <c r="J2013">
        <v>15</v>
      </c>
      <c r="K2013">
        <v>5</v>
      </c>
      <c r="L2013">
        <v>12700000</v>
      </c>
      <c r="M2013">
        <v>34250000</v>
      </c>
      <c r="N2013" t="s">
        <v>66</v>
      </c>
      <c r="O2013" t="s">
        <v>107</v>
      </c>
      <c r="P2013">
        <v>2</v>
      </c>
      <c r="Q2013">
        <v>0</v>
      </c>
      <c r="R2013">
        <v>1</v>
      </c>
      <c r="S2013">
        <v>0</v>
      </c>
      <c r="T2013">
        <v>3</v>
      </c>
      <c r="U2013">
        <v>7</v>
      </c>
      <c r="V2013">
        <v>19</v>
      </c>
      <c r="W2013">
        <v>22</v>
      </c>
      <c r="X2013">
        <v>24</v>
      </c>
      <c r="Y2013">
        <v>20</v>
      </c>
      <c r="Z2013">
        <v>3</v>
      </c>
      <c r="AA2013">
        <v>0</v>
      </c>
      <c r="AB2013">
        <v>1</v>
      </c>
      <c r="AC2013">
        <v>2</v>
      </c>
      <c r="AD2013">
        <v>2</v>
      </c>
      <c r="AE2013">
        <v>3</v>
      </c>
      <c r="AF2013">
        <v>4</v>
      </c>
      <c r="AG2013">
        <v>5</v>
      </c>
      <c r="AH2013">
        <v>2</v>
      </c>
      <c r="AI2013">
        <v>1</v>
      </c>
    </row>
    <row r="2014" spans="1:35" hidden="1" x14ac:dyDescent="0.25">
      <c r="A2014">
        <v>2018</v>
      </c>
      <c r="B2014" s="1">
        <v>43429</v>
      </c>
      <c r="C2014">
        <v>37</v>
      </c>
      <c r="D2014">
        <v>21066</v>
      </c>
      <c r="E2014">
        <v>24584</v>
      </c>
      <c r="F2014" t="s">
        <v>82</v>
      </c>
      <c r="G2014" t="s">
        <v>95</v>
      </c>
      <c r="H2014" t="s">
        <v>378</v>
      </c>
      <c r="I2014" t="s">
        <v>336</v>
      </c>
      <c r="J2014">
        <v>14</v>
      </c>
      <c r="K2014">
        <v>1</v>
      </c>
      <c r="L2014">
        <v>12700000</v>
      </c>
      <c r="M2014">
        <v>41750000</v>
      </c>
      <c r="N2014" t="s">
        <v>66</v>
      </c>
      <c r="O2014" t="s">
        <v>137</v>
      </c>
      <c r="P2014">
        <v>0</v>
      </c>
      <c r="Q2014">
        <v>1</v>
      </c>
      <c r="R2014">
        <v>0</v>
      </c>
      <c r="S2014">
        <v>0</v>
      </c>
      <c r="T2014">
        <v>5</v>
      </c>
      <c r="U2014">
        <v>14</v>
      </c>
      <c r="V2014">
        <v>16</v>
      </c>
      <c r="W2014">
        <v>15</v>
      </c>
      <c r="X2014">
        <v>17</v>
      </c>
      <c r="Y2014">
        <v>16</v>
      </c>
      <c r="Z2014">
        <v>7</v>
      </c>
      <c r="AA2014">
        <v>5</v>
      </c>
      <c r="AB2014">
        <v>0</v>
      </c>
      <c r="AC2014">
        <v>2</v>
      </c>
      <c r="AD2014">
        <v>3</v>
      </c>
      <c r="AE2014">
        <v>2</v>
      </c>
      <c r="AF2014">
        <v>1</v>
      </c>
      <c r="AG2014">
        <v>4</v>
      </c>
      <c r="AH2014">
        <v>-1</v>
      </c>
      <c r="AI2014">
        <v>0</v>
      </c>
    </row>
    <row r="2015" spans="1:35" hidden="1" x14ac:dyDescent="0.25">
      <c r="A2015">
        <v>2018</v>
      </c>
      <c r="B2015" s="1">
        <v>43366</v>
      </c>
      <c r="C2015">
        <v>26</v>
      </c>
      <c r="D2015">
        <v>9994</v>
      </c>
      <c r="E2015">
        <v>35632</v>
      </c>
      <c r="F2015" t="s">
        <v>94</v>
      </c>
      <c r="G2015" t="s">
        <v>51</v>
      </c>
      <c r="H2015" t="s">
        <v>455</v>
      </c>
      <c r="I2015" t="s">
        <v>323</v>
      </c>
      <c r="J2015">
        <v>13</v>
      </c>
      <c r="K2015">
        <v>15</v>
      </c>
      <c r="L2015">
        <v>6500000</v>
      </c>
      <c r="M2015">
        <v>12100000</v>
      </c>
      <c r="N2015" t="s">
        <v>372</v>
      </c>
      <c r="O2015" t="s">
        <v>228</v>
      </c>
      <c r="P2015">
        <v>3</v>
      </c>
      <c r="Q2015">
        <v>4</v>
      </c>
      <c r="R2015">
        <v>1</v>
      </c>
      <c r="S2015">
        <v>2</v>
      </c>
      <c r="T2015">
        <v>3</v>
      </c>
      <c r="U2015">
        <v>1</v>
      </c>
      <c r="V2015">
        <v>16</v>
      </c>
      <c r="W2015">
        <v>15</v>
      </c>
      <c r="X2015">
        <v>17</v>
      </c>
      <c r="Y2015">
        <v>18</v>
      </c>
      <c r="Z2015">
        <v>5</v>
      </c>
      <c r="AA2015">
        <v>0</v>
      </c>
      <c r="AB2015">
        <v>2</v>
      </c>
      <c r="AC2015">
        <v>2</v>
      </c>
      <c r="AD2015">
        <v>3</v>
      </c>
      <c r="AE2015">
        <v>8</v>
      </c>
      <c r="AF2015">
        <v>4</v>
      </c>
      <c r="AG2015">
        <v>2</v>
      </c>
      <c r="AH2015">
        <v>-1</v>
      </c>
      <c r="AI2015">
        <v>0</v>
      </c>
    </row>
    <row r="2016" spans="1:35" hidden="1" x14ac:dyDescent="0.25">
      <c r="A2016">
        <v>2018</v>
      </c>
      <c r="B2016" s="1">
        <v>43407</v>
      </c>
      <c r="C2016">
        <v>32</v>
      </c>
      <c r="D2016">
        <v>14275</v>
      </c>
      <c r="E2016">
        <v>82238</v>
      </c>
      <c r="F2016" t="s">
        <v>55</v>
      </c>
      <c r="G2016" t="s">
        <v>82</v>
      </c>
      <c r="H2016" t="s">
        <v>458</v>
      </c>
      <c r="I2016" t="s">
        <v>378</v>
      </c>
      <c r="J2016">
        <v>10</v>
      </c>
      <c r="K2016">
        <v>14</v>
      </c>
      <c r="L2016">
        <v>12650000</v>
      </c>
      <c r="M2016">
        <v>11150000</v>
      </c>
      <c r="N2016" t="s">
        <v>228</v>
      </c>
      <c r="O2016" t="s">
        <v>128</v>
      </c>
      <c r="P2016">
        <v>0</v>
      </c>
      <c r="Q2016">
        <v>1</v>
      </c>
      <c r="R2016">
        <v>0</v>
      </c>
      <c r="S2016">
        <v>0</v>
      </c>
      <c r="T2016">
        <v>9</v>
      </c>
      <c r="U2016">
        <v>2</v>
      </c>
      <c r="V2016">
        <v>14</v>
      </c>
      <c r="W2016">
        <v>11</v>
      </c>
      <c r="X2016">
        <v>13</v>
      </c>
      <c r="Y2016">
        <v>15</v>
      </c>
      <c r="Z2016">
        <v>3</v>
      </c>
      <c r="AA2016">
        <v>3</v>
      </c>
      <c r="AB2016">
        <v>1</v>
      </c>
      <c r="AC2016">
        <v>2</v>
      </c>
      <c r="AD2016">
        <v>3</v>
      </c>
      <c r="AE2016">
        <v>4</v>
      </c>
      <c r="AF2016">
        <v>8</v>
      </c>
      <c r="AG2016">
        <v>2</v>
      </c>
      <c r="AH2016">
        <v>-1</v>
      </c>
      <c r="AI2016">
        <v>0</v>
      </c>
    </row>
    <row r="2017" spans="1:35" hidden="1" x14ac:dyDescent="0.25">
      <c r="A2017">
        <v>2018</v>
      </c>
      <c r="B2017" s="1">
        <v>43415</v>
      </c>
      <c r="C2017">
        <v>33</v>
      </c>
      <c r="D2017">
        <v>12256</v>
      </c>
      <c r="E2017">
        <v>82238</v>
      </c>
      <c r="F2017" t="s">
        <v>55</v>
      </c>
      <c r="G2017" t="s">
        <v>391</v>
      </c>
      <c r="H2017" t="s">
        <v>458</v>
      </c>
      <c r="I2017" t="s">
        <v>462</v>
      </c>
      <c r="J2017">
        <v>10</v>
      </c>
      <c r="K2017">
        <v>16</v>
      </c>
      <c r="L2017">
        <v>11150000</v>
      </c>
      <c r="M2017">
        <v>9250000</v>
      </c>
      <c r="N2017" t="s">
        <v>239</v>
      </c>
      <c r="O2017" t="s">
        <v>120</v>
      </c>
      <c r="P2017">
        <v>0</v>
      </c>
      <c r="Q2017">
        <v>0</v>
      </c>
      <c r="R2017">
        <v>0</v>
      </c>
      <c r="S2017">
        <v>0</v>
      </c>
      <c r="T2017">
        <v>4</v>
      </c>
      <c r="U2017">
        <v>5</v>
      </c>
      <c r="V2017">
        <v>18</v>
      </c>
      <c r="W2017">
        <v>14</v>
      </c>
      <c r="X2017">
        <v>16</v>
      </c>
      <c r="Y2017">
        <v>21</v>
      </c>
      <c r="Z2017">
        <v>0</v>
      </c>
      <c r="AA2017">
        <v>9</v>
      </c>
      <c r="AB2017">
        <v>3</v>
      </c>
      <c r="AC2017">
        <v>2</v>
      </c>
      <c r="AD2017">
        <v>9</v>
      </c>
      <c r="AE2017">
        <v>0</v>
      </c>
      <c r="AF2017">
        <v>6</v>
      </c>
      <c r="AG2017">
        <v>2</v>
      </c>
      <c r="AH2017">
        <v>0</v>
      </c>
      <c r="AI2017">
        <v>0</v>
      </c>
    </row>
    <row r="2018" spans="1:35" hidden="1" x14ac:dyDescent="0.25">
      <c r="A2018">
        <v>2018</v>
      </c>
      <c r="B2018" s="1">
        <v>43346</v>
      </c>
      <c r="C2018">
        <v>22</v>
      </c>
      <c r="D2018">
        <v>4546</v>
      </c>
      <c r="E2018">
        <v>22600</v>
      </c>
      <c r="F2018" t="s">
        <v>394</v>
      </c>
      <c r="G2018" t="s">
        <v>95</v>
      </c>
      <c r="H2018" t="s">
        <v>340</v>
      </c>
      <c r="I2018" t="s">
        <v>336</v>
      </c>
      <c r="J2018">
        <v>16</v>
      </c>
      <c r="K2018">
        <v>4</v>
      </c>
      <c r="L2018">
        <v>7000000</v>
      </c>
      <c r="M2018">
        <v>30900000</v>
      </c>
      <c r="N2018">
        <v>28</v>
      </c>
      <c r="O2018">
        <v>28</v>
      </c>
      <c r="P2018">
        <v>1</v>
      </c>
      <c r="Q2018">
        <v>2</v>
      </c>
      <c r="R2018">
        <v>0</v>
      </c>
      <c r="S2018">
        <v>1</v>
      </c>
      <c r="T2018">
        <v>3</v>
      </c>
      <c r="U2018">
        <v>5</v>
      </c>
      <c r="V2018">
        <v>13</v>
      </c>
      <c r="W2018">
        <v>21</v>
      </c>
      <c r="X2018">
        <v>23</v>
      </c>
      <c r="Y2018">
        <v>14</v>
      </c>
      <c r="Z2018">
        <v>2</v>
      </c>
      <c r="AA2018">
        <v>1</v>
      </c>
      <c r="AB2018">
        <v>1</v>
      </c>
      <c r="AC2018">
        <v>2</v>
      </c>
      <c r="AD2018">
        <v>2</v>
      </c>
      <c r="AE2018">
        <v>4</v>
      </c>
      <c r="AF2018">
        <v>6</v>
      </c>
      <c r="AG2018">
        <v>6</v>
      </c>
      <c r="AH2018">
        <v>-1</v>
      </c>
      <c r="AI2018">
        <v>0</v>
      </c>
    </row>
    <row r="2019" spans="1:35" hidden="1" x14ac:dyDescent="0.25">
      <c r="A2019">
        <v>2018</v>
      </c>
      <c r="B2019" s="1">
        <v>43361</v>
      </c>
      <c r="C2019">
        <v>25</v>
      </c>
      <c r="D2019">
        <v>16981</v>
      </c>
      <c r="E2019">
        <v>22600</v>
      </c>
      <c r="F2019" t="s">
        <v>394</v>
      </c>
      <c r="G2019" t="s">
        <v>37</v>
      </c>
      <c r="H2019" t="s">
        <v>340</v>
      </c>
      <c r="I2019" t="s">
        <v>328</v>
      </c>
      <c r="J2019">
        <v>17</v>
      </c>
      <c r="K2019">
        <v>1</v>
      </c>
      <c r="L2019">
        <v>8250000</v>
      </c>
      <c r="M2019">
        <v>22600000</v>
      </c>
      <c r="N2019" t="s">
        <v>128</v>
      </c>
      <c r="O2019" t="s">
        <v>163</v>
      </c>
      <c r="P2019">
        <v>2</v>
      </c>
      <c r="Q2019">
        <v>1</v>
      </c>
      <c r="R2019">
        <v>1</v>
      </c>
      <c r="S2019">
        <v>1</v>
      </c>
      <c r="T2019">
        <v>6</v>
      </c>
      <c r="U2019">
        <v>4</v>
      </c>
      <c r="V2019">
        <v>9</v>
      </c>
      <c r="W2019">
        <v>11</v>
      </c>
      <c r="X2019">
        <v>13</v>
      </c>
      <c r="Y2019">
        <v>9</v>
      </c>
      <c r="Z2019">
        <v>3</v>
      </c>
      <c r="AA2019">
        <v>3</v>
      </c>
      <c r="AB2019">
        <v>0</v>
      </c>
      <c r="AC2019">
        <v>2</v>
      </c>
      <c r="AD2019">
        <v>5</v>
      </c>
      <c r="AE2019">
        <v>4</v>
      </c>
      <c r="AF2019">
        <v>8</v>
      </c>
      <c r="AG2019">
        <v>8</v>
      </c>
      <c r="AH2019">
        <v>1</v>
      </c>
      <c r="AI2019">
        <v>1</v>
      </c>
    </row>
    <row r="2020" spans="1:35" hidden="1" x14ac:dyDescent="0.25">
      <c r="A2020">
        <v>2018</v>
      </c>
      <c r="B2020" s="1">
        <v>43436</v>
      </c>
      <c r="C2020">
        <v>38</v>
      </c>
      <c r="D2020">
        <v>19992</v>
      </c>
      <c r="E2020">
        <v>22600</v>
      </c>
      <c r="F2020" t="s">
        <v>394</v>
      </c>
      <c r="G2020" t="s">
        <v>62</v>
      </c>
      <c r="H2020" t="s">
        <v>444</v>
      </c>
      <c r="I2020" t="s">
        <v>461</v>
      </c>
      <c r="J2020">
        <v>16</v>
      </c>
      <c r="K2020">
        <v>5</v>
      </c>
      <c r="L2020">
        <v>11750000</v>
      </c>
      <c r="M2020">
        <v>17150000</v>
      </c>
      <c r="N2020" t="s">
        <v>174</v>
      </c>
      <c r="O2020" t="s">
        <v>73</v>
      </c>
      <c r="P2020">
        <v>1</v>
      </c>
      <c r="Q2020">
        <v>0</v>
      </c>
      <c r="R2020">
        <v>0</v>
      </c>
      <c r="S2020">
        <v>0</v>
      </c>
      <c r="T2020">
        <v>5</v>
      </c>
      <c r="U2020">
        <v>1</v>
      </c>
      <c r="V2020">
        <v>9</v>
      </c>
      <c r="W2020">
        <v>22</v>
      </c>
      <c r="X2020">
        <v>24</v>
      </c>
      <c r="Y2020">
        <v>11</v>
      </c>
      <c r="Z2020">
        <v>5</v>
      </c>
      <c r="AA2020">
        <v>9</v>
      </c>
      <c r="AB2020">
        <v>2</v>
      </c>
      <c r="AC2020">
        <v>2</v>
      </c>
      <c r="AD2020">
        <v>2</v>
      </c>
      <c r="AE2020">
        <v>1</v>
      </c>
      <c r="AF2020">
        <v>1</v>
      </c>
      <c r="AG2020">
        <v>2</v>
      </c>
      <c r="AH2020">
        <v>1</v>
      </c>
      <c r="AI2020">
        <v>1</v>
      </c>
    </row>
    <row r="2021" spans="1:35" hidden="1" x14ac:dyDescent="0.25">
      <c r="A2021">
        <v>2018</v>
      </c>
      <c r="B2021" s="1">
        <v>43325</v>
      </c>
      <c r="C2021">
        <v>18</v>
      </c>
      <c r="D2021">
        <v>30012</v>
      </c>
      <c r="E2021">
        <v>43600</v>
      </c>
      <c r="F2021" t="s">
        <v>95</v>
      </c>
      <c r="G2021" t="s">
        <v>82</v>
      </c>
      <c r="J2021">
        <v>6</v>
      </c>
      <c r="K2021">
        <v>13</v>
      </c>
      <c r="P2021">
        <v>1</v>
      </c>
      <c r="Q2021">
        <v>0</v>
      </c>
      <c r="R2021">
        <v>0</v>
      </c>
      <c r="S2021">
        <v>0</v>
      </c>
      <c r="T2021">
        <v>5</v>
      </c>
      <c r="U2021">
        <v>3</v>
      </c>
      <c r="V2021">
        <v>18</v>
      </c>
      <c r="W2021">
        <v>16</v>
      </c>
      <c r="X2021">
        <v>18</v>
      </c>
      <c r="Y2021">
        <v>21</v>
      </c>
      <c r="Z2021">
        <v>1</v>
      </c>
      <c r="AA2021">
        <v>4</v>
      </c>
      <c r="AB2021">
        <v>3</v>
      </c>
      <c r="AC2021">
        <v>2</v>
      </c>
      <c r="AD2021">
        <v>5</v>
      </c>
      <c r="AE2021">
        <v>1</v>
      </c>
      <c r="AF2021">
        <v>3</v>
      </c>
      <c r="AG2021">
        <v>5</v>
      </c>
      <c r="AH2021">
        <v>1</v>
      </c>
      <c r="AI2021">
        <v>1</v>
      </c>
    </row>
    <row r="2022" spans="1:35" hidden="1" x14ac:dyDescent="0.25">
      <c r="A2022">
        <v>2018</v>
      </c>
      <c r="B2022" s="1">
        <v>43331</v>
      </c>
      <c r="C2022">
        <v>19</v>
      </c>
      <c r="D2022">
        <v>8470</v>
      </c>
      <c r="E2022">
        <v>46931</v>
      </c>
      <c r="F2022" t="s">
        <v>51</v>
      </c>
      <c r="G2022" t="s">
        <v>89</v>
      </c>
      <c r="H2022" t="s">
        <v>465</v>
      </c>
      <c r="I2022" t="s">
        <v>433</v>
      </c>
      <c r="J2022">
        <v>11</v>
      </c>
      <c r="K2022">
        <v>5</v>
      </c>
      <c r="L2022">
        <v>11700000</v>
      </c>
      <c r="M2022">
        <v>15850000</v>
      </c>
      <c r="N2022" t="s">
        <v>80</v>
      </c>
      <c r="O2022" t="s">
        <v>134</v>
      </c>
      <c r="P2022">
        <v>0</v>
      </c>
      <c r="Q2022">
        <v>3</v>
      </c>
      <c r="R2022">
        <v>0</v>
      </c>
      <c r="S2022">
        <v>0</v>
      </c>
      <c r="T2022">
        <v>4</v>
      </c>
      <c r="U2022">
        <v>3</v>
      </c>
      <c r="V2022">
        <v>13</v>
      </c>
      <c r="W2022">
        <v>12</v>
      </c>
      <c r="X2022">
        <v>14</v>
      </c>
      <c r="Y2022">
        <v>15</v>
      </c>
      <c r="Z2022">
        <v>4</v>
      </c>
      <c r="AA2022">
        <v>3</v>
      </c>
      <c r="AB2022">
        <v>2</v>
      </c>
      <c r="AC2022">
        <v>2</v>
      </c>
      <c r="AD2022">
        <v>5</v>
      </c>
      <c r="AE2022">
        <v>8</v>
      </c>
      <c r="AF2022">
        <v>3</v>
      </c>
      <c r="AG2022">
        <v>6</v>
      </c>
      <c r="AH2022">
        <v>-3</v>
      </c>
      <c r="AI2022">
        <v>0</v>
      </c>
    </row>
    <row r="2023" spans="1:35" hidden="1" x14ac:dyDescent="0.25">
      <c r="A2023">
        <v>2018</v>
      </c>
      <c r="B2023" s="1">
        <v>43373</v>
      </c>
      <c r="C2023">
        <v>27</v>
      </c>
      <c r="D2023">
        <v>19976</v>
      </c>
      <c r="E2023">
        <v>46931</v>
      </c>
      <c r="F2023" t="s">
        <v>51</v>
      </c>
      <c r="G2023" t="s">
        <v>62</v>
      </c>
      <c r="H2023" t="s">
        <v>323</v>
      </c>
      <c r="I2023" t="s">
        <v>342</v>
      </c>
      <c r="J2023">
        <v>12</v>
      </c>
      <c r="K2023">
        <v>1</v>
      </c>
      <c r="L2023">
        <v>12100000</v>
      </c>
      <c r="M2023">
        <v>27650000</v>
      </c>
      <c r="N2023" t="s">
        <v>228</v>
      </c>
      <c r="O2023" t="s">
        <v>59</v>
      </c>
      <c r="P2023">
        <v>2</v>
      </c>
      <c r="Q2023">
        <v>2</v>
      </c>
      <c r="R2023">
        <v>2</v>
      </c>
      <c r="S2023">
        <v>1</v>
      </c>
      <c r="T2023">
        <v>7</v>
      </c>
      <c r="U2023">
        <v>7</v>
      </c>
      <c r="V2023">
        <v>20</v>
      </c>
      <c r="W2023">
        <v>18</v>
      </c>
      <c r="X2023">
        <v>20</v>
      </c>
      <c r="Y2023">
        <v>21</v>
      </c>
      <c r="Z2023">
        <v>5</v>
      </c>
      <c r="AA2023">
        <v>3</v>
      </c>
      <c r="AB2023">
        <v>1</v>
      </c>
      <c r="AC2023">
        <v>2</v>
      </c>
      <c r="AD2023">
        <v>5</v>
      </c>
      <c r="AE2023">
        <v>7</v>
      </c>
      <c r="AF2023">
        <v>4</v>
      </c>
      <c r="AG2023">
        <v>3</v>
      </c>
      <c r="AH2023">
        <v>0</v>
      </c>
      <c r="AI2023">
        <v>0</v>
      </c>
    </row>
    <row r="2024" spans="1:35" hidden="1" x14ac:dyDescent="0.25">
      <c r="A2024">
        <v>2018</v>
      </c>
      <c r="B2024" s="1">
        <v>43414</v>
      </c>
      <c r="C2024">
        <v>33</v>
      </c>
      <c r="D2024">
        <v>19267</v>
      </c>
      <c r="E2024">
        <v>46931</v>
      </c>
      <c r="F2024" t="s">
        <v>51</v>
      </c>
      <c r="G2024" t="s">
        <v>77</v>
      </c>
      <c r="H2024" t="s">
        <v>323</v>
      </c>
      <c r="I2024" t="s">
        <v>315</v>
      </c>
      <c r="J2024">
        <v>14</v>
      </c>
      <c r="K2024">
        <v>3</v>
      </c>
      <c r="L2024">
        <v>16150000</v>
      </c>
      <c r="M2024">
        <v>45550000</v>
      </c>
      <c r="N2024" t="s">
        <v>239</v>
      </c>
      <c r="O2024" t="s">
        <v>209</v>
      </c>
      <c r="P2024">
        <v>2</v>
      </c>
      <c r="Q2024">
        <v>1</v>
      </c>
      <c r="R2024">
        <v>2</v>
      </c>
      <c r="S2024">
        <v>0</v>
      </c>
      <c r="T2024">
        <v>4</v>
      </c>
      <c r="U2024">
        <v>3</v>
      </c>
      <c r="V2024">
        <v>26</v>
      </c>
      <c r="W2024">
        <v>16</v>
      </c>
      <c r="X2024">
        <v>18</v>
      </c>
      <c r="Y2024">
        <v>28</v>
      </c>
      <c r="Z2024">
        <v>2</v>
      </c>
      <c r="AA2024">
        <v>2</v>
      </c>
      <c r="AB2024">
        <v>2</v>
      </c>
      <c r="AC2024">
        <v>2</v>
      </c>
      <c r="AD2024">
        <v>4</v>
      </c>
      <c r="AE2024">
        <v>3</v>
      </c>
      <c r="AF2024">
        <v>5</v>
      </c>
      <c r="AG2024">
        <v>7</v>
      </c>
      <c r="AH2024">
        <v>1</v>
      </c>
      <c r="AI2024">
        <v>1</v>
      </c>
    </row>
    <row r="2025" spans="1:35" hidden="1" x14ac:dyDescent="0.25">
      <c r="A2025">
        <v>2018</v>
      </c>
      <c r="B2025" s="1">
        <v>43430</v>
      </c>
      <c r="C2025">
        <v>37</v>
      </c>
      <c r="D2025">
        <v>28972</v>
      </c>
      <c r="E2025">
        <v>46931</v>
      </c>
      <c r="F2025" t="s">
        <v>51</v>
      </c>
      <c r="G2025" t="s">
        <v>457</v>
      </c>
      <c r="H2025" t="s">
        <v>323</v>
      </c>
      <c r="I2025" t="s">
        <v>398</v>
      </c>
      <c r="J2025">
        <v>9</v>
      </c>
      <c r="K2025">
        <v>20</v>
      </c>
      <c r="L2025">
        <v>12150000</v>
      </c>
      <c r="M2025">
        <v>3300000</v>
      </c>
      <c r="N2025" t="s">
        <v>332</v>
      </c>
      <c r="O2025" t="s">
        <v>372</v>
      </c>
      <c r="P2025">
        <v>2</v>
      </c>
      <c r="Q2025">
        <v>1</v>
      </c>
      <c r="R2025">
        <v>1</v>
      </c>
      <c r="S2025">
        <v>0</v>
      </c>
      <c r="T2025">
        <v>5</v>
      </c>
      <c r="U2025">
        <v>4</v>
      </c>
      <c r="V2025">
        <v>12</v>
      </c>
      <c r="W2025">
        <v>16</v>
      </c>
      <c r="X2025">
        <v>18</v>
      </c>
      <c r="Y2025">
        <v>16</v>
      </c>
      <c r="Z2025">
        <v>3</v>
      </c>
      <c r="AA2025">
        <v>4</v>
      </c>
      <c r="AB2025">
        <v>4</v>
      </c>
      <c r="AC2025">
        <v>2</v>
      </c>
      <c r="AD2025">
        <v>6</v>
      </c>
      <c r="AE2025">
        <v>4</v>
      </c>
      <c r="AF2025">
        <v>4</v>
      </c>
      <c r="AG2025">
        <v>3</v>
      </c>
      <c r="AH2025">
        <v>1</v>
      </c>
      <c r="AI2025">
        <v>1</v>
      </c>
    </row>
    <row r="2026" spans="1:35" hidden="1" x14ac:dyDescent="0.25">
      <c r="A2026">
        <v>2018</v>
      </c>
      <c r="B2026" s="1">
        <v>43338</v>
      </c>
      <c r="C2026">
        <v>21</v>
      </c>
      <c r="D2026">
        <v>57723</v>
      </c>
      <c r="E2026">
        <v>67428</v>
      </c>
      <c r="F2026" t="s">
        <v>62</v>
      </c>
      <c r="G2026" t="s">
        <v>361</v>
      </c>
      <c r="H2026" t="s">
        <v>342</v>
      </c>
      <c r="I2026" t="s">
        <v>362</v>
      </c>
      <c r="J2026">
        <v>1</v>
      </c>
      <c r="K2026">
        <v>19</v>
      </c>
      <c r="L2026">
        <v>29250000</v>
      </c>
      <c r="M2026">
        <v>6330000</v>
      </c>
      <c r="N2026">
        <v>30</v>
      </c>
      <c r="O2026" t="s">
        <v>134</v>
      </c>
      <c r="P2026">
        <v>1</v>
      </c>
      <c r="Q2026">
        <v>0</v>
      </c>
      <c r="R2026">
        <v>0</v>
      </c>
      <c r="S2026">
        <v>0</v>
      </c>
      <c r="T2026">
        <v>8</v>
      </c>
      <c r="U2026">
        <v>5</v>
      </c>
      <c r="V2026">
        <v>13</v>
      </c>
      <c r="W2026">
        <v>21</v>
      </c>
      <c r="X2026">
        <v>23</v>
      </c>
      <c r="Y2026">
        <v>13</v>
      </c>
      <c r="Z2026">
        <v>3</v>
      </c>
      <c r="AA2026">
        <v>2</v>
      </c>
      <c r="AB2026">
        <v>0</v>
      </c>
      <c r="AC2026">
        <v>2</v>
      </c>
      <c r="AD2026">
        <v>3</v>
      </c>
      <c r="AE2026">
        <v>3</v>
      </c>
      <c r="AF2026">
        <v>8</v>
      </c>
      <c r="AG2026">
        <v>2</v>
      </c>
      <c r="AH2026">
        <v>1</v>
      </c>
      <c r="AI2026">
        <v>1</v>
      </c>
    </row>
    <row r="2027" spans="1:35" hidden="1" x14ac:dyDescent="0.25">
      <c r="A2027">
        <v>2018</v>
      </c>
      <c r="B2027" s="1">
        <v>43352</v>
      </c>
      <c r="C2027">
        <v>24</v>
      </c>
      <c r="D2027">
        <v>43550</v>
      </c>
      <c r="E2027">
        <v>67428</v>
      </c>
      <c r="F2027" t="s">
        <v>62</v>
      </c>
      <c r="G2027" t="s">
        <v>38</v>
      </c>
      <c r="H2027" t="s">
        <v>342</v>
      </c>
      <c r="I2027" t="s">
        <v>420</v>
      </c>
      <c r="J2027">
        <v>2</v>
      </c>
      <c r="K2027">
        <v>11</v>
      </c>
      <c r="L2027">
        <v>20150000</v>
      </c>
      <c r="M2027">
        <v>12350000</v>
      </c>
      <c r="N2027" t="s">
        <v>309</v>
      </c>
      <c r="O2027">
        <v>27</v>
      </c>
      <c r="P2027">
        <v>1</v>
      </c>
      <c r="Q2027">
        <v>0</v>
      </c>
      <c r="R2027">
        <v>0</v>
      </c>
      <c r="S2027">
        <v>0</v>
      </c>
      <c r="T2027">
        <v>11</v>
      </c>
      <c r="U2027">
        <v>4</v>
      </c>
      <c r="V2027">
        <v>17</v>
      </c>
      <c r="W2027">
        <v>17</v>
      </c>
      <c r="X2027">
        <v>19</v>
      </c>
      <c r="Y2027">
        <v>20</v>
      </c>
      <c r="Z2027">
        <v>2</v>
      </c>
      <c r="AA2027">
        <v>1</v>
      </c>
      <c r="AB2027">
        <v>3</v>
      </c>
      <c r="AC2027">
        <v>2</v>
      </c>
      <c r="AD2027">
        <v>2</v>
      </c>
      <c r="AE2027">
        <v>2</v>
      </c>
      <c r="AF2027">
        <v>5</v>
      </c>
      <c r="AG2027">
        <v>1</v>
      </c>
      <c r="AH2027">
        <v>1</v>
      </c>
      <c r="AI2027">
        <v>1</v>
      </c>
    </row>
    <row r="2028" spans="1:35" hidden="1" x14ac:dyDescent="0.25">
      <c r="A2028">
        <v>2018</v>
      </c>
      <c r="B2028" s="1">
        <v>43394</v>
      </c>
      <c r="C2028">
        <v>30</v>
      </c>
      <c r="D2028">
        <v>13053</v>
      </c>
      <c r="E2028">
        <v>67428</v>
      </c>
      <c r="F2028" t="s">
        <v>62</v>
      </c>
      <c r="G2028" t="s">
        <v>454</v>
      </c>
      <c r="H2028" t="s">
        <v>342</v>
      </c>
      <c r="I2028" t="s">
        <v>333</v>
      </c>
      <c r="J2028">
        <v>4</v>
      </c>
      <c r="K2028">
        <v>8</v>
      </c>
      <c r="L2028">
        <v>17000000</v>
      </c>
      <c r="M2028">
        <v>12200000</v>
      </c>
      <c r="N2028" t="s">
        <v>163</v>
      </c>
      <c r="O2028" t="s">
        <v>122</v>
      </c>
      <c r="P2028">
        <v>0</v>
      </c>
      <c r="Q2028">
        <v>0</v>
      </c>
      <c r="R2028">
        <v>0</v>
      </c>
      <c r="S2028">
        <v>0</v>
      </c>
      <c r="T2028">
        <v>4</v>
      </c>
      <c r="U2028">
        <v>7</v>
      </c>
      <c r="V2028">
        <v>17</v>
      </c>
      <c r="W2028">
        <v>13</v>
      </c>
      <c r="X2028">
        <v>15</v>
      </c>
      <c r="Y2028">
        <v>22</v>
      </c>
      <c r="Z2028">
        <v>6</v>
      </c>
      <c r="AA2028">
        <v>9</v>
      </c>
      <c r="AB2028">
        <v>5</v>
      </c>
      <c r="AC2028">
        <v>2</v>
      </c>
      <c r="AD2028">
        <v>2</v>
      </c>
      <c r="AE2028">
        <v>1</v>
      </c>
      <c r="AF2028">
        <v>2</v>
      </c>
      <c r="AG2028">
        <v>3</v>
      </c>
      <c r="AH2028">
        <v>0</v>
      </c>
      <c r="AI2028">
        <v>0</v>
      </c>
    </row>
    <row r="2029" spans="1:35" hidden="1" x14ac:dyDescent="0.25">
      <c r="A2029">
        <v>2018</v>
      </c>
      <c r="B2029" s="1">
        <v>43324</v>
      </c>
      <c r="C2029">
        <v>18</v>
      </c>
      <c r="D2029">
        <v>5443</v>
      </c>
      <c r="E2029">
        <v>20083</v>
      </c>
      <c r="F2029" t="s">
        <v>457</v>
      </c>
      <c r="G2029" t="s">
        <v>51</v>
      </c>
      <c r="H2029" t="s">
        <v>466</v>
      </c>
      <c r="I2029" t="s">
        <v>323</v>
      </c>
      <c r="J2029">
        <v>20</v>
      </c>
      <c r="K2029">
        <v>12</v>
      </c>
      <c r="L2029">
        <v>6650000</v>
      </c>
      <c r="M2029">
        <v>14050000</v>
      </c>
      <c r="N2029" t="s">
        <v>114</v>
      </c>
      <c r="O2029" t="s">
        <v>270</v>
      </c>
      <c r="P2029">
        <v>1</v>
      </c>
      <c r="Q2029">
        <v>1</v>
      </c>
      <c r="R2029">
        <v>0</v>
      </c>
      <c r="S2029">
        <v>0</v>
      </c>
      <c r="T2029">
        <v>4</v>
      </c>
      <c r="U2029">
        <v>4</v>
      </c>
      <c r="V2029">
        <v>11</v>
      </c>
      <c r="W2029">
        <v>9</v>
      </c>
      <c r="X2029">
        <v>2</v>
      </c>
      <c r="Y2029">
        <v>2</v>
      </c>
      <c r="Z2029">
        <v>0</v>
      </c>
      <c r="AA2029">
        <v>0</v>
      </c>
      <c r="AB2029">
        <v>2</v>
      </c>
      <c r="AC2029">
        <v>2</v>
      </c>
      <c r="AD2029">
        <v>1</v>
      </c>
      <c r="AE2029">
        <v>2</v>
      </c>
      <c r="AF2029">
        <v>6</v>
      </c>
      <c r="AG2029">
        <v>6</v>
      </c>
      <c r="AH2029">
        <v>0</v>
      </c>
      <c r="AI2029">
        <v>0</v>
      </c>
    </row>
    <row r="2030" spans="1:35" hidden="1" x14ac:dyDescent="0.25">
      <c r="A2030">
        <v>2018</v>
      </c>
      <c r="B2030" s="1">
        <v>43395</v>
      </c>
      <c r="C2030">
        <v>30</v>
      </c>
      <c r="D2030">
        <v>4271</v>
      </c>
      <c r="E2030">
        <v>20083</v>
      </c>
      <c r="F2030" t="s">
        <v>457</v>
      </c>
      <c r="G2030" t="s">
        <v>77</v>
      </c>
      <c r="H2030" t="s">
        <v>398</v>
      </c>
      <c r="I2030" t="s">
        <v>315</v>
      </c>
      <c r="J2030">
        <v>20</v>
      </c>
      <c r="K2030">
        <v>3</v>
      </c>
      <c r="L2030">
        <v>4550000</v>
      </c>
      <c r="M2030">
        <v>45550000</v>
      </c>
      <c r="N2030" t="s">
        <v>151</v>
      </c>
      <c r="O2030" t="s">
        <v>209</v>
      </c>
      <c r="P2030">
        <v>0</v>
      </c>
      <c r="Q2030">
        <v>4</v>
      </c>
      <c r="R2030">
        <v>0</v>
      </c>
      <c r="S2030">
        <v>1</v>
      </c>
      <c r="T2030">
        <v>4</v>
      </c>
      <c r="U2030">
        <v>1</v>
      </c>
      <c r="V2030">
        <v>16</v>
      </c>
      <c r="W2030">
        <v>13</v>
      </c>
      <c r="X2030">
        <v>15</v>
      </c>
      <c r="Y2030">
        <v>17</v>
      </c>
      <c r="Z2030">
        <v>3</v>
      </c>
      <c r="AA2030">
        <v>1</v>
      </c>
      <c r="AB2030">
        <v>1</v>
      </c>
      <c r="AC2030">
        <v>2</v>
      </c>
      <c r="AD2030">
        <v>1</v>
      </c>
      <c r="AE2030">
        <v>7</v>
      </c>
      <c r="AF2030">
        <v>2</v>
      </c>
      <c r="AG2030">
        <v>4</v>
      </c>
      <c r="AH2030">
        <v>-4</v>
      </c>
      <c r="AI2030">
        <v>0</v>
      </c>
    </row>
    <row r="2031" spans="1:35" hidden="1" x14ac:dyDescent="0.25">
      <c r="A2031">
        <v>2018</v>
      </c>
      <c r="B2031" s="1">
        <v>43408</v>
      </c>
      <c r="C2031">
        <v>32</v>
      </c>
      <c r="D2031">
        <v>1328</v>
      </c>
      <c r="E2031">
        <v>20083</v>
      </c>
      <c r="F2031" t="s">
        <v>457</v>
      </c>
      <c r="G2031" t="s">
        <v>94</v>
      </c>
      <c r="H2031" t="s">
        <v>398</v>
      </c>
      <c r="I2031" t="s">
        <v>455</v>
      </c>
      <c r="J2031">
        <v>20</v>
      </c>
      <c r="K2031">
        <v>19</v>
      </c>
      <c r="L2031">
        <v>3550000</v>
      </c>
      <c r="M2031">
        <v>7950000</v>
      </c>
      <c r="N2031" t="s">
        <v>278</v>
      </c>
      <c r="O2031" t="s">
        <v>202</v>
      </c>
      <c r="P2031">
        <v>1</v>
      </c>
      <c r="Q2031">
        <v>1</v>
      </c>
      <c r="R2031">
        <v>0</v>
      </c>
      <c r="S2031">
        <v>0</v>
      </c>
      <c r="T2031">
        <v>2</v>
      </c>
      <c r="U2031">
        <v>5</v>
      </c>
      <c r="V2031">
        <v>18</v>
      </c>
      <c r="W2031">
        <v>19</v>
      </c>
      <c r="X2031">
        <v>21</v>
      </c>
      <c r="Y2031">
        <v>18</v>
      </c>
      <c r="Z2031">
        <v>6</v>
      </c>
      <c r="AA2031">
        <v>5</v>
      </c>
      <c r="AB2031">
        <v>0</v>
      </c>
      <c r="AC2031">
        <v>2</v>
      </c>
      <c r="AD2031">
        <v>1</v>
      </c>
      <c r="AE2031">
        <v>1</v>
      </c>
      <c r="AF2031">
        <v>2</v>
      </c>
      <c r="AG2031">
        <v>1</v>
      </c>
      <c r="AH2031">
        <v>0</v>
      </c>
      <c r="AI2031">
        <v>0</v>
      </c>
    </row>
    <row r="2032" spans="1:35" hidden="1" x14ac:dyDescent="0.25">
      <c r="A2032">
        <v>2018</v>
      </c>
      <c r="B2032" s="1">
        <v>43436</v>
      </c>
      <c r="C2032">
        <v>38</v>
      </c>
      <c r="D2032">
        <v>2975</v>
      </c>
      <c r="E2032">
        <v>20083</v>
      </c>
      <c r="F2032" t="s">
        <v>457</v>
      </c>
      <c r="G2032" t="s">
        <v>37</v>
      </c>
      <c r="H2032" t="s">
        <v>398</v>
      </c>
      <c r="I2032" t="s">
        <v>328</v>
      </c>
      <c r="J2032">
        <v>20</v>
      </c>
      <c r="K2032">
        <v>3</v>
      </c>
      <c r="L2032">
        <v>3100000</v>
      </c>
      <c r="M2032">
        <v>18400000</v>
      </c>
      <c r="N2032" t="s">
        <v>453</v>
      </c>
      <c r="O2032" t="s">
        <v>129</v>
      </c>
      <c r="P2032">
        <v>1</v>
      </c>
      <c r="Q2032">
        <v>1</v>
      </c>
      <c r="R2032">
        <v>0</v>
      </c>
      <c r="S2032">
        <v>0</v>
      </c>
      <c r="T2032">
        <v>5</v>
      </c>
      <c r="U2032">
        <v>6</v>
      </c>
      <c r="V2032">
        <v>14</v>
      </c>
      <c r="W2032">
        <v>15</v>
      </c>
      <c r="X2032">
        <v>17</v>
      </c>
      <c r="Y2032">
        <v>16</v>
      </c>
      <c r="Z2032">
        <v>1</v>
      </c>
      <c r="AA2032">
        <v>5</v>
      </c>
      <c r="AB2032">
        <v>2</v>
      </c>
      <c r="AC2032">
        <v>2</v>
      </c>
      <c r="AD2032">
        <v>6</v>
      </c>
      <c r="AE2032">
        <v>2</v>
      </c>
      <c r="AF2032">
        <v>9</v>
      </c>
      <c r="AG2032">
        <v>3</v>
      </c>
      <c r="AH2032">
        <v>0</v>
      </c>
      <c r="AI2032">
        <v>0</v>
      </c>
    </row>
    <row r="2033" spans="1:35" hidden="1" x14ac:dyDescent="0.25">
      <c r="A2033">
        <v>2018</v>
      </c>
      <c r="B2033" s="1">
        <v>43338</v>
      </c>
      <c r="C2033">
        <v>21</v>
      </c>
      <c r="D2033">
        <v>13577</v>
      </c>
      <c r="E2033">
        <v>42372</v>
      </c>
      <c r="F2033" t="s">
        <v>454</v>
      </c>
      <c r="G2033" t="s">
        <v>83</v>
      </c>
      <c r="H2033" t="s">
        <v>333</v>
      </c>
      <c r="I2033" t="s">
        <v>85</v>
      </c>
      <c r="J2033">
        <v>16</v>
      </c>
      <c r="K2033">
        <v>4</v>
      </c>
      <c r="L2033">
        <v>11500000</v>
      </c>
      <c r="M2033">
        <v>10600000</v>
      </c>
      <c r="N2033" t="s">
        <v>239</v>
      </c>
      <c r="O2033" t="s">
        <v>107</v>
      </c>
      <c r="P2033">
        <v>2</v>
      </c>
      <c r="Q2033">
        <v>1</v>
      </c>
      <c r="R2033">
        <v>1</v>
      </c>
      <c r="S2033">
        <v>1</v>
      </c>
      <c r="T2033">
        <v>8</v>
      </c>
      <c r="U2033">
        <v>1</v>
      </c>
      <c r="V2033">
        <v>17</v>
      </c>
      <c r="W2033">
        <v>17</v>
      </c>
      <c r="X2033">
        <v>19</v>
      </c>
      <c r="Y2033">
        <v>18</v>
      </c>
      <c r="Z2033">
        <v>1</v>
      </c>
      <c r="AA2033">
        <v>5</v>
      </c>
      <c r="AB2033">
        <v>1</v>
      </c>
      <c r="AC2033">
        <v>2</v>
      </c>
      <c r="AD2033">
        <v>7</v>
      </c>
      <c r="AE2033">
        <v>2</v>
      </c>
      <c r="AF2033">
        <v>4</v>
      </c>
      <c r="AG2033">
        <v>2</v>
      </c>
      <c r="AH2033">
        <v>1</v>
      </c>
      <c r="AI2033">
        <v>1</v>
      </c>
    </row>
    <row r="2034" spans="1:35" hidden="1" x14ac:dyDescent="0.25">
      <c r="A2034">
        <v>2018</v>
      </c>
      <c r="B2034" s="1">
        <v>43394</v>
      </c>
      <c r="C2034">
        <v>30</v>
      </c>
      <c r="D2034">
        <v>36323</v>
      </c>
      <c r="E2034">
        <v>37000</v>
      </c>
      <c r="F2034" t="s">
        <v>95</v>
      </c>
      <c r="G2034" t="s">
        <v>361</v>
      </c>
      <c r="H2034" t="s">
        <v>336</v>
      </c>
      <c r="I2034" t="s">
        <v>362</v>
      </c>
      <c r="J2034">
        <v>1</v>
      </c>
      <c r="K2034">
        <v>14</v>
      </c>
      <c r="L2034">
        <v>31100000</v>
      </c>
      <c r="M2034">
        <v>6180000</v>
      </c>
      <c r="N2034" t="s">
        <v>200</v>
      </c>
      <c r="O2034" t="s">
        <v>135</v>
      </c>
      <c r="P2034">
        <v>2</v>
      </c>
      <c r="Q2034">
        <v>1</v>
      </c>
      <c r="R2034">
        <v>2</v>
      </c>
      <c r="S2034">
        <v>0</v>
      </c>
      <c r="T2034">
        <v>4</v>
      </c>
      <c r="U2034">
        <v>12</v>
      </c>
      <c r="V2034">
        <v>12</v>
      </c>
      <c r="W2034">
        <v>14</v>
      </c>
      <c r="X2034">
        <v>16</v>
      </c>
      <c r="Y2034">
        <v>14</v>
      </c>
      <c r="Z2034">
        <v>6</v>
      </c>
      <c r="AA2034">
        <v>4</v>
      </c>
      <c r="AB2034">
        <v>2</v>
      </c>
      <c r="AC2034">
        <v>2</v>
      </c>
      <c r="AD2034">
        <v>6</v>
      </c>
      <c r="AE2034">
        <v>7</v>
      </c>
      <c r="AF2034">
        <v>5</v>
      </c>
      <c r="AG2034">
        <v>7</v>
      </c>
      <c r="AH2034">
        <v>1</v>
      </c>
      <c r="AI2034">
        <v>1</v>
      </c>
    </row>
    <row r="2035" spans="1:35" hidden="1" x14ac:dyDescent="0.25">
      <c r="A2035">
        <v>2018</v>
      </c>
      <c r="B2035" s="1">
        <v>43331</v>
      </c>
      <c r="C2035">
        <v>19</v>
      </c>
      <c r="D2035">
        <v>24367</v>
      </c>
      <c r="E2035">
        <v>57483</v>
      </c>
      <c r="F2035" t="s">
        <v>50</v>
      </c>
      <c r="G2035" t="s">
        <v>38</v>
      </c>
      <c r="H2035" t="s">
        <v>240</v>
      </c>
      <c r="I2035" t="s">
        <v>420</v>
      </c>
      <c r="J2035">
        <v>8</v>
      </c>
      <c r="K2035">
        <v>9</v>
      </c>
      <c r="L2035">
        <v>24800000</v>
      </c>
      <c r="M2035">
        <v>12450000</v>
      </c>
      <c r="N2035" t="s">
        <v>142</v>
      </c>
      <c r="O2035" t="s">
        <v>129</v>
      </c>
      <c r="P2035">
        <v>1</v>
      </c>
      <c r="Q2035">
        <v>1</v>
      </c>
      <c r="R2035">
        <v>0</v>
      </c>
      <c r="S2035">
        <v>0</v>
      </c>
      <c r="T2035">
        <v>3</v>
      </c>
      <c r="U2035">
        <v>5</v>
      </c>
      <c r="V2035">
        <v>17</v>
      </c>
      <c r="W2035">
        <v>13</v>
      </c>
      <c r="X2035">
        <v>15</v>
      </c>
      <c r="Y2035">
        <v>19</v>
      </c>
      <c r="Z2035">
        <v>0</v>
      </c>
      <c r="AA2035">
        <v>2</v>
      </c>
      <c r="AB2035">
        <v>2</v>
      </c>
      <c r="AC2035">
        <v>2</v>
      </c>
      <c r="AD2035">
        <v>3</v>
      </c>
      <c r="AE2035">
        <v>1</v>
      </c>
      <c r="AF2035">
        <v>8</v>
      </c>
      <c r="AG2035">
        <v>5</v>
      </c>
      <c r="AH2035">
        <v>0</v>
      </c>
      <c r="AI2035">
        <v>0</v>
      </c>
    </row>
    <row r="2036" spans="1:35" hidden="1" x14ac:dyDescent="0.25">
      <c r="A2036">
        <v>2018</v>
      </c>
      <c r="B2036" s="1">
        <v>43401</v>
      </c>
      <c r="C2036">
        <v>31</v>
      </c>
      <c r="D2036">
        <v>18783</v>
      </c>
      <c r="E2036">
        <v>57483</v>
      </c>
      <c r="F2036" t="s">
        <v>50</v>
      </c>
      <c r="G2036" t="s">
        <v>457</v>
      </c>
      <c r="H2036" t="s">
        <v>240</v>
      </c>
      <c r="I2036" t="s">
        <v>398</v>
      </c>
      <c r="J2036">
        <v>10</v>
      </c>
      <c r="K2036">
        <v>20</v>
      </c>
      <c r="L2036">
        <v>29400000</v>
      </c>
      <c r="M2036">
        <v>3450000</v>
      </c>
      <c r="N2036">
        <v>30</v>
      </c>
      <c r="O2036" t="s">
        <v>230</v>
      </c>
      <c r="P2036">
        <v>3</v>
      </c>
      <c r="Q2036">
        <v>1</v>
      </c>
      <c r="R2036">
        <v>2</v>
      </c>
      <c r="S2036">
        <v>1</v>
      </c>
      <c r="T2036">
        <v>9</v>
      </c>
      <c r="U2036">
        <v>0</v>
      </c>
      <c r="V2036">
        <v>10</v>
      </c>
      <c r="W2036">
        <v>16</v>
      </c>
      <c r="X2036">
        <v>18</v>
      </c>
      <c r="Y2036">
        <v>13</v>
      </c>
      <c r="Z2036">
        <v>2</v>
      </c>
      <c r="AA2036">
        <v>4</v>
      </c>
      <c r="AB2036">
        <v>3</v>
      </c>
      <c r="AC2036">
        <v>2</v>
      </c>
      <c r="AD2036">
        <v>5</v>
      </c>
      <c r="AE2036">
        <v>1</v>
      </c>
      <c r="AF2036">
        <v>5</v>
      </c>
      <c r="AG2036">
        <v>2</v>
      </c>
      <c r="AH2036">
        <v>2</v>
      </c>
      <c r="AI2036">
        <v>1</v>
      </c>
    </row>
    <row r="2037" spans="1:35" hidden="1" x14ac:dyDescent="0.25">
      <c r="A2037">
        <v>2018</v>
      </c>
      <c r="B2037" s="1">
        <v>43419</v>
      </c>
      <c r="C2037">
        <v>34</v>
      </c>
      <c r="D2037">
        <v>15520</v>
      </c>
      <c r="E2037">
        <v>57483</v>
      </c>
      <c r="F2037" t="s">
        <v>50</v>
      </c>
      <c r="G2037" t="s">
        <v>88</v>
      </c>
      <c r="H2037" t="s">
        <v>240</v>
      </c>
      <c r="I2037" t="s">
        <v>78</v>
      </c>
      <c r="J2037">
        <v>9</v>
      </c>
      <c r="K2037">
        <v>13</v>
      </c>
      <c r="L2037">
        <v>21900000</v>
      </c>
      <c r="M2037">
        <v>27150000</v>
      </c>
      <c r="N2037" t="s">
        <v>296</v>
      </c>
      <c r="O2037" t="s">
        <v>105</v>
      </c>
      <c r="P2037">
        <v>1</v>
      </c>
      <c r="Q2037">
        <v>0</v>
      </c>
      <c r="R2037">
        <v>1</v>
      </c>
      <c r="S2037">
        <v>0</v>
      </c>
      <c r="T2037">
        <v>6</v>
      </c>
      <c r="U2037">
        <v>10</v>
      </c>
      <c r="V2037">
        <v>12</v>
      </c>
      <c r="W2037">
        <v>5</v>
      </c>
      <c r="X2037">
        <v>7</v>
      </c>
      <c r="Y2037">
        <v>13</v>
      </c>
      <c r="Z2037">
        <v>5</v>
      </c>
      <c r="AA2037">
        <v>6</v>
      </c>
      <c r="AB2037">
        <v>1</v>
      </c>
      <c r="AC2037">
        <v>2</v>
      </c>
      <c r="AD2037">
        <v>7</v>
      </c>
      <c r="AE2037">
        <v>5</v>
      </c>
      <c r="AF2037">
        <v>4</v>
      </c>
      <c r="AG2037">
        <v>3</v>
      </c>
      <c r="AH2037">
        <v>1</v>
      </c>
      <c r="AI2037">
        <v>1</v>
      </c>
    </row>
    <row r="2038" spans="1:35" hidden="1" x14ac:dyDescent="0.25">
      <c r="A2038">
        <v>2018</v>
      </c>
      <c r="B2038" s="1">
        <v>43337</v>
      </c>
      <c r="C2038">
        <v>21</v>
      </c>
      <c r="D2038">
        <v>11564</v>
      </c>
      <c r="E2038">
        <v>20120</v>
      </c>
      <c r="F2038" t="s">
        <v>419</v>
      </c>
      <c r="G2038" t="s">
        <v>38</v>
      </c>
      <c r="H2038" t="s">
        <v>71</v>
      </c>
      <c r="I2038" t="s">
        <v>420</v>
      </c>
      <c r="J2038">
        <v>13</v>
      </c>
      <c r="K2038">
        <v>11</v>
      </c>
      <c r="L2038">
        <v>40650000</v>
      </c>
      <c r="M2038">
        <v>14500000</v>
      </c>
      <c r="N2038">
        <v>26</v>
      </c>
      <c r="O2038" t="s">
        <v>98</v>
      </c>
      <c r="P2038">
        <v>2</v>
      </c>
      <c r="Q2038">
        <v>0</v>
      </c>
      <c r="R2038">
        <v>0</v>
      </c>
      <c r="S2038">
        <v>0</v>
      </c>
      <c r="T2038">
        <v>6</v>
      </c>
      <c r="U2038">
        <v>4</v>
      </c>
      <c r="V2038">
        <v>23</v>
      </c>
      <c r="W2038">
        <v>18</v>
      </c>
      <c r="X2038">
        <v>20</v>
      </c>
      <c r="Y2038">
        <v>26</v>
      </c>
      <c r="Z2038">
        <v>3</v>
      </c>
      <c r="AA2038">
        <v>2</v>
      </c>
      <c r="AB2038">
        <v>3</v>
      </c>
      <c r="AC2038">
        <v>2</v>
      </c>
      <c r="AD2038">
        <v>4</v>
      </c>
      <c r="AE2038">
        <v>3</v>
      </c>
      <c r="AF2038">
        <v>2</v>
      </c>
      <c r="AG2038">
        <v>4</v>
      </c>
      <c r="AH2038">
        <v>2</v>
      </c>
      <c r="AI2038">
        <v>1</v>
      </c>
    </row>
    <row r="2039" spans="1:35" hidden="1" x14ac:dyDescent="0.25">
      <c r="A2039">
        <v>2018</v>
      </c>
      <c r="B2039" s="1">
        <v>43373</v>
      </c>
      <c r="C2039">
        <v>27</v>
      </c>
      <c r="D2039">
        <v>7802</v>
      </c>
      <c r="E2039">
        <v>20120</v>
      </c>
      <c r="F2039" t="s">
        <v>419</v>
      </c>
      <c r="G2039" t="s">
        <v>454</v>
      </c>
      <c r="H2039" t="s">
        <v>71</v>
      </c>
      <c r="I2039" t="s">
        <v>333</v>
      </c>
      <c r="J2039">
        <v>11</v>
      </c>
      <c r="K2039">
        <v>10</v>
      </c>
      <c r="L2039">
        <v>31300000</v>
      </c>
      <c r="M2039">
        <v>10250000</v>
      </c>
      <c r="N2039" t="s">
        <v>116</v>
      </c>
      <c r="O2039" t="s">
        <v>117</v>
      </c>
      <c r="P2039">
        <v>1</v>
      </c>
      <c r="Q2039">
        <v>0</v>
      </c>
      <c r="R2039">
        <v>0</v>
      </c>
      <c r="S2039">
        <v>0</v>
      </c>
      <c r="T2039">
        <v>12</v>
      </c>
      <c r="U2039">
        <v>5</v>
      </c>
      <c r="V2039">
        <v>7</v>
      </c>
      <c r="W2039">
        <v>18</v>
      </c>
      <c r="X2039">
        <v>20</v>
      </c>
      <c r="Y2039">
        <v>9</v>
      </c>
      <c r="Z2039">
        <v>4</v>
      </c>
      <c r="AA2039">
        <v>6</v>
      </c>
      <c r="AB2039">
        <v>2</v>
      </c>
      <c r="AC2039">
        <v>2</v>
      </c>
      <c r="AD2039">
        <v>7</v>
      </c>
      <c r="AE2039">
        <v>4</v>
      </c>
      <c r="AF2039">
        <v>3</v>
      </c>
      <c r="AG2039">
        <v>4</v>
      </c>
      <c r="AH2039">
        <v>1</v>
      </c>
      <c r="AI2039">
        <v>1</v>
      </c>
    </row>
    <row r="2040" spans="1:35" hidden="1" x14ac:dyDescent="0.25">
      <c r="A2040">
        <v>2018</v>
      </c>
      <c r="B2040" s="1">
        <v>43374</v>
      </c>
      <c r="C2040">
        <v>27</v>
      </c>
      <c r="D2040">
        <v>27485</v>
      </c>
      <c r="E2040">
        <v>60326</v>
      </c>
      <c r="F2040" t="s">
        <v>361</v>
      </c>
      <c r="G2040" t="s">
        <v>394</v>
      </c>
      <c r="H2040" t="s">
        <v>362</v>
      </c>
      <c r="I2040" t="s">
        <v>340</v>
      </c>
      <c r="J2040">
        <v>18</v>
      </c>
      <c r="K2040">
        <v>17</v>
      </c>
      <c r="L2040">
        <v>6280000</v>
      </c>
      <c r="M2040">
        <v>8250000</v>
      </c>
      <c r="N2040" t="s">
        <v>168</v>
      </c>
      <c r="O2040" t="s">
        <v>128</v>
      </c>
      <c r="P2040">
        <v>3</v>
      </c>
      <c r="Q2040">
        <v>1</v>
      </c>
      <c r="R2040">
        <v>0</v>
      </c>
      <c r="S2040">
        <v>1</v>
      </c>
      <c r="T2040">
        <v>5</v>
      </c>
      <c r="U2040">
        <v>8</v>
      </c>
      <c r="V2040">
        <v>16</v>
      </c>
      <c r="W2040">
        <v>20</v>
      </c>
      <c r="X2040">
        <v>22</v>
      </c>
      <c r="Y2040">
        <v>16</v>
      </c>
      <c r="Z2040">
        <v>1</v>
      </c>
      <c r="AA2040">
        <v>4</v>
      </c>
      <c r="AB2040">
        <v>0</v>
      </c>
      <c r="AC2040">
        <v>2</v>
      </c>
      <c r="AD2040">
        <v>7</v>
      </c>
      <c r="AE2040">
        <v>2</v>
      </c>
      <c r="AF2040">
        <v>5</v>
      </c>
      <c r="AG2040">
        <v>4</v>
      </c>
      <c r="AH2040">
        <v>2</v>
      </c>
      <c r="AI2040">
        <v>1</v>
      </c>
    </row>
    <row r="2041" spans="1:35" hidden="1" x14ac:dyDescent="0.25">
      <c r="A2041">
        <v>2018</v>
      </c>
      <c r="B2041" s="1">
        <v>43403</v>
      </c>
      <c r="C2041">
        <v>31</v>
      </c>
      <c r="D2041">
        <v>37394</v>
      </c>
      <c r="E2041">
        <v>60326</v>
      </c>
      <c r="F2041" t="s">
        <v>361</v>
      </c>
      <c r="G2041" t="s">
        <v>89</v>
      </c>
      <c r="H2041" t="s">
        <v>362</v>
      </c>
      <c r="I2041" t="s">
        <v>463</v>
      </c>
      <c r="J2041">
        <v>14</v>
      </c>
      <c r="K2041">
        <v>6</v>
      </c>
      <c r="L2041">
        <v>6250000</v>
      </c>
      <c r="M2041">
        <v>17950000</v>
      </c>
      <c r="N2041" t="s">
        <v>128</v>
      </c>
      <c r="O2041" t="s">
        <v>174</v>
      </c>
      <c r="P2041">
        <v>2</v>
      </c>
      <c r="Q2041">
        <v>1</v>
      </c>
      <c r="R2041">
        <v>1</v>
      </c>
      <c r="S2041">
        <v>1</v>
      </c>
      <c r="T2041">
        <v>3</v>
      </c>
      <c r="U2041">
        <v>6</v>
      </c>
      <c r="V2041">
        <v>12</v>
      </c>
      <c r="W2041">
        <v>20</v>
      </c>
      <c r="X2041">
        <v>22</v>
      </c>
      <c r="Y2041">
        <v>14</v>
      </c>
      <c r="Z2041">
        <v>2</v>
      </c>
      <c r="AA2041">
        <v>4</v>
      </c>
      <c r="AB2041">
        <v>2</v>
      </c>
      <c r="AC2041">
        <v>2</v>
      </c>
      <c r="AD2041">
        <v>6</v>
      </c>
      <c r="AE2041">
        <v>2</v>
      </c>
      <c r="AF2041">
        <v>3</v>
      </c>
      <c r="AG2041">
        <v>7</v>
      </c>
      <c r="AH2041">
        <v>1</v>
      </c>
      <c r="AI2041">
        <v>1</v>
      </c>
    </row>
    <row r="2042" spans="1:35" hidden="1" x14ac:dyDescent="0.25">
      <c r="A2042">
        <v>2018</v>
      </c>
      <c r="B2042" s="1">
        <v>43393</v>
      </c>
      <c r="C2042">
        <v>30</v>
      </c>
      <c r="D2042">
        <v>5821</v>
      </c>
      <c r="E2042">
        <v>25000</v>
      </c>
      <c r="F2042" t="s">
        <v>310</v>
      </c>
      <c r="G2042" t="s">
        <v>83</v>
      </c>
      <c r="H2042" t="s">
        <v>450</v>
      </c>
      <c r="I2042" t="s">
        <v>85</v>
      </c>
      <c r="J2042">
        <v>16</v>
      </c>
      <c r="K2042">
        <v>5</v>
      </c>
      <c r="L2042">
        <v>8750000</v>
      </c>
      <c r="M2042">
        <v>8100000</v>
      </c>
      <c r="N2042" t="s">
        <v>134</v>
      </c>
      <c r="O2042" t="s">
        <v>217</v>
      </c>
      <c r="P2042">
        <v>1</v>
      </c>
      <c r="Q2042">
        <v>1</v>
      </c>
      <c r="R2042">
        <v>1</v>
      </c>
      <c r="S2042">
        <v>0</v>
      </c>
      <c r="T2042">
        <v>5</v>
      </c>
      <c r="U2042">
        <v>4</v>
      </c>
      <c r="V2042">
        <v>16</v>
      </c>
      <c r="W2042">
        <v>8</v>
      </c>
      <c r="X2042">
        <v>10</v>
      </c>
      <c r="Y2042">
        <v>17</v>
      </c>
      <c r="Z2042">
        <v>3</v>
      </c>
      <c r="AA2042">
        <v>2</v>
      </c>
      <c r="AB2042">
        <v>1</v>
      </c>
      <c r="AC2042">
        <v>2</v>
      </c>
      <c r="AD2042">
        <v>3</v>
      </c>
      <c r="AE2042">
        <v>4</v>
      </c>
      <c r="AF2042">
        <v>3</v>
      </c>
      <c r="AG2042">
        <v>4</v>
      </c>
      <c r="AH2042">
        <v>0</v>
      </c>
      <c r="AI2042">
        <v>0</v>
      </c>
    </row>
    <row r="2043" spans="1:35" hidden="1" x14ac:dyDescent="0.25">
      <c r="A2043">
        <v>2018</v>
      </c>
      <c r="B2043" s="1">
        <v>43422</v>
      </c>
      <c r="C2043">
        <v>35</v>
      </c>
      <c r="D2043">
        <v>4652</v>
      </c>
      <c r="E2043">
        <v>25000</v>
      </c>
      <c r="F2043" t="s">
        <v>310</v>
      </c>
      <c r="G2043" t="s">
        <v>419</v>
      </c>
      <c r="H2043" t="s">
        <v>460</v>
      </c>
      <c r="I2043" t="s">
        <v>71</v>
      </c>
      <c r="J2043">
        <v>19</v>
      </c>
      <c r="K2043">
        <v>9</v>
      </c>
      <c r="L2043">
        <v>8500000</v>
      </c>
      <c r="M2043">
        <v>37300000</v>
      </c>
      <c r="N2043" t="s">
        <v>137</v>
      </c>
      <c r="O2043" t="s">
        <v>239</v>
      </c>
      <c r="P2043">
        <v>2</v>
      </c>
      <c r="Q2043">
        <v>1</v>
      </c>
      <c r="R2043">
        <v>1</v>
      </c>
      <c r="S2043">
        <v>1</v>
      </c>
      <c r="T2043">
        <v>4</v>
      </c>
      <c r="U2043">
        <v>6</v>
      </c>
      <c r="V2043">
        <v>16</v>
      </c>
      <c r="W2043">
        <v>14</v>
      </c>
      <c r="X2043">
        <v>16</v>
      </c>
      <c r="Y2043">
        <v>17</v>
      </c>
      <c r="Z2043">
        <v>6</v>
      </c>
      <c r="AA2043">
        <v>8</v>
      </c>
      <c r="AB2043">
        <v>1</v>
      </c>
      <c r="AC2043">
        <v>2</v>
      </c>
      <c r="AD2043">
        <v>5</v>
      </c>
      <c r="AE2043">
        <v>1</v>
      </c>
      <c r="AF2043">
        <v>3</v>
      </c>
      <c r="AG2043">
        <v>0</v>
      </c>
      <c r="AH2043">
        <v>1</v>
      </c>
      <c r="AI2043">
        <v>1</v>
      </c>
    </row>
    <row r="2044" spans="1:35" hidden="1" x14ac:dyDescent="0.25">
      <c r="A2044">
        <v>2018</v>
      </c>
      <c r="B2044" s="1">
        <v>43429</v>
      </c>
      <c r="C2044">
        <v>37</v>
      </c>
      <c r="D2044">
        <v>4398</v>
      </c>
      <c r="E2044">
        <v>25000</v>
      </c>
      <c r="F2044" t="s">
        <v>310</v>
      </c>
      <c r="G2044" t="s">
        <v>38</v>
      </c>
      <c r="H2044" t="s">
        <v>460</v>
      </c>
      <c r="I2044" t="s">
        <v>420</v>
      </c>
      <c r="J2044">
        <v>18</v>
      </c>
      <c r="K2044">
        <v>11</v>
      </c>
      <c r="L2044">
        <v>9350000</v>
      </c>
      <c r="M2044">
        <v>14350000</v>
      </c>
      <c r="N2044" t="s">
        <v>86</v>
      </c>
      <c r="O2044" t="s">
        <v>116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4</v>
      </c>
      <c r="V2044">
        <v>14</v>
      </c>
      <c r="W2044">
        <v>19</v>
      </c>
      <c r="X2044">
        <v>21</v>
      </c>
      <c r="Y2044">
        <v>17</v>
      </c>
      <c r="Z2044">
        <v>3</v>
      </c>
      <c r="AA2044">
        <v>7</v>
      </c>
      <c r="AB2044">
        <v>3</v>
      </c>
      <c r="AC2044">
        <v>2</v>
      </c>
      <c r="AD2044">
        <v>1</v>
      </c>
      <c r="AE2044">
        <v>3</v>
      </c>
      <c r="AF2044">
        <v>3</v>
      </c>
      <c r="AG2044">
        <v>4</v>
      </c>
      <c r="AH2044">
        <v>1</v>
      </c>
      <c r="AI2044">
        <v>1</v>
      </c>
    </row>
    <row r="2045" spans="1:35" hidden="1" x14ac:dyDescent="0.25">
      <c r="A2045">
        <v>2018</v>
      </c>
      <c r="B2045" s="1">
        <v>43335</v>
      </c>
      <c r="C2045">
        <v>20</v>
      </c>
      <c r="D2045">
        <v>16425</v>
      </c>
      <c r="E2045">
        <v>35000</v>
      </c>
      <c r="F2045" t="s">
        <v>391</v>
      </c>
      <c r="G2045" t="s">
        <v>310</v>
      </c>
      <c r="H2045" t="s">
        <v>369</v>
      </c>
      <c r="I2045" t="s">
        <v>450</v>
      </c>
      <c r="J2045">
        <v>17</v>
      </c>
      <c r="K2045">
        <v>11</v>
      </c>
      <c r="L2045">
        <v>12500000</v>
      </c>
      <c r="M2045">
        <v>9000000</v>
      </c>
      <c r="N2045" t="s">
        <v>74</v>
      </c>
      <c r="O2045" t="s">
        <v>109</v>
      </c>
      <c r="P2045">
        <v>0</v>
      </c>
      <c r="Q2045">
        <v>2</v>
      </c>
      <c r="R2045">
        <v>0</v>
      </c>
      <c r="S2045">
        <v>0</v>
      </c>
      <c r="T2045">
        <v>4</v>
      </c>
      <c r="U2045">
        <v>4</v>
      </c>
      <c r="V2045">
        <v>9</v>
      </c>
      <c r="W2045">
        <v>17</v>
      </c>
      <c r="X2045">
        <v>19</v>
      </c>
      <c r="Y2045">
        <v>12</v>
      </c>
      <c r="Z2045">
        <v>1</v>
      </c>
      <c r="AA2045">
        <v>4</v>
      </c>
      <c r="AB2045">
        <v>3</v>
      </c>
      <c r="AC2045">
        <v>2</v>
      </c>
      <c r="AD2045">
        <v>4</v>
      </c>
      <c r="AE2045">
        <v>3</v>
      </c>
      <c r="AF2045">
        <v>6</v>
      </c>
      <c r="AG2045">
        <v>2</v>
      </c>
      <c r="AH2045">
        <v>-2</v>
      </c>
      <c r="AI2045">
        <v>0</v>
      </c>
    </row>
    <row r="2046" spans="1:35" hidden="1" x14ac:dyDescent="0.25">
      <c r="A2046">
        <v>2018</v>
      </c>
      <c r="B2046" s="1">
        <v>43351</v>
      </c>
      <c r="C2046">
        <v>24</v>
      </c>
      <c r="D2046">
        <v>9525</v>
      </c>
      <c r="E2046">
        <v>35000</v>
      </c>
      <c r="F2046" t="s">
        <v>391</v>
      </c>
      <c r="G2046" t="s">
        <v>50</v>
      </c>
      <c r="H2046" t="s">
        <v>369</v>
      </c>
      <c r="I2046" t="s">
        <v>240</v>
      </c>
      <c r="J2046">
        <v>18</v>
      </c>
      <c r="K2046">
        <v>7</v>
      </c>
      <c r="L2046">
        <v>12850000</v>
      </c>
      <c r="M2046">
        <v>19700000</v>
      </c>
      <c r="N2046" t="s">
        <v>92</v>
      </c>
      <c r="O2046" t="s">
        <v>47</v>
      </c>
      <c r="P2046">
        <v>0</v>
      </c>
      <c r="Q2046">
        <v>0</v>
      </c>
      <c r="R2046">
        <v>0</v>
      </c>
      <c r="S2046">
        <v>0</v>
      </c>
      <c r="T2046">
        <v>8</v>
      </c>
      <c r="U2046">
        <v>4</v>
      </c>
      <c r="V2046">
        <v>19</v>
      </c>
      <c r="W2046">
        <v>21</v>
      </c>
      <c r="X2046">
        <v>23</v>
      </c>
      <c r="Y2046">
        <v>22</v>
      </c>
      <c r="Z2046">
        <v>1</v>
      </c>
      <c r="AA2046">
        <v>2</v>
      </c>
      <c r="AB2046">
        <v>3</v>
      </c>
      <c r="AC2046">
        <v>2</v>
      </c>
      <c r="AD2046">
        <v>2</v>
      </c>
      <c r="AE2046">
        <v>1</v>
      </c>
      <c r="AF2046">
        <v>6</v>
      </c>
      <c r="AG2046">
        <v>4</v>
      </c>
      <c r="AH2046">
        <v>0</v>
      </c>
      <c r="AI2046">
        <v>0</v>
      </c>
    </row>
    <row r="2047" spans="1:35" hidden="1" x14ac:dyDescent="0.25">
      <c r="A2047">
        <v>2018</v>
      </c>
      <c r="B2047" s="1">
        <v>43349</v>
      </c>
      <c r="C2047">
        <v>23</v>
      </c>
      <c r="D2047">
        <v>33633</v>
      </c>
      <c r="E2047">
        <v>56000</v>
      </c>
      <c r="F2047" t="s">
        <v>37</v>
      </c>
      <c r="G2047" t="s">
        <v>77</v>
      </c>
      <c r="H2047" t="s">
        <v>328</v>
      </c>
      <c r="I2047" t="s">
        <v>341</v>
      </c>
      <c r="J2047">
        <v>2</v>
      </c>
      <c r="K2047">
        <v>3</v>
      </c>
      <c r="L2047">
        <v>25800000</v>
      </c>
      <c r="M2047">
        <v>32250000</v>
      </c>
      <c r="N2047">
        <v>27</v>
      </c>
      <c r="O2047" t="s">
        <v>104</v>
      </c>
      <c r="P2047">
        <v>2</v>
      </c>
      <c r="Q2047">
        <v>1</v>
      </c>
      <c r="R2047">
        <v>1</v>
      </c>
      <c r="S2047">
        <v>0</v>
      </c>
      <c r="T2047">
        <v>4</v>
      </c>
      <c r="U2047">
        <v>3</v>
      </c>
      <c r="V2047">
        <v>13</v>
      </c>
      <c r="W2047">
        <v>13</v>
      </c>
      <c r="X2047">
        <v>15</v>
      </c>
      <c r="Y2047">
        <v>14</v>
      </c>
      <c r="Z2047">
        <v>4</v>
      </c>
      <c r="AA2047">
        <v>3</v>
      </c>
      <c r="AB2047">
        <v>1</v>
      </c>
      <c r="AC2047">
        <v>2</v>
      </c>
      <c r="AD2047">
        <v>4</v>
      </c>
      <c r="AE2047">
        <v>3</v>
      </c>
      <c r="AF2047">
        <v>1</v>
      </c>
      <c r="AG2047">
        <v>3</v>
      </c>
      <c r="AH2047">
        <v>1</v>
      </c>
      <c r="AI2047">
        <v>1</v>
      </c>
    </row>
    <row r="2048" spans="1:35" hidden="1" x14ac:dyDescent="0.25">
      <c r="A2048">
        <v>2018</v>
      </c>
      <c r="B2048" s="1">
        <v>43352</v>
      </c>
      <c r="C2048">
        <v>24</v>
      </c>
      <c r="D2048">
        <v>44176</v>
      </c>
      <c r="E2048">
        <v>56000</v>
      </c>
      <c r="F2048" t="s">
        <v>37</v>
      </c>
      <c r="G2048" t="s">
        <v>83</v>
      </c>
      <c r="H2048" t="s">
        <v>328</v>
      </c>
      <c r="I2048" t="s">
        <v>85</v>
      </c>
      <c r="J2048">
        <v>1</v>
      </c>
      <c r="K2048">
        <v>5</v>
      </c>
      <c r="L2048">
        <v>26800000</v>
      </c>
      <c r="M2048">
        <v>45450000</v>
      </c>
      <c r="N2048" t="s">
        <v>98</v>
      </c>
      <c r="O2048" t="s">
        <v>174</v>
      </c>
      <c r="P2048">
        <v>1</v>
      </c>
      <c r="Q2048">
        <v>0</v>
      </c>
      <c r="R2048">
        <v>0</v>
      </c>
      <c r="S2048">
        <v>0</v>
      </c>
      <c r="T2048">
        <v>5</v>
      </c>
      <c r="U2048">
        <v>4</v>
      </c>
      <c r="V2048">
        <v>16</v>
      </c>
      <c r="W2048">
        <v>15</v>
      </c>
      <c r="X2048">
        <v>17</v>
      </c>
      <c r="Y2048">
        <v>17</v>
      </c>
      <c r="Z2048">
        <v>4</v>
      </c>
      <c r="AA2048">
        <v>6</v>
      </c>
      <c r="AB2048">
        <v>1</v>
      </c>
      <c r="AC2048">
        <v>2</v>
      </c>
      <c r="AD2048">
        <v>2</v>
      </c>
      <c r="AE2048">
        <v>1</v>
      </c>
      <c r="AF2048">
        <v>0</v>
      </c>
      <c r="AG2048">
        <v>0</v>
      </c>
      <c r="AH2048">
        <v>1</v>
      </c>
      <c r="AI2048">
        <v>1</v>
      </c>
    </row>
    <row r="2049" spans="1:35" hidden="1" x14ac:dyDescent="0.25">
      <c r="A2049">
        <v>2018</v>
      </c>
      <c r="B2049" s="1">
        <v>43387</v>
      </c>
      <c r="C2049">
        <v>29</v>
      </c>
      <c r="D2049">
        <v>45263</v>
      </c>
      <c r="E2049">
        <v>56000</v>
      </c>
      <c r="F2049" t="s">
        <v>37</v>
      </c>
      <c r="G2049" t="s">
        <v>62</v>
      </c>
      <c r="H2049" t="s">
        <v>328</v>
      </c>
      <c r="I2049" t="s">
        <v>342</v>
      </c>
      <c r="J2049">
        <v>2</v>
      </c>
      <c r="K2049">
        <v>4</v>
      </c>
      <c r="L2049">
        <v>23150000</v>
      </c>
      <c r="M2049">
        <v>28150000</v>
      </c>
      <c r="N2049" t="s">
        <v>209</v>
      </c>
      <c r="O2049" t="s">
        <v>74</v>
      </c>
      <c r="P2049">
        <v>3</v>
      </c>
      <c r="Q2049">
        <v>1</v>
      </c>
      <c r="R2049">
        <v>1</v>
      </c>
      <c r="S2049">
        <v>1</v>
      </c>
      <c r="T2049">
        <v>6</v>
      </c>
      <c r="U2049">
        <v>4</v>
      </c>
      <c r="V2049">
        <v>15</v>
      </c>
      <c r="W2049">
        <v>22</v>
      </c>
      <c r="X2049">
        <v>24</v>
      </c>
      <c r="Y2049">
        <v>20</v>
      </c>
      <c r="Z2049">
        <v>0</v>
      </c>
      <c r="AA2049">
        <v>3</v>
      </c>
      <c r="AB2049">
        <v>5</v>
      </c>
      <c r="AC2049">
        <v>2</v>
      </c>
      <c r="AD2049">
        <v>8</v>
      </c>
      <c r="AE2049">
        <v>1</v>
      </c>
      <c r="AF2049">
        <v>5</v>
      </c>
      <c r="AG2049">
        <v>4</v>
      </c>
      <c r="AH2049">
        <v>2</v>
      </c>
      <c r="AI2049">
        <v>1</v>
      </c>
    </row>
    <row r="2050" spans="1:35" hidden="1" x14ac:dyDescent="0.25">
      <c r="A2050">
        <v>2018</v>
      </c>
      <c r="B2050" s="1">
        <v>43396</v>
      </c>
      <c r="C2050">
        <v>30</v>
      </c>
      <c r="D2050">
        <v>43159</v>
      </c>
      <c r="E2050">
        <v>56000</v>
      </c>
      <c r="F2050" t="s">
        <v>37</v>
      </c>
      <c r="G2050" t="s">
        <v>419</v>
      </c>
      <c r="H2050" t="s">
        <v>328</v>
      </c>
      <c r="I2050" t="s">
        <v>71</v>
      </c>
      <c r="J2050">
        <v>2</v>
      </c>
      <c r="K2050">
        <v>7</v>
      </c>
      <c r="L2050">
        <v>23900000</v>
      </c>
      <c r="M2050">
        <v>37250000</v>
      </c>
      <c r="N2050" t="s">
        <v>137</v>
      </c>
      <c r="O2050">
        <v>27</v>
      </c>
      <c r="P2050">
        <v>2</v>
      </c>
      <c r="Q2050">
        <v>2</v>
      </c>
      <c r="R2050">
        <v>1</v>
      </c>
      <c r="S2050">
        <v>0</v>
      </c>
      <c r="T2050">
        <v>5</v>
      </c>
      <c r="U2050">
        <v>7</v>
      </c>
      <c r="V2050">
        <v>13</v>
      </c>
      <c r="W2050">
        <v>14</v>
      </c>
      <c r="X2050">
        <v>16</v>
      </c>
      <c r="Y2050">
        <v>15</v>
      </c>
      <c r="Z2050">
        <v>4</v>
      </c>
      <c r="AA2050">
        <v>9</v>
      </c>
      <c r="AB2050">
        <v>2</v>
      </c>
      <c r="AC2050">
        <v>2</v>
      </c>
      <c r="AD2050">
        <v>6</v>
      </c>
      <c r="AE2050">
        <v>1</v>
      </c>
      <c r="AF2050">
        <v>2</v>
      </c>
      <c r="AG2050">
        <v>1</v>
      </c>
      <c r="AH2050">
        <v>0</v>
      </c>
      <c r="AI2050">
        <v>0</v>
      </c>
    </row>
    <row r="2051" spans="1:35" hidden="1" x14ac:dyDescent="0.25">
      <c r="A2051">
        <v>2018</v>
      </c>
      <c r="B2051" s="1">
        <v>43420</v>
      </c>
      <c r="C2051">
        <v>34</v>
      </c>
      <c r="D2051">
        <v>28973</v>
      </c>
      <c r="E2051">
        <v>56000</v>
      </c>
      <c r="F2051" t="s">
        <v>37</v>
      </c>
      <c r="G2051" t="s">
        <v>310</v>
      </c>
      <c r="H2051" t="s">
        <v>328</v>
      </c>
      <c r="I2051" t="s">
        <v>460</v>
      </c>
      <c r="J2051">
        <v>2</v>
      </c>
      <c r="K2051">
        <v>19</v>
      </c>
      <c r="L2051">
        <v>23900000</v>
      </c>
      <c r="M2051">
        <v>7300000</v>
      </c>
      <c r="N2051" t="s">
        <v>114</v>
      </c>
      <c r="O2051" t="s">
        <v>144</v>
      </c>
      <c r="P2051">
        <v>2</v>
      </c>
      <c r="Q2051">
        <v>0</v>
      </c>
      <c r="R2051">
        <v>2</v>
      </c>
      <c r="S2051">
        <v>0</v>
      </c>
      <c r="T2051">
        <v>7</v>
      </c>
      <c r="U2051">
        <v>4</v>
      </c>
      <c r="V2051">
        <v>19</v>
      </c>
      <c r="W2051">
        <v>20</v>
      </c>
      <c r="X2051">
        <v>22</v>
      </c>
      <c r="Y2051">
        <v>21</v>
      </c>
      <c r="Z2051">
        <v>3</v>
      </c>
      <c r="AA2051">
        <v>4</v>
      </c>
      <c r="AB2051">
        <v>2</v>
      </c>
      <c r="AC2051">
        <v>2</v>
      </c>
      <c r="AD2051">
        <v>6</v>
      </c>
      <c r="AE2051">
        <v>3</v>
      </c>
      <c r="AF2051">
        <v>2</v>
      </c>
      <c r="AG2051">
        <v>6</v>
      </c>
      <c r="AH2051">
        <v>2</v>
      </c>
      <c r="AI2051">
        <v>1</v>
      </c>
    </row>
    <row r="2052" spans="1:35" hidden="1" x14ac:dyDescent="0.25">
      <c r="A2052">
        <v>2018</v>
      </c>
      <c r="B2052" s="1">
        <v>43349</v>
      </c>
      <c r="C2052">
        <v>23</v>
      </c>
      <c r="D2052">
        <v>13816</v>
      </c>
      <c r="E2052">
        <v>55000</v>
      </c>
      <c r="F2052" t="s">
        <v>38</v>
      </c>
      <c r="G2052" t="s">
        <v>391</v>
      </c>
      <c r="H2052" t="s">
        <v>420</v>
      </c>
      <c r="I2052" t="s">
        <v>369</v>
      </c>
      <c r="J2052">
        <v>14</v>
      </c>
      <c r="K2052">
        <v>18</v>
      </c>
      <c r="L2052">
        <v>11600000</v>
      </c>
      <c r="M2052">
        <v>12250000</v>
      </c>
      <c r="N2052" t="s">
        <v>151</v>
      </c>
      <c r="O2052" t="s">
        <v>174</v>
      </c>
      <c r="P2052">
        <v>2</v>
      </c>
      <c r="Q2052">
        <v>0</v>
      </c>
      <c r="R2052">
        <v>0</v>
      </c>
      <c r="S2052">
        <v>0</v>
      </c>
      <c r="T2052">
        <v>8</v>
      </c>
      <c r="U2052">
        <v>4</v>
      </c>
      <c r="V2052">
        <v>16</v>
      </c>
      <c r="W2052">
        <v>18</v>
      </c>
      <c r="X2052">
        <v>20</v>
      </c>
      <c r="Y2052">
        <v>17</v>
      </c>
      <c r="Z2052">
        <v>1</v>
      </c>
      <c r="AA2052">
        <v>6</v>
      </c>
      <c r="AB2052">
        <v>1</v>
      </c>
      <c r="AC2052">
        <v>2</v>
      </c>
      <c r="AD2052">
        <v>9</v>
      </c>
      <c r="AE2052">
        <v>2</v>
      </c>
      <c r="AF2052">
        <v>3</v>
      </c>
      <c r="AG2052">
        <v>6</v>
      </c>
      <c r="AH2052">
        <v>2</v>
      </c>
      <c r="AI2052">
        <v>1</v>
      </c>
    </row>
    <row r="2053" spans="1:35" hidden="1" x14ac:dyDescent="0.25">
      <c r="A2053">
        <v>2018</v>
      </c>
      <c r="B2053" s="1">
        <v>43359</v>
      </c>
      <c r="C2053">
        <v>25</v>
      </c>
      <c r="D2053">
        <v>24951</v>
      </c>
      <c r="E2053">
        <v>55000</v>
      </c>
      <c r="F2053" t="s">
        <v>38</v>
      </c>
      <c r="G2053" t="s">
        <v>95</v>
      </c>
      <c r="H2053" t="s">
        <v>420</v>
      </c>
      <c r="I2053" t="s">
        <v>336</v>
      </c>
      <c r="J2053">
        <v>13</v>
      </c>
      <c r="K2053">
        <v>3</v>
      </c>
      <c r="L2053">
        <v>12650000</v>
      </c>
      <c r="M2053">
        <v>35900000</v>
      </c>
      <c r="N2053" t="s">
        <v>168</v>
      </c>
      <c r="O2053" t="s">
        <v>137</v>
      </c>
      <c r="P2053">
        <v>1</v>
      </c>
      <c r="Q2053">
        <v>1</v>
      </c>
      <c r="R2053">
        <v>1</v>
      </c>
      <c r="S2053">
        <v>0</v>
      </c>
      <c r="T2053">
        <v>6</v>
      </c>
      <c r="U2053">
        <v>3</v>
      </c>
      <c r="V2053">
        <v>15</v>
      </c>
      <c r="W2053">
        <v>12</v>
      </c>
      <c r="X2053">
        <v>14</v>
      </c>
      <c r="Y2053">
        <v>16</v>
      </c>
      <c r="Z2053">
        <v>0</v>
      </c>
      <c r="AA2053">
        <v>2</v>
      </c>
      <c r="AB2053">
        <v>1</v>
      </c>
      <c r="AC2053">
        <v>2</v>
      </c>
      <c r="AD2053">
        <v>3</v>
      </c>
      <c r="AE2053">
        <v>1</v>
      </c>
      <c r="AF2053">
        <v>3</v>
      </c>
      <c r="AG2053">
        <v>3</v>
      </c>
      <c r="AH2053">
        <v>0</v>
      </c>
      <c r="AI2053">
        <v>0</v>
      </c>
    </row>
    <row r="2054" spans="1:35" hidden="1" x14ac:dyDescent="0.25">
      <c r="A2054">
        <v>2018</v>
      </c>
      <c r="B2054" s="1">
        <v>43373</v>
      </c>
      <c r="C2054">
        <v>27</v>
      </c>
      <c r="D2054">
        <v>31626</v>
      </c>
      <c r="E2054">
        <v>55000</v>
      </c>
      <c r="F2054" t="s">
        <v>38</v>
      </c>
      <c r="G2054" t="s">
        <v>77</v>
      </c>
      <c r="H2054" t="s">
        <v>420</v>
      </c>
      <c r="I2054" t="s">
        <v>315</v>
      </c>
      <c r="J2054">
        <v>15</v>
      </c>
      <c r="K2054">
        <v>4</v>
      </c>
      <c r="L2054">
        <v>9750000</v>
      </c>
      <c r="M2054">
        <v>47750000</v>
      </c>
      <c r="N2054" t="s">
        <v>168</v>
      </c>
      <c r="O2054" t="s">
        <v>99</v>
      </c>
      <c r="P2054">
        <v>0</v>
      </c>
      <c r="Q2054">
        <v>0</v>
      </c>
      <c r="R2054">
        <v>0</v>
      </c>
      <c r="S2054">
        <v>0</v>
      </c>
      <c r="T2054">
        <v>4</v>
      </c>
      <c r="U2054">
        <v>3</v>
      </c>
      <c r="V2054">
        <v>13</v>
      </c>
      <c r="W2054">
        <v>15</v>
      </c>
      <c r="X2054">
        <v>17</v>
      </c>
      <c r="Y2054">
        <v>15</v>
      </c>
      <c r="Z2054">
        <v>4</v>
      </c>
      <c r="AA2054">
        <v>3</v>
      </c>
      <c r="AB2054">
        <v>2</v>
      </c>
      <c r="AC2054">
        <v>2</v>
      </c>
      <c r="AD2054">
        <v>2</v>
      </c>
      <c r="AE2054">
        <v>5</v>
      </c>
      <c r="AF2054">
        <v>4</v>
      </c>
      <c r="AG2054">
        <v>3</v>
      </c>
      <c r="AH2054">
        <v>0</v>
      </c>
      <c r="AI2054">
        <v>0</v>
      </c>
    </row>
    <row r="2055" spans="1:35" hidden="1" x14ac:dyDescent="0.25">
      <c r="A2055">
        <v>2018</v>
      </c>
      <c r="B2055" s="1">
        <v>43427</v>
      </c>
      <c r="C2055">
        <v>36</v>
      </c>
      <c r="D2055">
        <v>16437</v>
      </c>
      <c r="E2055">
        <v>55000</v>
      </c>
      <c r="F2055" t="s">
        <v>38</v>
      </c>
      <c r="G2055" t="s">
        <v>55</v>
      </c>
      <c r="H2055" t="s">
        <v>420</v>
      </c>
      <c r="I2055" t="s">
        <v>458</v>
      </c>
      <c r="J2055">
        <v>11</v>
      </c>
      <c r="K2055">
        <v>13</v>
      </c>
      <c r="L2055">
        <v>13400000</v>
      </c>
      <c r="M2055">
        <v>11500000</v>
      </c>
      <c r="N2055" t="s">
        <v>209</v>
      </c>
      <c r="O2055" t="s">
        <v>149</v>
      </c>
      <c r="P2055">
        <v>2</v>
      </c>
      <c r="Q2055">
        <v>0</v>
      </c>
      <c r="R2055">
        <v>0</v>
      </c>
      <c r="S2055">
        <v>0</v>
      </c>
      <c r="T2055">
        <v>3</v>
      </c>
      <c r="U2055">
        <v>1</v>
      </c>
      <c r="V2055">
        <v>20</v>
      </c>
      <c r="W2055">
        <v>8</v>
      </c>
      <c r="X2055">
        <v>10</v>
      </c>
      <c r="Y2055">
        <v>21</v>
      </c>
      <c r="Z2055">
        <v>2</v>
      </c>
      <c r="AA2055">
        <v>6</v>
      </c>
      <c r="AB2055">
        <v>1</v>
      </c>
      <c r="AC2055">
        <v>2</v>
      </c>
      <c r="AD2055">
        <v>8</v>
      </c>
      <c r="AE2055">
        <v>2</v>
      </c>
      <c r="AF2055">
        <v>4</v>
      </c>
      <c r="AG2055">
        <v>2</v>
      </c>
      <c r="AH2055">
        <v>2</v>
      </c>
      <c r="AI2055">
        <v>1</v>
      </c>
    </row>
    <row r="2056" spans="1:35" hidden="1" x14ac:dyDescent="0.25">
      <c r="A2056">
        <v>2018</v>
      </c>
      <c r="B2056" s="1">
        <v>43349</v>
      </c>
      <c r="C2056">
        <v>23</v>
      </c>
      <c r="D2056">
        <v>20852</v>
      </c>
      <c r="E2056">
        <v>23018</v>
      </c>
      <c r="F2056" t="s">
        <v>89</v>
      </c>
      <c r="G2056" t="s">
        <v>62</v>
      </c>
      <c r="H2056" t="s">
        <v>433</v>
      </c>
      <c r="I2056" t="s">
        <v>342</v>
      </c>
      <c r="J2056">
        <v>6</v>
      </c>
      <c r="K2056">
        <v>1</v>
      </c>
      <c r="L2056">
        <v>18100000</v>
      </c>
      <c r="M2056">
        <v>17400000</v>
      </c>
      <c r="N2056" t="s">
        <v>174</v>
      </c>
      <c r="O2056">
        <v>31</v>
      </c>
      <c r="P2056">
        <v>1</v>
      </c>
      <c r="Q2056">
        <v>0</v>
      </c>
      <c r="R2056">
        <v>1</v>
      </c>
      <c r="S2056">
        <v>0</v>
      </c>
      <c r="T2056">
        <v>2</v>
      </c>
      <c r="U2056">
        <v>9</v>
      </c>
      <c r="V2056">
        <v>16</v>
      </c>
      <c r="W2056">
        <v>18</v>
      </c>
      <c r="X2056">
        <v>20</v>
      </c>
      <c r="Y2056">
        <v>16</v>
      </c>
      <c r="Z2056">
        <v>7</v>
      </c>
      <c r="AA2056">
        <v>2</v>
      </c>
      <c r="AB2056">
        <v>0</v>
      </c>
      <c r="AC2056">
        <v>2</v>
      </c>
      <c r="AD2056">
        <v>2</v>
      </c>
      <c r="AE2056">
        <v>7</v>
      </c>
      <c r="AF2056">
        <v>6</v>
      </c>
      <c r="AG2056">
        <v>7</v>
      </c>
      <c r="AH2056">
        <v>1</v>
      </c>
      <c r="AI2056">
        <v>1</v>
      </c>
    </row>
    <row r="2057" spans="1:35" hidden="1" x14ac:dyDescent="0.25">
      <c r="A2057">
        <v>2018</v>
      </c>
      <c r="B2057" s="1">
        <v>43388</v>
      </c>
      <c r="C2057">
        <v>29</v>
      </c>
      <c r="D2057">
        <v>20526</v>
      </c>
      <c r="E2057">
        <v>23018</v>
      </c>
      <c r="F2057" t="s">
        <v>89</v>
      </c>
      <c r="G2057" t="s">
        <v>310</v>
      </c>
      <c r="H2057" t="s">
        <v>433</v>
      </c>
      <c r="I2057" t="s">
        <v>450</v>
      </c>
      <c r="J2057">
        <v>6</v>
      </c>
      <c r="K2057">
        <v>14</v>
      </c>
      <c r="L2057">
        <v>21150000</v>
      </c>
      <c r="M2057">
        <v>8550000</v>
      </c>
      <c r="N2057">
        <v>31</v>
      </c>
      <c r="O2057" t="s">
        <v>100</v>
      </c>
      <c r="P2057">
        <v>0</v>
      </c>
      <c r="Q2057">
        <v>0</v>
      </c>
      <c r="R2057">
        <v>0</v>
      </c>
      <c r="S2057">
        <v>0</v>
      </c>
      <c r="T2057">
        <v>16</v>
      </c>
      <c r="U2057">
        <v>3</v>
      </c>
      <c r="V2057">
        <v>16</v>
      </c>
      <c r="W2057">
        <v>15</v>
      </c>
      <c r="X2057">
        <v>17</v>
      </c>
      <c r="Y2057">
        <v>17</v>
      </c>
      <c r="Z2057">
        <v>7</v>
      </c>
      <c r="AA2057">
        <v>3</v>
      </c>
      <c r="AB2057">
        <v>1</v>
      </c>
      <c r="AC2057">
        <v>2</v>
      </c>
      <c r="AD2057">
        <v>3</v>
      </c>
      <c r="AE2057">
        <v>8</v>
      </c>
      <c r="AF2057">
        <v>8</v>
      </c>
      <c r="AG2057">
        <v>5</v>
      </c>
      <c r="AH2057">
        <v>0</v>
      </c>
      <c r="AI2057">
        <v>0</v>
      </c>
    </row>
    <row r="2058" spans="1:35" hidden="1" x14ac:dyDescent="0.25">
      <c r="A2058">
        <v>2018</v>
      </c>
      <c r="B2058" s="1">
        <v>43422</v>
      </c>
      <c r="C2058">
        <v>35</v>
      </c>
      <c r="D2058">
        <v>17313</v>
      </c>
      <c r="E2058">
        <v>23018</v>
      </c>
      <c r="F2058" t="s">
        <v>89</v>
      </c>
      <c r="G2058" t="s">
        <v>38</v>
      </c>
      <c r="H2058" t="s">
        <v>463</v>
      </c>
      <c r="I2058" t="s">
        <v>420</v>
      </c>
      <c r="J2058">
        <v>6</v>
      </c>
      <c r="K2058">
        <v>10</v>
      </c>
      <c r="L2058">
        <v>22400000</v>
      </c>
      <c r="M2058">
        <v>12200000</v>
      </c>
      <c r="N2058" t="s">
        <v>299</v>
      </c>
      <c r="O2058" t="s">
        <v>116</v>
      </c>
      <c r="P2058">
        <v>1</v>
      </c>
      <c r="Q2058">
        <v>0</v>
      </c>
      <c r="R2058">
        <v>0</v>
      </c>
      <c r="S2058">
        <v>0</v>
      </c>
      <c r="T2058">
        <v>10</v>
      </c>
      <c r="U2058">
        <v>4</v>
      </c>
      <c r="V2058">
        <v>15</v>
      </c>
      <c r="W2058">
        <v>23</v>
      </c>
      <c r="X2058">
        <v>25</v>
      </c>
      <c r="Y2058">
        <v>18</v>
      </c>
      <c r="Z2058">
        <v>2</v>
      </c>
      <c r="AA2058">
        <v>3</v>
      </c>
      <c r="AB2058">
        <v>3</v>
      </c>
      <c r="AC2058">
        <v>2</v>
      </c>
      <c r="AD2058">
        <v>4</v>
      </c>
      <c r="AE2058">
        <v>2</v>
      </c>
      <c r="AF2058">
        <v>6</v>
      </c>
      <c r="AG2058">
        <v>3</v>
      </c>
      <c r="AH2058">
        <v>1</v>
      </c>
      <c r="AI2058">
        <v>1</v>
      </c>
    </row>
    <row r="2059" spans="1:35" hidden="1" x14ac:dyDescent="0.25">
      <c r="A2059">
        <v>2018</v>
      </c>
      <c r="B2059" s="1">
        <v>43435</v>
      </c>
      <c r="C2059">
        <v>38</v>
      </c>
      <c r="D2059">
        <v>22365</v>
      </c>
      <c r="E2059">
        <v>23018</v>
      </c>
      <c r="F2059" t="s">
        <v>89</v>
      </c>
      <c r="G2059" t="s">
        <v>51</v>
      </c>
      <c r="H2059" t="s">
        <v>463</v>
      </c>
      <c r="I2059" t="s">
        <v>323</v>
      </c>
      <c r="J2059">
        <v>6</v>
      </c>
      <c r="K2059">
        <v>9</v>
      </c>
      <c r="L2059">
        <v>20450000</v>
      </c>
      <c r="M2059">
        <v>12800000</v>
      </c>
      <c r="N2059" t="s">
        <v>309</v>
      </c>
      <c r="O2059" t="s">
        <v>270</v>
      </c>
      <c r="P2059">
        <v>1</v>
      </c>
      <c r="Q2059">
        <v>0</v>
      </c>
      <c r="R2059">
        <v>1</v>
      </c>
      <c r="S2059">
        <v>0</v>
      </c>
      <c r="T2059">
        <v>5</v>
      </c>
      <c r="U2059">
        <v>10</v>
      </c>
      <c r="V2059">
        <v>17</v>
      </c>
      <c r="W2059">
        <v>16</v>
      </c>
      <c r="X2059">
        <v>18</v>
      </c>
      <c r="Y2059">
        <v>17</v>
      </c>
      <c r="Z2059">
        <v>1</v>
      </c>
      <c r="AA2059">
        <v>1</v>
      </c>
      <c r="AB2059">
        <v>0</v>
      </c>
      <c r="AC2059">
        <v>2</v>
      </c>
      <c r="AD2059">
        <v>2</v>
      </c>
      <c r="AE2059">
        <v>1</v>
      </c>
      <c r="AF2059">
        <v>6</v>
      </c>
      <c r="AG2059">
        <v>4</v>
      </c>
      <c r="AH2059">
        <v>1</v>
      </c>
      <c r="AI2059">
        <v>1</v>
      </c>
    </row>
    <row r="2060" spans="1:35" hidden="1" x14ac:dyDescent="0.25">
      <c r="A2060">
        <v>2018</v>
      </c>
      <c r="B2060" s="1">
        <v>43324</v>
      </c>
      <c r="C2060">
        <v>18</v>
      </c>
      <c r="D2060">
        <v>55276</v>
      </c>
      <c r="E2060">
        <v>78838</v>
      </c>
      <c r="F2060" t="s">
        <v>77</v>
      </c>
      <c r="G2060" t="s">
        <v>50</v>
      </c>
      <c r="H2060" t="s">
        <v>341</v>
      </c>
      <c r="I2060" t="s">
        <v>240</v>
      </c>
      <c r="J2060">
        <v>2</v>
      </c>
      <c r="K2060">
        <v>8</v>
      </c>
      <c r="L2060">
        <v>48750000</v>
      </c>
      <c r="M2060">
        <v>16800000</v>
      </c>
      <c r="N2060" t="s">
        <v>41</v>
      </c>
      <c r="O2060" t="s">
        <v>66</v>
      </c>
      <c r="P2060">
        <v>1</v>
      </c>
      <c r="Q2060">
        <v>0</v>
      </c>
      <c r="R2060">
        <v>1</v>
      </c>
      <c r="S2060">
        <v>0</v>
      </c>
      <c r="T2060">
        <v>5</v>
      </c>
      <c r="U2060">
        <v>2</v>
      </c>
      <c r="V2060">
        <v>29</v>
      </c>
      <c r="W2060">
        <v>17</v>
      </c>
      <c r="X2060">
        <v>19</v>
      </c>
      <c r="Y2060">
        <v>30</v>
      </c>
      <c r="Z2060">
        <v>2</v>
      </c>
      <c r="AA2060">
        <v>3</v>
      </c>
      <c r="AB2060">
        <v>1</v>
      </c>
      <c r="AC2060">
        <v>2</v>
      </c>
      <c r="AD2060">
        <v>4</v>
      </c>
      <c r="AE2060">
        <v>2</v>
      </c>
      <c r="AF2060">
        <v>4</v>
      </c>
      <c r="AG2060">
        <v>1</v>
      </c>
      <c r="AH2060">
        <v>1</v>
      </c>
      <c r="AI2060">
        <v>1</v>
      </c>
    </row>
    <row r="2061" spans="1:35" hidden="1" x14ac:dyDescent="0.25">
      <c r="A2061">
        <v>2018</v>
      </c>
      <c r="B2061" s="1">
        <v>43401</v>
      </c>
      <c r="C2061">
        <v>31</v>
      </c>
      <c r="D2061">
        <v>65102</v>
      </c>
      <c r="E2061">
        <v>78838</v>
      </c>
      <c r="F2061" t="s">
        <v>77</v>
      </c>
      <c r="G2061" t="s">
        <v>95</v>
      </c>
      <c r="H2061" t="s">
        <v>315</v>
      </c>
      <c r="I2061" t="s">
        <v>336</v>
      </c>
      <c r="J2061">
        <v>2</v>
      </c>
      <c r="K2061">
        <v>1</v>
      </c>
      <c r="L2061">
        <v>45550000</v>
      </c>
      <c r="M2061">
        <v>26850000</v>
      </c>
      <c r="N2061" t="s">
        <v>209</v>
      </c>
      <c r="O2061" t="s">
        <v>74</v>
      </c>
      <c r="P2061">
        <v>1</v>
      </c>
      <c r="Q2061">
        <v>1</v>
      </c>
      <c r="R2061">
        <v>0</v>
      </c>
      <c r="S2061">
        <v>0</v>
      </c>
      <c r="T2061">
        <v>15</v>
      </c>
      <c r="U2061">
        <v>4</v>
      </c>
      <c r="V2061">
        <v>17</v>
      </c>
      <c r="W2061">
        <v>14</v>
      </c>
      <c r="X2061">
        <v>16</v>
      </c>
      <c r="Y2061">
        <v>17</v>
      </c>
      <c r="Z2061">
        <v>2</v>
      </c>
      <c r="AA2061">
        <v>8</v>
      </c>
      <c r="AB2061">
        <v>0</v>
      </c>
      <c r="AC2061">
        <v>2</v>
      </c>
      <c r="AD2061">
        <v>3</v>
      </c>
      <c r="AE2061">
        <v>2</v>
      </c>
      <c r="AF2061">
        <v>2</v>
      </c>
      <c r="AG2061">
        <v>2</v>
      </c>
      <c r="AH2061">
        <v>0</v>
      </c>
      <c r="AI2061">
        <v>0</v>
      </c>
    </row>
    <row r="2062" spans="1:35" hidden="1" x14ac:dyDescent="0.25">
      <c r="A2062">
        <v>2018</v>
      </c>
      <c r="B2062" s="1">
        <v>43436</v>
      </c>
      <c r="C2062">
        <v>38</v>
      </c>
      <c r="D2062">
        <v>27776</v>
      </c>
      <c r="E2062">
        <v>31500</v>
      </c>
      <c r="F2062" t="s">
        <v>38</v>
      </c>
      <c r="G2062" t="s">
        <v>50</v>
      </c>
      <c r="H2062" t="s">
        <v>420</v>
      </c>
      <c r="I2062" t="s">
        <v>240</v>
      </c>
      <c r="J2062">
        <v>11</v>
      </c>
      <c r="K2062">
        <v>8</v>
      </c>
      <c r="L2062">
        <v>11150000</v>
      </c>
      <c r="M2062">
        <v>13800000</v>
      </c>
      <c r="N2062" t="s">
        <v>73</v>
      </c>
      <c r="O2062" t="s">
        <v>113</v>
      </c>
      <c r="P2062">
        <v>0</v>
      </c>
      <c r="Q2062">
        <v>0</v>
      </c>
      <c r="R2062">
        <v>0</v>
      </c>
      <c r="S2062">
        <v>0</v>
      </c>
      <c r="T2062">
        <v>7</v>
      </c>
      <c r="U2062">
        <v>8</v>
      </c>
      <c r="V2062">
        <v>18</v>
      </c>
      <c r="W2062">
        <v>14</v>
      </c>
      <c r="X2062">
        <v>17</v>
      </c>
      <c r="Y2062">
        <v>18</v>
      </c>
      <c r="Z2062">
        <v>4</v>
      </c>
      <c r="AA2062">
        <v>0</v>
      </c>
      <c r="AB2062">
        <v>0</v>
      </c>
      <c r="AC2062">
        <v>3</v>
      </c>
      <c r="AD2062">
        <v>0</v>
      </c>
      <c r="AE2062">
        <v>4</v>
      </c>
      <c r="AF2062">
        <v>9</v>
      </c>
      <c r="AG2062">
        <v>3</v>
      </c>
      <c r="AH2062">
        <v>0</v>
      </c>
      <c r="AI2062">
        <v>0</v>
      </c>
    </row>
    <row r="2063" spans="1:35" hidden="1" x14ac:dyDescent="0.25">
      <c r="A2063">
        <v>2018</v>
      </c>
      <c r="B2063" s="1">
        <v>43344</v>
      </c>
      <c r="C2063">
        <v>22</v>
      </c>
      <c r="D2063">
        <v>12603</v>
      </c>
      <c r="E2063">
        <v>35632</v>
      </c>
      <c r="F2063" t="s">
        <v>94</v>
      </c>
      <c r="G2063" t="s">
        <v>310</v>
      </c>
      <c r="H2063" t="s">
        <v>455</v>
      </c>
      <c r="I2063" t="s">
        <v>450</v>
      </c>
      <c r="J2063">
        <v>17</v>
      </c>
      <c r="K2063">
        <v>9</v>
      </c>
      <c r="L2063">
        <v>6200000</v>
      </c>
      <c r="M2063">
        <v>9050000</v>
      </c>
      <c r="N2063" t="s">
        <v>467</v>
      </c>
      <c r="O2063">
        <v>31</v>
      </c>
      <c r="P2063">
        <v>1</v>
      </c>
      <c r="Q2063">
        <v>0</v>
      </c>
      <c r="R2063">
        <v>0</v>
      </c>
      <c r="S2063">
        <v>0</v>
      </c>
      <c r="T2063">
        <v>5</v>
      </c>
      <c r="U2063">
        <v>3</v>
      </c>
      <c r="V2063">
        <v>20</v>
      </c>
      <c r="W2063">
        <v>10</v>
      </c>
      <c r="X2063">
        <v>13</v>
      </c>
      <c r="Y2063">
        <v>21</v>
      </c>
      <c r="Z2063">
        <v>3</v>
      </c>
      <c r="AA2063">
        <v>6</v>
      </c>
      <c r="AB2063">
        <v>1</v>
      </c>
      <c r="AC2063">
        <v>3</v>
      </c>
      <c r="AD2063">
        <v>7</v>
      </c>
      <c r="AE2063">
        <v>3</v>
      </c>
      <c r="AF2063">
        <v>6</v>
      </c>
      <c r="AG2063">
        <v>1</v>
      </c>
      <c r="AH2063">
        <v>1</v>
      </c>
      <c r="AI2063">
        <v>1</v>
      </c>
    </row>
    <row r="2064" spans="1:35" hidden="1" x14ac:dyDescent="0.25">
      <c r="A2064">
        <v>2018</v>
      </c>
      <c r="B2064" s="1">
        <v>43415</v>
      </c>
      <c r="C2064">
        <v>33</v>
      </c>
      <c r="D2064">
        <v>22332</v>
      </c>
      <c r="E2064">
        <v>35632</v>
      </c>
      <c r="F2064" t="s">
        <v>94</v>
      </c>
      <c r="G2064" t="s">
        <v>38</v>
      </c>
      <c r="H2064" t="s">
        <v>456</v>
      </c>
      <c r="I2064" t="s">
        <v>420</v>
      </c>
      <c r="J2064">
        <v>17</v>
      </c>
      <c r="K2064">
        <v>11</v>
      </c>
      <c r="L2064">
        <v>6750000</v>
      </c>
      <c r="M2064">
        <v>13150000</v>
      </c>
      <c r="N2064" t="s">
        <v>230</v>
      </c>
      <c r="O2064" t="s">
        <v>151</v>
      </c>
      <c r="P2064">
        <v>2</v>
      </c>
      <c r="Q2064">
        <v>2</v>
      </c>
      <c r="R2064">
        <v>1</v>
      </c>
      <c r="S2064">
        <v>1</v>
      </c>
      <c r="T2064">
        <v>4</v>
      </c>
      <c r="U2064">
        <v>5</v>
      </c>
      <c r="V2064">
        <v>18</v>
      </c>
      <c r="W2064">
        <v>27</v>
      </c>
      <c r="X2064">
        <v>30</v>
      </c>
      <c r="Y2064">
        <v>20</v>
      </c>
      <c r="Z2064">
        <v>0</v>
      </c>
      <c r="AA2064">
        <v>1</v>
      </c>
      <c r="AB2064">
        <v>2</v>
      </c>
      <c r="AC2064">
        <v>3</v>
      </c>
      <c r="AD2064">
        <v>3</v>
      </c>
      <c r="AE2064">
        <v>2</v>
      </c>
      <c r="AF2064">
        <v>4</v>
      </c>
      <c r="AG2064">
        <v>7</v>
      </c>
      <c r="AH2064">
        <v>0</v>
      </c>
      <c r="AI2064">
        <v>0</v>
      </c>
    </row>
    <row r="2065" spans="1:35" hidden="1" x14ac:dyDescent="0.25">
      <c r="A2065">
        <v>2018</v>
      </c>
      <c r="B2065" s="1">
        <v>43421</v>
      </c>
      <c r="C2065">
        <v>35</v>
      </c>
      <c r="D2065">
        <v>8440</v>
      </c>
      <c r="E2065">
        <v>35632</v>
      </c>
      <c r="F2065" t="s">
        <v>94</v>
      </c>
      <c r="G2065" t="s">
        <v>454</v>
      </c>
      <c r="H2065" t="s">
        <v>456</v>
      </c>
      <c r="I2065" t="s">
        <v>333</v>
      </c>
      <c r="J2065">
        <v>18</v>
      </c>
      <c r="K2065">
        <v>8</v>
      </c>
      <c r="L2065">
        <v>5530000</v>
      </c>
      <c r="M2065">
        <v>11300000</v>
      </c>
      <c r="N2065" t="s">
        <v>60</v>
      </c>
      <c r="O2065" t="s">
        <v>117</v>
      </c>
      <c r="P2065">
        <v>1</v>
      </c>
      <c r="Q2065">
        <v>2</v>
      </c>
      <c r="R2065">
        <v>0</v>
      </c>
      <c r="S2065">
        <v>1</v>
      </c>
      <c r="T2065">
        <v>3</v>
      </c>
      <c r="U2065">
        <v>4</v>
      </c>
      <c r="V2065">
        <v>14</v>
      </c>
      <c r="W2065">
        <v>23</v>
      </c>
      <c r="X2065">
        <v>26</v>
      </c>
      <c r="Y2065">
        <v>14</v>
      </c>
      <c r="Z2065">
        <v>4</v>
      </c>
      <c r="AA2065">
        <v>3</v>
      </c>
      <c r="AB2065">
        <v>0</v>
      </c>
      <c r="AC2065">
        <v>3</v>
      </c>
      <c r="AD2065">
        <v>4</v>
      </c>
      <c r="AE2065">
        <v>5</v>
      </c>
      <c r="AF2065">
        <v>6</v>
      </c>
      <c r="AG2065">
        <v>4</v>
      </c>
      <c r="AH2065">
        <v>-1</v>
      </c>
      <c r="AI2065">
        <v>0</v>
      </c>
    </row>
    <row r="2066" spans="1:35" hidden="1" x14ac:dyDescent="0.25">
      <c r="A2066">
        <v>2018</v>
      </c>
      <c r="B2066" s="1">
        <v>43331</v>
      </c>
      <c r="C2066">
        <v>19</v>
      </c>
      <c r="D2066">
        <v>32848</v>
      </c>
      <c r="E2066">
        <v>49205</v>
      </c>
      <c r="F2066" t="s">
        <v>88</v>
      </c>
      <c r="G2066" t="s">
        <v>83</v>
      </c>
      <c r="H2066" t="s">
        <v>399</v>
      </c>
      <c r="I2066" t="s">
        <v>85</v>
      </c>
      <c r="J2066">
        <v>7</v>
      </c>
      <c r="K2066">
        <v>4</v>
      </c>
      <c r="L2066">
        <v>27300000</v>
      </c>
      <c r="M2066">
        <v>50750000</v>
      </c>
      <c r="N2066" t="s">
        <v>135</v>
      </c>
      <c r="O2066" t="s">
        <v>98</v>
      </c>
      <c r="P2066">
        <v>0</v>
      </c>
      <c r="Q2066">
        <v>1</v>
      </c>
      <c r="R2066">
        <v>0</v>
      </c>
      <c r="S2066">
        <v>0</v>
      </c>
      <c r="T2066">
        <v>5</v>
      </c>
      <c r="U2066">
        <v>7</v>
      </c>
      <c r="V2066">
        <v>6</v>
      </c>
      <c r="W2066">
        <v>6</v>
      </c>
      <c r="X2066">
        <v>9</v>
      </c>
      <c r="Y2066">
        <v>6</v>
      </c>
      <c r="Z2066">
        <v>8</v>
      </c>
      <c r="AA2066">
        <v>3</v>
      </c>
      <c r="AB2066">
        <v>0</v>
      </c>
      <c r="AC2066">
        <v>3</v>
      </c>
      <c r="AD2066">
        <v>3</v>
      </c>
      <c r="AE2066">
        <v>9</v>
      </c>
      <c r="AF2066">
        <v>2</v>
      </c>
      <c r="AG2066">
        <v>1</v>
      </c>
      <c r="AH2066">
        <v>-1</v>
      </c>
      <c r="AI2066">
        <v>0</v>
      </c>
    </row>
    <row r="2067" spans="1:35" hidden="1" x14ac:dyDescent="0.25">
      <c r="A2067">
        <v>2018</v>
      </c>
      <c r="B2067" s="1">
        <v>43345</v>
      </c>
      <c r="C2067">
        <v>22</v>
      </c>
      <c r="D2067">
        <v>29609</v>
      </c>
      <c r="E2067">
        <v>49205</v>
      </c>
      <c r="F2067" t="s">
        <v>88</v>
      </c>
      <c r="G2067" t="s">
        <v>89</v>
      </c>
      <c r="H2067" t="s">
        <v>399</v>
      </c>
      <c r="I2067" t="s">
        <v>433</v>
      </c>
      <c r="J2067">
        <v>8</v>
      </c>
      <c r="K2067">
        <v>6</v>
      </c>
      <c r="L2067">
        <v>17700000</v>
      </c>
      <c r="M2067">
        <v>18950000</v>
      </c>
      <c r="N2067" t="s">
        <v>239</v>
      </c>
      <c r="O2067" t="s">
        <v>296</v>
      </c>
      <c r="P2067">
        <v>1</v>
      </c>
      <c r="Q2067">
        <v>1</v>
      </c>
      <c r="R2067">
        <v>1</v>
      </c>
      <c r="S2067">
        <v>1</v>
      </c>
      <c r="T2067">
        <v>6</v>
      </c>
      <c r="U2067">
        <v>3</v>
      </c>
      <c r="V2067">
        <v>16</v>
      </c>
      <c r="W2067">
        <v>20</v>
      </c>
      <c r="X2067">
        <v>23</v>
      </c>
      <c r="Y2067">
        <v>16</v>
      </c>
      <c r="Z2067">
        <v>1</v>
      </c>
      <c r="AA2067">
        <v>1</v>
      </c>
      <c r="AB2067">
        <v>0</v>
      </c>
      <c r="AC2067">
        <v>3</v>
      </c>
      <c r="AD2067">
        <v>1</v>
      </c>
      <c r="AE2067">
        <v>2</v>
      </c>
      <c r="AF2067">
        <v>3</v>
      </c>
      <c r="AG2067">
        <v>5</v>
      </c>
      <c r="AH2067">
        <v>0</v>
      </c>
      <c r="AI2067">
        <v>0</v>
      </c>
    </row>
    <row r="2068" spans="1:35" hidden="1" x14ac:dyDescent="0.25">
      <c r="A2068">
        <v>2018</v>
      </c>
      <c r="B2068" s="1">
        <v>43419</v>
      </c>
      <c r="C2068">
        <v>34</v>
      </c>
      <c r="D2068">
        <v>37430</v>
      </c>
      <c r="E2068">
        <v>43600</v>
      </c>
      <c r="F2068" t="s">
        <v>95</v>
      </c>
      <c r="G2068" t="s">
        <v>55</v>
      </c>
      <c r="H2068" t="s">
        <v>336</v>
      </c>
      <c r="I2068" t="s">
        <v>458</v>
      </c>
      <c r="J2068">
        <v>1</v>
      </c>
      <c r="K2068">
        <v>10</v>
      </c>
      <c r="L2068">
        <v>42000000</v>
      </c>
      <c r="M2068">
        <v>12550000</v>
      </c>
      <c r="N2068" t="s">
        <v>98</v>
      </c>
      <c r="O2068" t="s">
        <v>233</v>
      </c>
      <c r="P2068">
        <v>3</v>
      </c>
      <c r="Q2068">
        <v>0</v>
      </c>
      <c r="R2068">
        <v>1</v>
      </c>
      <c r="S2068">
        <v>0</v>
      </c>
      <c r="T2068">
        <v>6</v>
      </c>
      <c r="U2068">
        <v>4</v>
      </c>
      <c r="V2068">
        <v>18</v>
      </c>
      <c r="W2068">
        <v>25</v>
      </c>
      <c r="X2068">
        <v>28</v>
      </c>
      <c r="Y2068">
        <v>20</v>
      </c>
      <c r="Z2068">
        <v>2</v>
      </c>
      <c r="AA2068">
        <v>5</v>
      </c>
      <c r="AB2068">
        <v>2</v>
      </c>
      <c r="AC2068">
        <v>3</v>
      </c>
      <c r="AD2068">
        <v>8</v>
      </c>
      <c r="AE2068">
        <v>2</v>
      </c>
      <c r="AF2068">
        <v>3</v>
      </c>
      <c r="AG2068">
        <v>3</v>
      </c>
      <c r="AH2068">
        <v>3</v>
      </c>
      <c r="AI2068">
        <v>1</v>
      </c>
    </row>
    <row r="2069" spans="1:35" hidden="1" x14ac:dyDescent="0.25">
      <c r="A2069">
        <v>2018</v>
      </c>
      <c r="B2069" s="1">
        <v>43422</v>
      </c>
      <c r="C2069">
        <v>35</v>
      </c>
      <c r="D2069">
        <v>19006</v>
      </c>
      <c r="E2069">
        <v>46931</v>
      </c>
      <c r="F2069" t="s">
        <v>51</v>
      </c>
      <c r="G2069" t="s">
        <v>37</v>
      </c>
      <c r="H2069" t="s">
        <v>323</v>
      </c>
      <c r="I2069" t="s">
        <v>328</v>
      </c>
      <c r="J2069">
        <v>11</v>
      </c>
      <c r="K2069">
        <v>2</v>
      </c>
      <c r="L2069">
        <v>15650000</v>
      </c>
      <c r="M2069">
        <v>24500000</v>
      </c>
      <c r="N2069" t="s">
        <v>217</v>
      </c>
      <c r="O2069" t="s">
        <v>66</v>
      </c>
      <c r="P2069">
        <v>1</v>
      </c>
      <c r="Q2069">
        <v>0</v>
      </c>
      <c r="R2069">
        <v>1</v>
      </c>
      <c r="S2069">
        <v>0</v>
      </c>
      <c r="T2069">
        <v>1</v>
      </c>
      <c r="U2069">
        <v>9</v>
      </c>
      <c r="V2069">
        <v>11</v>
      </c>
      <c r="W2069">
        <v>18</v>
      </c>
      <c r="X2069">
        <v>21</v>
      </c>
      <c r="Y2069">
        <v>12</v>
      </c>
      <c r="Z2069">
        <v>3</v>
      </c>
      <c r="AA2069">
        <v>3</v>
      </c>
      <c r="AB2069">
        <v>1</v>
      </c>
      <c r="AC2069">
        <v>3</v>
      </c>
      <c r="AD2069">
        <v>4</v>
      </c>
      <c r="AE2069">
        <v>2</v>
      </c>
      <c r="AF2069">
        <v>4</v>
      </c>
      <c r="AG2069">
        <v>2</v>
      </c>
      <c r="AH2069">
        <v>1</v>
      </c>
      <c r="AI2069">
        <v>1</v>
      </c>
    </row>
    <row r="2070" spans="1:35" hidden="1" x14ac:dyDescent="0.25">
      <c r="A2070">
        <v>2018</v>
      </c>
      <c r="B2070" s="1">
        <v>43379</v>
      </c>
      <c r="C2070">
        <v>28</v>
      </c>
      <c r="D2070">
        <v>56694</v>
      </c>
      <c r="E2070">
        <v>67428</v>
      </c>
      <c r="F2070" t="s">
        <v>62</v>
      </c>
      <c r="G2070" t="s">
        <v>95</v>
      </c>
      <c r="H2070" t="s">
        <v>342</v>
      </c>
      <c r="I2070" t="s">
        <v>336</v>
      </c>
      <c r="J2070">
        <v>3</v>
      </c>
      <c r="K2070">
        <v>1</v>
      </c>
      <c r="L2070">
        <v>35750000</v>
      </c>
      <c r="M2070">
        <v>40900000</v>
      </c>
      <c r="N2070" t="s">
        <v>205</v>
      </c>
      <c r="O2070" t="s">
        <v>107</v>
      </c>
      <c r="P2070">
        <v>0</v>
      </c>
      <c r="Q2070">
        <v>2</v>
      </c>
      <c r="R2070">
        <v>0</v>
      </c>
      <c r="S2070">
        <v>2</v>
      </c>
      <c r="T2070">
        <v>4</v>
      </c>
      <c r="U2070">
        <v>2</v>
      </c>
      <c r="V2070">
        <v>22</v>
      </c>
      <c r="W2070">
        <v>16</v>
      </c>
      <c r="X2070">
        <v>19</v>
      </c>
      <c r="Y2070">
        <v>24</v>
      </c>
      <c r="Z2070">
        <v>2</v>
      </c>
      <c r="AA2070">
        <v>2</v>
      </c>
      <c r="AB2070">
        <v>2</v>
      </c>
      <c r="AC2070">
        <v>3</v>
      </c>
      <c r="AD2070">
        <v>2</v>
      </c>
      <c r="AE2070">
        <v>4</v>
      </c>
      <c r="AF2070">
        <v>4</v>
      </c>
      <c r="AG2070">
        <v>2</v>
      </c>
      <c r="AH2070">
        <v>-2</v>
      </c>
      <c r="AI2070">
        <v>0</v>
      </c>
    </row>
    <row r="2071" spans="1:35" hidden="1" x14ac:dyDescent="0.25">
      <c r="A2071">
        <v>2018</v>
      </c>
      <c r="B2071" s="1">
        <v>43422</v>
      </c>
      <c r="C2071">
        <v>35</v>
      </c>
      <c r="D2071">
        <v>14058</v>
      </c>
      <c r="E2071">
        <v>67428</v>
      </c>
      <c r="F2071" t="s">
        <v>62</v>
      </c>
      <c r="G2071" t="s">
        <v>50</v>
      </c>
      <c r="H2071" t="s">
        <v>461</v>
      </c>
      <c r="I2071" t="s">
        <v>240</v>
      </c>
      <c r="J2071">
        <v>5</v>
      </c>
      <c r="K2071">
        <v>7</v>
      </c>
      <c r="L2071">
        <v>30150000</v>
      </c>
      <c r="M2071">
        <v>22800000</v>
      </c>
      <c r="N2071">
        <v>29</v>
      </c>
      <c r="O2071" t="s">
        <v>147</v>
      </c>
      <c r="P2071">
        <v>1</v>
      </c>
      <c r="Q2071">
        <v>0</v>
      </c>
      <c r="R2071">
        <v>1</v>
      </c>
      <c r="S2071">
        <v>0</v>
      </c>
      <c r="T2071">
        <v>3</v>
      </c>
      <c r="U2071">
        <v>1</v>
      </c>
      <c r="V2071">
        <v>12</v>
      </c>
      <c r="W2071">
        <v>17</v>
      </c>
      <c r="X2071">
        <v>20</v>
      </c>
      <c r="Y2071">
        <v>16</v>
      </c>
      <c r="Z2071">
        <v>0</v>
      </c>
      <c r="AA2071">
        <v>3</v>
      </c>
      <c r="AB2071">
        <v>4</v>
      </c>
      <c r="AC2071">
        <v>3</v>
      </c>
      <c r="AD2071">
        <v>4</v>
      </c>
      <c r="AE2071">
        <v>0</v>
      </c>
      <c r="AF2071">
        <v>5</v>
      </c>
      <c r="AG2071">
        <v>4</v>
      </c>
      <c r="AH2071">
        <v>1</v>
      </c>
      <c r="AI2071">
        <v>1</v>
      </c>
    </row>
    <row r="2072" spans="1:35" hidden="1" x14ac:dyDescent="0.25">
      <c r="A2072">
        <v>2018</v>
      </c>
      <c r="B2072" s="1">
        <v>43335</v>
      </c>
      <c r="C2072">
        <v>20</v>
      </c>
      <c r="D2072">
        <v>8561</v>
      </c>
      <c r="E2072">
        <v>20083</v>
      </c>
      <c r="F2072" t="s">
        <v>457</v>
      </c>
      <c r="G2072" t="s">
        <v>62</v>
      </c>
      <c r="H2072" t="s">
        <v>444</v>
      </c>
      <c r="I2072" t="s">
        <v>342</v>
      </c>
      <c r="J2072">
        <v>20</v>
      </c>
      <c r="K2072">
        <v>1</v>
      </c>
      <c r="L2072">
        <v>6150000</v>
      </c>
      <c r="M2072">
        <v>31000000</v>
      </c>
      <c r="N2072" t="s">
        <v>233</v>
      </c>
      <c r="O2072">
        <v>31</v>
      </c>
      <c r="P2072">
        <v>1</v>
      </c>
      <c r="Q2072">
        <v>1</v>
      </c>
      <c r="R2072">
        <v>1</v>
      </c>
      <c r="S2072">
        <v>1</v>
      </c>
      <c r="T2072">
        <v>4</v>
      </c>
      <c r="U2072">
        <v>9</v>
      </c>
      <c r="V2072">
        <v>14</v>
      </c>
      <c r="W2072">
        <v>12</v>
      </c>
      <c r="X2072">
        <v>15</v>
      </c>
      <c r="Y2072">
        <v>16</v>
      </c>
      <c r="Z2072">
        <v>2</v>
      </c>
      <c r="AA2072">
        <v>3</v>
      </c>
      <c r="AB2072">
        <v>2</v>
      </c>
      <c r="AC2072">
        <v>3</v>
      </c>
      <c r="AD2072">
        <v>2</v>
      </c>
      <c r="AE2072">
        <v>3</v>
      </c>
      <c r="AF2072">
        <v>9</v>
      </c>
      <c r="AG2072">
        <v>7</v>
      </c>
      <c r="AH2072">
        <v>0</v>
      </c>
      <c r="AI2072">
        <v>0</v>
      </c>
    </row>
    <row r="2073" spans="1:35" hidden="1" x14ac:dyDescent="0.25">
      <c r="A2073">
        <v>2018</v>
      </c>
      <c r="B2073" s="1">
        <v>43375</v>
      </c>
      <c r="C2073">
        <v>27</v>
      </c>
      <c r="D2073">
        <v>3894</v>
      </c>
      <c r="E2073">
        <v>20083</v>
      </c>
      <c r="F2073" t="s">
        <v>457</v>
      </c>
      <c r="G2073" t="s">
        <v>82</v>
      </c>
      <c r="H2073" t="s">
        <v>444</v>
      </c>
      <c r="I2073" t="s">
        <v>378</v>
      </c>
      <c r="J2073">
        <v>20</v>
      </c>
      <c r="K2073">
        <v>16</v>
      </c>
      <c r="L2073">
        <v>4400000</v>
      </c>
      <c r="M2073">
        <v>14000000</v>
      </c>
      <c r="N2073" t="s">
        <v>168</v>
      </c>
      <c r="O2073" t="s">
        <v>129</v>
      </c>
      <c r="P2073">
        <v>1</v>
      </c>
      <c r="Q2073">
        <v>1</v>
      </c>
      <c r="R2073">
        <v>1</v>
      </c>
      <c r="S2073">
        <v>1</v>
      </c>
      <c r="T2073">
        <v>11</v>
      </c>
      <c r="U2073">
        <v>5</v>
      </c>
      <c r="V2073">
        <v>13</v>
      </c>
      <c r="W2073">
        <v>11</v>
      </c>
      <c r="X2073">
        <v>14</v>
      </c>
      <c r="Y2073">
        <v>15</v>
      </c>
      <c r="Z2073">
        <v>2</v>
      </c>
      <c r="AA2073">
        <v>4</v>
      </c>
      <c r="AB2073">
        <v>2</v>
      </c>
      <c r="AC2073">
        <v>3</v>
      </c>
      <c r="AD2073">
        <v>5</v>
      </c>
      <c r="AE2073">
        <v>3</v>
      </c>
      <c r="AF2073">
        <v>10</v>
      </c>
      <c r="AG2073">
        <v>7</v>
      </c>
      <c r="AH2073">
        <v>0</v>
      </c>
      <c r="AI2073">
        <v>0</v>
      </c>
    </row>
    <row r="2074" spans="1:35" hidden="1" x14ac:dyDescent="0.25">
      <c r="A2074">
        <v>2018</v>
      </c>
      <c r="B2074" s="1">
        <v>43379</v>
      </c>
      <c r="C2074">
        <v>28</v>
      </c>
      <c r="D2074">
        <v>11443</v>
      </c>
      <c r="E2074">
        <v>42372</v>
      </c>
      <c r="F2074" t="s">
        <v>454</v>
      </c>
      <c r="G2074" t="s">
        <v>310</v>
      </c>
      <c r="H2074" t="s">
        <v>333</v>
      </c>
      <c r="I2074" t="s">
        <v>450</v>
      </c>
      <c r="J2074">
        <v>11</v>
      </c>
      <c r="K2074">
        <v>13</v>
      </c>
      <c r="L2074">
        <v>12050000</v>
      </c>
      <c r="M2074">
        <v>8650000</v>
      </c>
      <c r="N2074" t="s">
        <v>163</v>
      </c>
      <c r="O2074" t="s">
        <v>48</v>
      </c>
      <c r="P2074">
        <v>4</v>
      </c>
      <c r="Q2074">
        <v>0</v>
      </c>
      <c r="R2074">
        <v>2</v>
      </c>
      <c r="S2074">
        <v>0</v>
      </c>
      <c r="T2074">
        <v>5</v>
      </c>
      <c r="U2074">
        <v>1</v>
      </c>
      <c r="V2074">
        <v>9</v>
      </c>
      <c r="W2074">
        <v>12</v>
      </c>
      <c r="X2074">
        <v>15</v>
      </c>
      <c r="Y2074">
        <v>10</v>
      </c>
      <c r="Z2074">
        <v>3</v>
      </c>
      <c r="AA2074">
        <v>0</v>
      </c>
      <c r="AB2074">
        <v>1</v>
      </c>
      <c r="AC2074">
        <v>3</v>
      </c>
      <c r="AD2074">
        <v>4</v>
      </c>
      <c r="AE2074">
        <v>3</v>
      </c>
      <c r="AF2074">
        <v>4</v>
      </c>
      <c r="AG2074">
        <v>1</v>
      </c>
      <c r="AH2074">
        <v>4</v>
      </c>
      <c r="AI2074">
        <v>1</v>
      </c>
    </row>
    <row r="2075" spans="1:35" hidden="1" x14ac:dyDescent="0.25">
      <c r="A2075">
        <v>2018</v>
      </c>
      <c r="B2075" s="1">
        <v>43416</v>
      </c>
      <c r="C2075">
        <v>33</v>
      </c>
      <c r="D2075">
        <v>12659</v>
      </c>
      <c r="E2075">
        <v>37000</v>
      </c>
      <c r="F2075" t="s">
        <v>419</v>
      </c>
      <c r="G2075" t="s">
        <v>394</v>
      </c>
      <c r="H2075" t="s">
        <v>71</v>
      </c>
      <c r="I2075" t="s">
        <v>444</v>
      </c>
      <c r="J2075">
        <v>7</v>
      </c>
      <c r="K2075">
        <v>19</v>
      </c>
      <c r="L2075">
        <v>23750000</v>
      </c>
      <c r="M2075">
        <v>11500000</v>
      </c>
      <c r="N2075" t="s">
        <v>66</v>
      </c>
      <c r="O2075" t="s">
        <v>86</v>
      </c>
      <c r="P2075">
        <v>0</v>
      </c>
      <c r="Q2075">
        <v>1</v>
      </c>
      <c r="R2075">
        <v>0</v>
      </c>
      <c r="S2075">
        <v>1</v>
      </c>
      <c r="T2075">
        <v>5</v>
      </c>
      <c r="U2075">
        <v>4</v>
      </c>
      <c r="V2075">
        <v>15</v>
      </c>
      <c r="W2075">
        <v>24</v>
      </c>
      <c r="X2075">
        <v>27</v>
      </c>
      <c r="Y2075">
        <v>17</v>
      </c>
      <c r="Z2075">
        <v>3</v>
      </c>
      <c r="AA2075">
        <v>2</v>
      </c>
      <c r="AB2075">
        <v>2</v>
      </c>
      <c r="AC2075">
        <v>3</v>
      </c>
      <c r="AD2075">
        <v>2</v>
      </c>
      <c r="AE2075">
        <v>4</v>
      </c>
      <c r="AF2075">
        <v>8</v>
      </c>
      <c r="AG2075">
        <v>2</v>
      </c>
      <c r="AH2075">
        <v>-1</v>
      </c>
      <c r="AI2075">
        <v>0</v>
      </c>
    </row>
    <row r="2076" spans="1:35" hidden="1" x14ac:dyDescent="0.25">
      <c r="A2076">
        <v>2018</v>
      </c>
      <c r="B2076" s="1">
        <v>43426</v>
      </c>
      <c r="C2076">
        <v>36</v>
      </c>
      <c r="D2076">
        <v>4036</v>
      </c>
      <c r="E2076">
        <v>57483</v>
      </c>
      <c r="F2076" t="s">
        <v>50</v>
      </c>
      <c r="G2076" t="s">
        <v>94</v>
      </c>
      <c r="H2076" t="s">
        <v>240</v>
      </c>
      <c r="I2076" t="s">
        <v>456</v>
      </c>
      <c r="J2076">
        <v>8</v>
      </c>
      <c r="K2076">
        <v>19</v>
      </c>
      <c r="L2076">
        <v>18000000</v>
      </c>
      <c r="M2076">
        <v>8580000</v>
      </c>
      <c r="N2076" t="s">
        <v>66</v>
      </c>
      <c r="O2076" t="s">
        <v>332</v>
      </c>
      <c r="P2076">
        <v>3</v>
      </c>
      <c r="Q2076">
        <v>0</v>
      </c>
      <c r="R2076">
        <v>1</v>
      </c>
      <c r="S2076">
        <v>0</v>
      </c>
      <c r="T2076">
        <v>6</v>
      </c>
      <c r="U2076">
        <v>8</v>
      </c>
      <c r="V2076">
        <v>18</v>
      </c>
      <c r="W2076">
        <v>13</v>
      </c>
      <c r="X2076">
        <v>16</v>
      </c>
      <c r="Y2076">
        <v>20</v>
      </c>
      <c r="Z2076">
        <v>1</v>
      </c>
      <c r="AA2076">
        <v>5</v>
      </c>
      <c r="AB2076">
        <v>2</v>
      </c>
      <c r="AC2076">
        <v>3</v>
      </c>
      <c r="AD2076">
        <v>7</v>
      </c>
      <c r="AE2076">
        <v>1</v>
      </c>
      <c r="AF2076">
        <v>4</v>
      </c>
      <c r="AG2076">
        <v>9</v>
      </c>
      <c r="AH2076">
        <v>3</v>
      </c>
      <c r="AI2076">
        <v>1</v>
      </c>
    </row>
    <row r="2077" spans="1:35" hidden="1" x14ac:dyDescent="0.25">
      <c r="A2077">
        <v>2018</v>
      </c>
      <c r="B2077" s="1">
        <v>43373</v>
      </c>
      <c r="C2077">
        <v>27</v>
      </c>
      <c r="D2077">
        <v>8012</v>
      </c>
      <c r="E2077">
        <v>25000</v>
      </c>
      <c r="F2077" t="s">
        <v>310</v>
      </c>
      <c r="G2077" t="s">
        <v>88</v>
      </c>
      <c r="H2077" t="s">
        <v>450</v>
      </c>
      <c r="I2077" t="s">
        <v>78</v>
      </c>
      <c r="J2077">
        <v>13</v>
      </c>
      <c r="K2077">
        <v>8</v>
      </c>
      <c r="L2077">
        <v>7700000</v>
      </c>
      <c r="M2077">
        <v>24550000</v>
      </c>
      <c r="N2077" t="s">
        <v>208</v>
      </c>
      <c r="O2077" t="s">
        <v>176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5</v>
      </c>
      <c r="V2077">
        <v>8</v>
      </c>
      <c r="W2077">
        <v>3</v>
      </c>
      <c r="X2077">
        <v>6</v>
      </c>
      <c r="Y2077">
        <v>9</v>
      </c>
      <c r="Z2077">
        <v>6</v>
      </c>
      <c r="AA2077">
        <v>2</v>
      </c>
      <c r="AB2077">
        <v>1</v>
      </c>
      <c r="AC2077">
        <v>3</v>
      </c>
      <c r="AD2077">
        <v>3</v>
      </c>
      <c r="AE2077">
        <v>7</v>
      </c>
      <c r="AF2077">
        <v>3</v>
      </c>
      <c r="AG2077">
        <v>6</v>
      </c>
      <c r="AH2077">
        <v>0</v>
      </c>
      <c r="AI2077">
        <v>0</v>
      </c>
    </row>
    <row r="2078" spans="1:35" hidden="1" x14ac:dyDescent="0.25">
      <c r="A2078">
        <v>2018</v>
      </c>
      <c r="B2078" s="1">
        <v>43345</v>
      </c>
      <c r="C2078">
        <v>22</v>
      </c>
      <c r="D2078">
        <v>13966</v>
      </c>
      <c r="E2078">
        <v>35000</v>
      </c>
      <c r="F2078" t="s">
        <v>391</v>
      </c>
      <c r="G2078" t="s">
        <v>457</v>
      </c>
      <c r="H2078" t="s">
        <v>369</v>
      </c>
      <c r="I2078" t="s">
        <v>444</v>
      </c>
      <c r="J2078">
        <v>18</v>
      </c>
      <c r="K2078">
        <v>20</v>
      </c>
      <c r="L2078">
        <v>10950000</v>
      </c>
      <c r="M2078">
        <v>6550000</v>
      </c>
      <c r="N2078" t="s">
        <v>174</v>
      </c>
      <c r="O2078" t="s">
        <v>80</v>
      </c>
      <c r="P2078">
        <v>1</v>
      </c>
      <c r="Q2078">
        <v>0</v>
      </c>
      <c r="R2078">
        <v>1</v>
      </c>
      <c r="S2078">
        <v>0</v>
      </c>
      <c r="T2078">
        <v>11</v>
      </c>
      <c r="U2078">
        <v>3</v>
      </c>
      <c r="V2078">
        <v>18</v>
      </c>
      <c r="W2078">
        <v>12</v>
      </c>
      <c r="X2078">
        <v>15</v>
      </c>
      <c r="Y2078">
        <v>19</v>
      </c>
      <c r="Z2078">
        <v>3</v>
      </c>
      <c r="AA2078">
        <v>3</v>
      </c>
      <c r="AB2078">
        <v>1</v>
      </c>
      <c r="AC2078">
        <v>3</v>
      </c>
      <c r="AD2078">
        <v>4</v>
      </c>
      <c r="AE2078">
        <v>3</v>
      </c>
      <c r="AF2078">
        <v>4</v>
      </c>
      <c r="AG2078">
        <v>9</v>
      </c>
      <c r="AH2078">
        <v>1</v>
      </c>
      <c r="AI2078">
        <v>1</v>
      </c>
    </row>
    <row r="2079" spans="1:35" hidden="1" x14ac:dyDescent="0.25">
      <c r="A2079">
        <v>2018</v>
      </c>
      <c r="B2079" s="1">
        <v>43419</v>
      </c>
      <c r="C2079">
        <v>34</v>
      </c>
      <c r="D2079">
        <v>22652</v>
      </c>
      <c r="E2079">
        <v>35000</v>
      </c>
      <c r="F2079" t="s">
        <v>391</v>
      </c>
      <c r="G2079" t="s">
        <v>94</v>
      </c>
      <c r="H2079" t="s">
        <v>462</v>
      </c>
      <c r="I2079" t="s">
        <v>456</v>
      </c>
      <c r="J2079">
        <v>16</v>
      </c>
      <c r="K2079">
        <v>18</v>
      </c>
      <c r="L2079">
        <v>9600000</v>
      </c>
      <c r="M2079">
        <v>7480000</v>
      </c>
      <c r="N2079" t="s">
        <v>209</v>
      </c>
      <c r="O2079" t="s">
        <v>221</v>
      </c>
      <c r="P2079">
        <v>0</v>
      </c>
      <c r="Q2079">
        <v>0</v>
      </c>
      <c r="R2079">
        <v>0</v>
      </c>
      <c r="S2079">
        <v>0</v>
      </c>
      <c r="T2079">
        <v>7</v>
      </c>
      <c r="U2079">
        <v>8</v>
      </c>
      <c r="V2079">
        <v>19</v>
      </c>
      <c r="W2079">
        <v>16</v>
      </c>
      <c r="X2079">
        <v>19</v>
      </c>
      <c r="Y2079">
        <v>21</v>
      </c>
      <c r="Z2079">
        <v>5</v>
      </c>
      <c r="AA2079">
        <v>1</v>
      </c>
      <c r="AB2079">
        <v>2</v>
      </c>
      <c r="AC2079">
        <v>3</v>
      </c>
      <c r="AD2079">
        <v>1</v>
      </c>
      <c r="AE2079">
        <v>5</v>
      </c>
      <c r="AF2079">
        <v>7</v>
      </c>
      <c r="AG2079">
        <v>4</v>
      </c>
      <c r="AH2079">
        <v>0</v>
      </c>
      <c r="AI2079">
        <v>0</v>
      </c>
    </row>
    <row r="2080" spans="1:35" hidden="1" x14ac:dyDescent="0.25">
      <c r="A2080">
        <v>2018</v>
      </c>
      <c r="B2080" s="1">
        <v>43418</v>
      </c>
      <c r="C2080">
        <v>34</v>
      </c>
      <c r="D2080">
        <v>20917</v>
      </c>
      <c r="E2080">
        <v>24584</v>
      </c>
      <c r="F2080" t="s">
        <v>82</v>
      </c>
      <c r="G2080" t="s">
        <v>454</v>
      </c>
      <c r="H2080" t="s">
        <v>378</v>
      </c>
      <c r="I2080" t="s">
        <v>333</v>
      </c>
      <c r="J2080">
        <v>15</v>
      </c>
      <c r="K2080">
        <v>7</v>
      </c>
      <c r="L2080">
        <v>11300000</v>
      </c>
      <c r="M2080">
        <v>14300000</v>
      </c>
      <c r="N2080" t="s">
        <v>98</v>
      </c>
      <c r="O2080" t="s">
        <v>41</v>
      </c>
      <c r="P2080">
        <v>1</v>
      </c>
      <c r="Q2080">
        <v>1</v>
      </c>
      <c r="R2080">
        <v>0</v>
      </c>
      <c r="S2080">
        <v>0</v>
      </c>
      <c r="T2080">
        <v>5</v>
      </c>
      <c r="U2080">
        <v>7</v>
      </c>
      <c r="V2080">
        <v>13</v>
      </c>
      <c r="W2080">
        <v>9</v>
      </c>
      <c r="X2080">
        <v>13</v>
      </c>
      <c r="Y2080">
        <v>13</v>
      </c>
      <c r="Z2080">
        <v>4</v>
      </c>
      <c r="AA2080">
        <v>7</v>
      </c>
      <c r="AB2080">
        <v>0</v>
      </c>
      <c r="AC2080">
        <v>4</v>
      </c>
      <c r="AD2080">
        <v>8</v>
      </c>
      <c r="AE2080">
        <v>5</v>
      </c>
      <c r="AF2080">
        <v>1</v>
      </c>
      <c r="AG2080">
        <v>6</v>
      </c>
      <c r="AH2080">
        <v>0</v>
      </c>
      <c r="AI2080">
        <v>0</v>
      </c>
    </row>
    <row r="2081" spans="1:35" hidden="1" x14ac:dyDescent="0.25">
      <c r="A2081">
        <v>2018</v>
      </c>
      <c r="B2081" s="1">
        <v>43338</v>
      </c>
      <c r="C2081">
        <v>21</v>
      </c>
      <c r="D2081">
        <v>6412</v>
      </c>
      <c r="E2081">
        <v>35632</v>
      </c>
      <c r="F2081" t="s">
        <v>94</v>
      </c>
      <c r="G2081" t="s">
        <v>89</v>
      </c>
      <c r="H2081" t="s">
        <v>455</v>
      </c>
      <c r="I2081" t="s">
        <v>433</v>
      </c>
      <c r="J2081">
        <v>18</v>
      </c>
      <c r="K2081">
        <v>6</v>
      </c>
      <c r="L2081">
        <v>8450000</v>
      </c>
      <c r="M2081">
        <v>19450000</v>
      </c>
      <c r="N2081" t="s">
        <v>386</v>
      </c>
      <c r="O2081" t="s">
        <v>98</v>
      </c>
      <c r="P2081">
        <v>1</v>
      </c>
      <c r="Q2081">
        <v>0</v>
      </c>
      <c r="R2081">
        <v>0</v>
      </c>
      <c r="S2081">
        <v>0</v>
      </c>
      <c r="T2081">
        <v>6</v>
      </c>
      <c r="U2081">
        <v>4</v>
      </c>
      <c r="V2081">
        <v>19</v>
      </c>
      <c r="W2081">
        <v>12</v>
      </c>
      <c r="X2081">
        <v>16</v>
      </c>
      <c r="Y2081">
        <v>21</v>
      </c>
      <c r="Z2081">
        <v>4</v>
      </c>
      <c r="AA2081">
        <v>4</v>
      </c>
      <c r="AB2081">
        <v>2</v>
      </c>
      <c r="AC2081">
        <v>4</v>
      </c>
      <c r="AD2081">
        <v>5</v>
      </c>
      <c r="AE2081">
        <v>4</v>
      </c>
      <c r="AF2081">
        <v>7</v>
      </c>
      <c r="AG2081">
        <v>11</v>
      </c>
      <c r="AH2081">
        <v>1</v>
      </c>
      <c r="AI2081">
        <v>1</v>
      </c>
    </row>
    <row r="2082" spans="1:35" hidden="1" x14ac:dyDescent="0.25">
      <c r="A2082">
        <v>2018</v>
      </c>
      <c r="B2082" s="1">
        <v>43414</v>
      </c>
      <c r="C2082">
        <v>33</v>
      </c>
      <c r="D2082">
        <v>43122</v>
      </c>
      <c r="E2082">
        <v>49205</v>
      </c>
      <c r="F2082" t="s">
        <v>88</v>
      </c>
      <c r="G2082" t="s">
        <v>62</v>
      </c>
      <c r="H2082" t="s">
        <v>78</v>
      </c>
      <c r="I2082" t="s">
        <v>342</v>
      </c>
      <c r="J2082">
        <v>12</v>
      </c>
      <c r="K2082">
        <v>4</v>
      </c>
      <c r="L2082">
        <v>24300000</v>
      </c>
      <c r="M2082">
        <v>27900000</v>
      </c>
      <c r="N2082" t="s">
        <v>107</v>
      </c>
      <c r="O2082" t="s">
        <v>98</v>
      </c>
      <c r="P2082">
        <v>1</v>
      </c>
      <c r="Q2082">
        <v>1</v>
      </c>
      <c r="R2082">
        <v>0</v>
      </c>
      <c r="S2082">
        <v>0</v>
      </c>
      <c r="T2082">
        <v>7</v>
      </c>
      <c r="U2082">
        <v>2</v>
      </c>
      <c r="V2082">
        <v>10</v>
      </c>
      <c r="W2082">
        <v>18</v>
      </c>
      <c r="X2082">
        <v>22</v>
      </c>
      <c r="Y2082">
        <v>11</v>
      </c>
      <c r="Z2082">
        <v>2</v>
      </c>
      <c r="AA2082">
        <v>4</v>
      </c>
      <c r="AB2082">
        <v>1</v>
      </c>
      <c r="AC2082">
        <v>4</v>
      </c>
      <c r="AD2082">
        <v>5</v>
      </c>
      <c r="AE2082">
        <v>3</v>
      </c>
      <c r="AF2082">
        <v>6</v>
      </c>
      <c r="AG2082">
        <v>5</v>
      </c>
      <c r="AH2082">
        <v>0</v>
      </c>
      <c r="AI2082">
        <v>0</v>
      </c>
    </row>
    <row r="2083" spans="1:35" hidden="1" x14ac:dyDescent="0.25">
      <c r="A2083">
        <v>2018</v>
      </c>
      <c r="B2083" s="1">
        <v>43359</v>
      </c>
      <c r="C2083">
        <v>25</v>
      </c>
      <c r="D2083">
        <v>25382</v>
      </c>
      <c r="E2083">
        <v>46931</v>
      </c>
      <c r="F2083" t="s">
        <v>51</v>
      </c>
      <c r="G2083" t="s">
        <v>310</v>
      </c>
      <c r="H2083" t="s">
        <v>323</v>
      </c>
      <c r="I2083" t="s">
        <v>450</v>
      </c>
      <c r="J2083">
        <v>15</v>
      </c>
      <c r="K2083">
        <v>11</v>
      </c>
      <c r="L2083">
        <v>12700000</v>
      </c>
      <c r="M2083">
        <v>9350000</v>
      </c>
      <c r="N2083" t="s">
        <v>252</v>
      </c>
      <c r="O2083" t="s">
        <v>208</v>
      </c>
      <c r="P2083">
        <v>1</v>
      </c>
      <c r="Q2083">
        <v>0</v>
      </c>
      <c r="R2083">
        <v>1</v>
      </c>
      <c r="S2083">
        <v>0</v>
      </c>
      <c r="T2083">
        <v>5</v>
      </c>
      <c r="U2083">
        <v>1</v>
      </c>
      <c r="V2083">
        <v>13</v>
      </c>
      <c r="W2083">
        <v>18</v>
      </c>
      <c r="X2083">
        <v>22</v>
      </c>
      <c r="Y2083">
        <v>14</v>
      </c>
      <c r="Z2083">
        <v>1</v>
      </c>
      <c r="AA2083">
        <v>3</v>
      </c>
      <c r="AB2083">
        <v>1</v>
      </c>
      <c r="AC2083">
        <v>4</v>
      </c>
      <c r="AD2083">
        <v>4</v>
      </c>
      <c r="AE2083">
        <v>1</v>
      </c>
      <c r="AF2083">
        <v>5</v>
      </c>
      <c r="AG2083">
        <v>5</v>
      </c>
      <c r="AH2083">
        <v>1</v>
      </c>
      <c r="AI2083">
        <v>1</v>
      </c>
    </row>
    <row r="2084" spans="1:35" hidden="1" x14ac:dyDescent="0.25">
      <c r="A2084">
        <v>2018</v>
      </c>
      <c r="B2084" s="1">
        <v>43436</v>
      </c>
      <c r="C2084">
        <v>38</v>
      </c>
      <c r="D2084">
        <v>57223</v>
      </c>
      <c r="E2084">
        <v>60326</v>
      </c>
      <c r="F2084" t="s">
        <v>361</v>
      </c>
      <c r="G2084" t="s">
        <v>82</v>
      </c>
      <c r="H2084" t="s">
        <v>362</v>
      </c>
      <c r="I2084" t="s">
        <v>378</v>
      </c>
      <c r="J2084">
        <v>13</v>
      </c>
      <c r="K2084">
        <v>15</v>
      </c>
      <c r="L2084">
        <v>7980000</v>
      </c>
      <c r="M2084">
        <v>8950000</v>
      </c>
      <c r="N2084" t="s">
        <v>73</v>
      </c>
      <c r="O2084" t="s">
        <v>163</v>
      </c>
      <c r="P2084">
        <v>0</v>
      </c>
      <c r="Q2084">
        <v>0</v>
      </c>
      <c r="R2084">
        <v>0</v>
      </c>
      <c r="S2084">
        <v>0</v>
      </c>
      <c r="T2084">
        <v>6</v>
      </c>
      <c r="U2084">
        <v>3</v>
      </c>
      <c r="V2084">
        <v>17</v>
      </c>
      <c r="W2084">
        <v>12</v>
      </c>
      <c r="X2084">
        <v>16</v>
      </c>
      <c r="Y2084">
        <v>18</v>
      </c>
      <c r="Z2084">
        <v>1</v>
      </c>
      <c r="AA2084">
        <v>1</v>
      </c>
      <c r="AB2084">
        <v>1</v>
      </c>
      <c r="AC2084">
        <v>4</v>
      </c>
      <c r="AD2084">
        <v>2</v>
      </c>
      <c r="AE2084">
        <v>1</v>
      </c>
      <c r="AF2084">
        <v>7</v>
      </c>
      <c r="AG2084">
        <v>0</v>
      </c>
      <c r="AH2084">
        <v>0</v>
      </c>
      <c r="AI2084">
        <v>0</v>
      </c>
    </row>
    <row r="2085" spans="1:35" hidden="1" x14ac:dyDescent="0.25">
      <c r="A2085">
        <v>2018</v>
      </c>
      <c r="B2085" s="1">
        <v>43408</v>
      </c>
      <c r="C2085">
        <v>32</v>
      </c>
      <c r="D2085">
        <v>17448</v>
      </c>
      <c r="E2085">
        <v>55000</v>
      </c>
      <c r="F2085" t="s">
        <v>38</v>
      </c>
      <c r="G2085" t="s">
        <v>394</v>
      </c>
      <c r="H2085" t="s">
        <v>420</v>
      </c>
      <c r="I2085" t="s">
        <v>444</v>
      </c>
      <c r="J2085">
        <v>12</v>
      </c>
      <c r="K2085">
        <v>17</v>
      </c>
      <c r="L2085">
        <v>14900000</v>
      </c>
      <c r="M2085">
        <v>11800000</v>
      </c>
      <c r="N2085" t="s">
        <v>114</v>
      </c>
      <c r="O2085" t="s">
        <v>128</v>
      </c>
      <c r="P2085">
        <v>1</v>
      </c>
      <c r="Q2085">
        <v>0</v>
      </c>
      <c r="R2085">
        <v>0</v>
      </c>
      <c r="S2085">
        <v>0</v>
      </c>
      <c r="T2085">
        <v>5</v>
      </c>
      <c r="U2085">
        <v>3</v>
      </c>
      <c r="V2085">
        <v>14</v>
      </c>
      <c r="W2085">
        <v>18</v>
      </c>
      <c r="X2085">
        <v>22</v>
      </c>
      <c r="Y2085">
        <v>15</v>
      </c>
      <c r="Z2085">
        <v>9</v>
      </c>
      <c r="AA2085">
        <v>11</v>
      </c>
      <c r="AB2085">
        <v>1</v>
      </c>
      <c r="AC2085">
        <v>4</v>
      </c>
      <c r="AD2085">
        <v>5</v>
      </c>
      <c r="AE2085">
        <v>1</v>
      </c>
      <c r="AF2085">
        <v>2</v>
      </c>
      <c r="AG2085">
        <v>3</v>
      </c>
      <c r="AH2085">
        <v>1</v>
      </c>
      <c r="AI2085">
        <v>1</v>
      </c>
    </row>
    <row r="2086" spans="1:35" hidden="1" x14ac:dyDescent="0.25">
      <c r="A2086">
        <v>2018</v>
      </c>
      <c r="B2086" s="1">
        <v>43407</v>
      </c>
      <c r="C2086">
        <v>32</v>
      </c>
      <c r="D2086">
        <v>16758</v>
      </c>
      <c r="E2086">
        <v>23018</v>
      </c>
      <c r="F2086" t="s">
        <v>89</v>
      </c>
      <c r="G2086" t="s">
        <v>83</v>
      </c>
      <c r="H2086" t="s">
        <v>463</v>
      </c>
      <c r="I2086" t="s">
        <v>85</v>
      </c>
      <c r="J2086">
        <v>6</v>
      </c>
      <c r="K2086">
        <v>5</v>
      </c>
      <c r="L2086">
        <v>15850000</v>
      </c>
      <c r="M2086">
        <v>23200000</v>
      </c>
      <c r="N2086" t="s">
        <v>208</v>
      </c>
      <c r="O2086">
        <v>27</v>
      </c>
      <c r="P2086">
        <v>0</v>
      </c>
      <c r="Q2086">
        <v>1</v>
      </c>
      <c r="R2086">
        <v>0</v>
      </c>
      <c r="S2086">
        <v>1</v>
      </c>
      <c r="T2086">
        <v>8</v>
      </c>
      <c r="U2086">
        <v>3</v>
      </c>
      <c r="V2086">
        <v>14</v>
      </c>
      <c r="W2086">
        <v>13</v>
      </c>
      <c r="X2086">
        <v>17</v>
      </c>
      <c r="Y2086">
        <v>15</v>
      </c>
      <c r="Z2086">
        <v>5</v>
      </c>
      <c r="AA2086">
        <v>2</v>
      </c>
      <c r="AB2086">
        <v>1</v>
      </c>
      <c r="AC2086">
        <v>4</v>
      </c>
      <c r="AD2086">
        <v>2</v>
      </c>
      <c r="AE2086">
        <v>6</v>
      </c>
      <c r="AF2086">
        <v>6</v>
      </c>
      <c r="AG2086">
        <v>5</v>
      </c>
      <c r="AH2086">
        <v>-1</v>
      </c>
      <c r="AI2086">
        <v>0</v>
      </c>
    </row>
    <row r="2087" spans="1:35" hidden="1" x14ac:dyDescent="0.25">
      <c r="A2087">
        <v>2018</v>
      </c>
      <c r="B2087" s="1">
        <v>43415</v>
      </c>
      <c r="C2087">
        <v>33</v>
      </c>
      <c r="D2087">
        <v>20488</v>
      </c>
      <c r="E2087">
        <v>23018</v>
      </c>
      <c r="F2087" t="s">
        <v>89</v>
      </c>
      <c r="G2087" t="s">
        <v>95</v>
      </c>
      <c r="H2087" t="s">
        <v>463</v>
      </c>
      <c r="I2087" t="s">
        <v>336</v>
      </c>
      <c r="J2087">
        <v>6</v>
      </c>
      <c r="K2087">
        <v>1</v>
      </c>
      <c r="L2087">
        <v>20450000</v>
      </c>
      <c r="M2087">
        <v>27200000</v>
      </c>
      <c r="N2087" t="s">
        <v>309</v>
      </c>
      <c r="O2087" t="s">
        <v>197</v>
      </c>
      <c r="P2087">
        <v>1</v>
      </c>
      <c r="Q2087">
        <v>1</v>
      </c>
      <c r="R2087">
        <v>0</v>
      </c>
      <c r="S2087">
        <v>0</v>
      </c>
      <c r="T2087">
        <v>6</v>
      </c>
      <c r="U2087">
        <v>4</v>
      </c>
      <c r="V2087">
        <v>16</v>
      </c>
      <c r="W2087">
        <v>14</v>
      </c>
      <c r="X2087">
        <v>18</v>
      </c>
      <c r="Y2087">
        <v>16</v>
      </c>
      <c r="Z2087">
        <v>4</v>
      </c>
      <c r="AA2087">
        <v>11</v>
      </c>
      <c r="AB2087">
        <v>0</v>
      </c>
      <c r="AC2087">
        <v>4</v>
      </c>
      <c r="AD2087">
        <v>4</v>
      </c>
      <c r="AE2087">
        <v>3</v>
      </c>
      <c r="AF2087">
        <v>0</v>
      </c>
      <c r="AG2087">
        <v>2</v>
      </c>
      <c r="AH2087">
        <v>0</v>
      </c>
      <c r="AI2087">
        <v>0</v>
      </c>
    </row>
    <row r="2088" spans="1:35" hidden="1" x14ac:dyDescent="0.25">
      <c r="A2088">
        <v>2018</v>
      </c>
      <c r="B2088" s="1">
        <v>43422</v>
      </c>
      <c r="C2088">
        <v>35</v>
      </c>
      <c r="D2088">
        <v>25076</v>
      </c>
      <c r="F2088" t="s">
        <v>457</v>
      </c>
      <c r="G2088" t="s">
        <v>95</v>
      </c>
      <c r="H2088" t="s">
        <v>398</v>
      </c>
      <c r="I2088" t="s">
        <v>336</v>
      </c>
      <c r="J2088">
        <v>20</v>
      </c>
      <c r="K2088">
        <v>1</v>
      </c>
      <c r="L2088">
        <v>3050000</v>
      </c>
      <c r="M2088">
        <v>44950000</v>
      </c>
      <c r="N2088" t="s">
        <v>60</v>
      </c>
      <c r="O2088" t="s">
        <v>105</v>
      </c>
      <c r="P2088">
        <v>1</v>
      </c>
      <c r="Q2088">
        <v>1</v>
      </c>
      <c r="R2088">
        <v>1</v>
      </c>
      <c r="S2088">
        <v>0</v>
      </c>
      <c r="T2088">
        <v>4</v>
      </c>
      <c r="U2088">
        <v>11</v>
      </c>
      <c r="V2088">
        <v>21</v>
      </c>
      <c r="W2088">
        <v>7</v>
      </c>
      <c r="X2088">
        <v>12</v>
      </c>
      <c r="Y2088">
        <v>21</v>
      </c>
      <c r="Z2088">
        <v>7</v>
      </c>
      <c r="AA2088">
        <v>2</v>
      </c>
      <c r="AB2088">
        <v>0</v>
      </c>
      <c r="AC2088">
        <v>5</v>
      </c>
      <c r="AD2088">
        <v>3</v>
      </c>
      <c r="AE2088">
        <v>8</v>
      </c>
      <c r="AF2088">
        <v>4</v>
      </c>
      <c r="AG2088">
        <v>3</v>
      </c>
      <c r="AH2088">
        <v>0</v>
      </c>
      <c r="AI2088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4EED-E226-47CB-9943-49DFCE6522F2}">
  <dimension ref="A3:V39"/>
  <sheetViews>
    <sheetView topLeftCell="C1" workbookViewId="0">
      <selection activeCell="C7" sqref="C7"/>
    </sheetView>
  </sheetViews>
  <sheetFormatPr defaultRowHeight="15" x14ac:dyDescent="0.25"/>
  <cols>
    <col min="1" max="1" width="18" bestFit="1" customWidth="1"/>
    <col min="2" max="2" width="10" bestFit="1" customWidth="1"/>
    <col min="3" max="3" width="3.28515625" bestFit="1" customWidth="1"/>
    <col min="4" max="5" width="11" bestFit="1" customWidth="1"/>
    <col min="6" max="6" width="7.28515625" bestFit="1" customWidth="1"/>
    <col min="7" max="7" width="11" customWidth="1"/>
    <col min="14" max="14" width="14.85546875" customWidth="1"/>
    <col min="19" max="19" width="15" customWidth="1"/>
    <col min="21" max="21" width="20" customWidth="1"/>
    <col min="22" max="22" width="10.5703125" customWidth="1"/>
  </cols>
  <sheetData>
    <row r="3" spans="1:22" x14ac:dyDescent="0.25">
      <c r="A3" s="10" t="s">
        <v>468</v>
      </c>
      <c r="B3" s="10" t="s">
        <v>34</v>
      </c>
      <c r="K3" t="s">
        <v>469</v>
      </c>
    </row>
    <row r="4" spans="1:22" x14ac:dyDescent="0.25">
      <c r="A4" s="10" t="s">
        <v>470</v>
      </c>
      <c r="B4">
        <v>0</v>
      </c>
      <c r="C4">
        <v>1</v>
      </c>
      <c r="D4" t="s">
        <v>471</v>
      </c>
      <c r="F4" s="14" t="s">
        <v>470</v>
      </c>
      <c r="G4" s="14">
        <v>0</v>
      </c>
      <c r="H4" s="14">
        <v>1</v>
      </c>
      <c r="I4" s="14" t="s">
        <v>471</v>
      </c>
      <c r="N4" t="s">
        <v>472</v>
      </c>
      <c r="O4">
        <v>8</v>
      </c>
      <c r="P4" s="11">
        <f t="shared" ref="P4:P9" si="0">O4/$M$17</f>
        <v>8.0808080808080815E-2</v>
      </c>
    </row>
    <row r="5" spans="1:22" x14ac:dyDescent="0.25">
      <c r="A5" t="s">
        <v>473</v>
      </c>
      <c r="B5">
        <v>36</v>
      </c>
      <c r="C5">
        <v>42</v>
      </c>
      <c r="D5">
        <v>78</v>
      </c>
      <c r="F5" t="s">
        <v>473</v>
      </c>
      <c r="G5">
        <v>36</v>
      </c>
      <c r="H5">
        <v>42</v>
      </c>
      <c r="I5">
        <v>78</v>
      </c>
      <c r="J5">
        <f>H5/I5</f>
        <v>0.53846153846153844</v>
      </c>
      <c r="N5" t="s">
        <v>474</v>
      </c>
      <c r="O5">
        <v>12</v>
      </c>
      <c r="P5" s="11">
        <f t="shared" si="0"/>
        <v>0.12121212121212122</v>
      </c>
      <c r="U5" t="s">
        <v>473</v>
      </c>
      <c r="V5" s="11">
        <v>0.53846153846153844</v>
      </c>
    </row>
    <row r="6" spans="1:22" x14ac:dyDescent="0.25">
      <c r="A6" t="s">
        <v>472</v>
      </c>
      <c r="B6">
        <v>5</v>
      </c>
      <c r="C6">
        <v>8</v>
      </c>
      <c r="D6">
        <v>13</v>
      </c>
      <c r="F6" t="s">
        <v>472</v>
      </c>
      <c r="G6">
        <v>5</v>
      </c>
      <c r="H6">
        <v>8</v>
      </c>
      <c r="I6">
        <v>13</v>
      </c>
      <c r="J6">
        <f t="shared" ref="J6:J10" si="1">H6/I6</f>
        <v>0.61538461538461542</v>
      </c>
      <c r="N6" t="s">
        <v>475</v>
      </c>
      <c r="O6">
        <v>9</v>
      </c>
      <c r="P6" s="11">
        <f t="shared" si="0"/>
        <v>9.0909090909090912E-2</v>
      </c>
      <c r="U6" t="s">
        <v>476</v>
      </c>
      <c r="V6" s="11">
        <v>0.44186046511627908</v>
      </c>
    </row>
    <row r="7" spans="1:22" x14ac:dyDescent="0.25">
      <c r="A7" t="s">
        <v>475</v>
      </c>
      <c r="B7">
        <v>15</v>
      </c>
      <c r="C7">
        <v>9</v>
      </c>
      <c r="D7">
        <v>24</v>
      </c>
      <c r="F7" t="s">
        <v>475</v>
      </c>
      <c r="G7">
        <v>15</v>
      </c>
      <c r="H7">
        <v>9</v>
      </c>
      <c r="I7">
        <v>24</v>
      </c>
      <c r="J7">
        <f t="shared" si="1"/>
        <v>0.375</v>
      </c>
      <c r="N7" t="s">
        <v>477</v>
      </c>
      <c r="O7">
        <v>9</v>
      </c>
      <c r="P7" s="11">
        <f t="shared" si="0"/>
        <v>9.0909090909090912E-2</v>
      </c>
      <c r="U7" t="s">
        <v>477</v>
      </c>
      <c r="V7" s="11">
        <v>0.45</v>
      </c>
    </row>
    <row r="8" spans="1:22" x14ac:dyDescent="0.25">
      <c r="A8" t="s">
        <v>477</v>
      </c>
      <c r="B8">
        <v>11</v>
      </c>
      <c r="C8">
        <v>9</v>
      </c>
      <c r="D8">
        <v>20</v>
      </c>
      <c r="F8" t="s">
        <v>477</v>
      </c>
      <c r="G8">
        <v>11</v>
      </c>
      <c r="H8">
        <v>9</v>
      </c>
      <c r="I8">
        <v>20</v>
      </c>
      <c r="J8">
        <f t="shared" si="1"/>
        <v>0.45</v>
      </c>
      <c r="N8" t="s">
        <v>476</v>
      </c>
      <c r="O8">
        <v>19</v>
      </c>
      <c r="P8" s="11">
        <f t="shared" si="0"/>
        <v>0.19191919191919191</v>
      </c>
      <c r="U8" t="s">
        <v>475</v>
      </c>
      <c r="V8" s="11">
        <v>0.375</v>
      </c>
    </row>
    <row r="9" spans="1:22" x14ac:dyDescent="0.25">
      <c r="A9" t="s">
        <v>476</v>
      </c>
      <c r="B9">
        <v>24</v>
      </c>
      <c r="C9">
        <v>19</v>
      </c>
      <c r="D9">
        <v>43</v>
      </c>
      <c r="F9" t="s">
        <v>476</v>
      </c>
      <c r="G9">
        <v>24</v>
      </c>
      <c r="H9">
        <v>19</v>
      </c>
      <c r="I9">
        <v>43</v>
      </c>
      <c r="J9">
        <f t="shared" si="1"/>
        <v>0.44186046511627908</v>
      </c>
      <c r="N9" t="s">
        <v>473</v>
      </c>
      <c r="O9">
        <v>42</v>
      </c>
      <c r="P9" s="11">
        <f t="shared" si="0"/>
        <v>0.42424242424242425</v>
      </c>
      <c r="U9" t="s">
        <v>474</v>
      </c>
      <c r="V9" s="11">
        <v>0.46153846153846156</v>
      </c>
    </row>
    <row r="10" spans="1:22" x14ac:dyDescent="0.25">
      <c r="A10" t="s">
        <v>474</v>
      </c>
      <c r="B10">
        <v>14</v>
      </c>
      <c r="C10">
        <v>12</v>
      </c>
      <c r="D10">
        <v>26</v>
      </c>
      <c r="F10" t="s">
        <v>474</v>
      </c>
      <c r="G10">
        <v>14</v>
      </c>
      <c r="H10">
        <v>12</v>
      </c>
      <c r="I10">
        <v>26</v>
      </c>
      <c r="J10">
        <f t="shared" si="1"/>
        <v>0.46153846153846156</v>
      </c>
      <c r="L10" t="s">
        <v>470</v>
      </c>
      <c r="M10" t="s">
        <v>469</v>
      </c>
      <c r="P10" t="s">
        <v>470</v>
      </c>
      <c r="U10" t="s">
        <v>472</v>
      </c>
      <c r="V10" s="11">
        <v>0.61538461538461542</v>
      </c>
    </row>
    <row r="11" spans="1:22" x14ac:dyDescent="0.25">
      <c r="A11" t="s">
        <v>471</v>
      </c>
      <c r="B11">
        <v>105</v>
      </c>
      <c r="C11">
        <v>99</v>
      </c>
      <c r="D11">
        <v>204</v>
      </c>
      <c r="F11" s="13" t="s">
        <v>471</v>
      </c>
      <c r="G11" s="13">
        <v>105</v>
      </c>
      <c r="H11" s="13">
        <v>99</v>
      </c>
      <c r="I11" s="13">
        <v>204</v>
      </c>
      <c r="L11" t="s">
        <v>473</v>
      </c>
      <c r="M11">
        <v>42</v>
      </c>
      <c r="N11">
        <f t="shared" ref="N11:N16" si="2">M11/$M$17</f>
        <v>0.42424242424242425</v>
      </c>
    </row>
    <row r="12" spans="1:22" x14ac:dyDescent="0.25">
      <c r="L12" t="s">
        <v>472</v>
      </c>
      <c r="M12">
        <v>8</v>
      </c>
      <c r="N12">
        <f t="shared" si="2"/>
        <v>8.0808080808080815E-2</v>
      </c>
    </row>
    <row r="13" spans="1:22" x14ac:dyDescent="0.25">
      <c r="L13" t="s">
        <v>475</v>
      </c>
      <c r="M13">
        <v>9</v>
      </c>
      <c r="N13">
        <f t="shared" si="2"/>
        <v>9.0909090909090912E-2</v>
      </c>
    </row>
    <row r="14" spans="1:22" x14ac:dyDescent="0.25">
      <c r="L14" t="s">
        <v>477</v>
      </c>
      <c r="M14">
        <v>9</v>
      </c>
      <c r="N14">
        <f t="shared" si="2"/>
        <v>9.0909090909090912E-2</v>
      </c>
    </row>
    <row r="15" spans="1:22" x14ac:dyDescent="0.25">
      <c r="L15" t="s">
        <v>476</v>
      </c>
      <c r="M15">
        <v>19</v>
      </c>
      <c r="N15">
        <f t="shared" si="2"/>
        <v>0.19191919191919191</v>
      </c>
    </row>
    <row r="16" spans="1:22" x14ac:dyDescent="0.25">
      <c r="L16" t="s">
        <v>474</v>
      </c>
      <c r="M16">
        <v>12</v>
      </c>
      <c r="N16">
        <f t="shared" si="2"/>
        <v>0.12121212121212122</v>
      </c>
    </row>
    <row r="17" spans="1:13" x14ac:dyDescent="0.25">
      <c r="B17" s="10" t="s">
        <v>34</v>
      </c>
      <c r="L17" t="s">
        <v>471</v>
      </c>
      <c r="M17">
        <v>99</v>
      </c>
    </row>
    <row r="18" spans="1:13" x14ac:dyDescent="0.25">
      <c r="B18">
        <v>0</v>
      </c>
      <c r="C18">
        <v>1</v>
      </c>
      <c r="D18" t="s">
        <v>471</v>
      </c>
    </row>
    <row r="19" spans="1:13" x14ac:dyDescent="0.25">
      <c r="A19" t="s">
        <v>478</v>
      </c>
      <c r="B19">
        <v>0</v>
      </c>
      <c r="C19">
        <v>99</v>
      </c>
      <c r="D19">
        <v>99</v>
      </c>
    </row>
    <row r="32" spans="1:13" x14ac:dyDescent="0.25">
      <c r="A32" s="10" t="s">
        <v>470</v>
      </c>
    </row>
    <row r="33" spans="1:1" x14ac:dyDescent="0.25">
      <c r="A33" t="s">
        <v>473</v>
      </c>
    </row>
    <row r="34" spans="1:1" x14ac:dyDescent="0.25">
      <c r="A34" t="s">
        <v>472</v>
      </c>
    </row>
    <row r="35" spans="1:1" x14ac:dyDescent="0.25">
      <c r="A35" t="s">
        <v>475</v>
      </c>
    </row>
    <row r="36" spans="1:1" x14ac:dyDescent="0.25">
      <c r="A36" t="s">
        <v>477</v>
      </c>
    </row>
    <row r="37" spans="1:1" x14ac:dyDescent="0.25">
      <c r="A37" t="s">
        <v>476</v>
      </c>
    </row>
    <row r="38" spans="1:1" x14ac:dyDescent="0.25">
      <c r="A38" t="s">
        <v>474</v>
      </c>
    </row>
    <row r="39" spans="1:1" x14ac:dyDescent="0.25">
      <c r="A39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5358-AE5D-4CF7-B216-AA5F3B723847}">
  <dimension ref="A1"/>
  <sheetViews>
    <sheetView workbookViewId="0">
      <selection activeCell="B16" sqref="B1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7340-2740-4998-AA39-F57D4477FF8E}">
  <dimension ref="A3:O20"/>
  <sheetViews>
    <sheetView topLeftCell="A8" workbookViewId="0">
      <selection activeCell="M9" sqref="M9"/>
    </sheetView>
  </sheetViews>
  <sheetFormatPr defaultRowHeight="15" x14ac:dyDescent="0.25"/>
  <cols>
    <col min="1" max="1" width="26.28515625" bestFit="1" customWidth="1"/>
    <col min="2" max="2" width="10" bestFit="1" customWidth="1"/>
    <col min="3" max="3" width="3.28515625" bestFit="1" customWidth="1"/>
    <col min="4" max="4" width="11" bestFit="1" customWidth="1"/>
    <col min="5" max="5" width="20.42578125" bestFit="1" customWidth="1"/>
    <col min="6" max="6" width="28.28515625" bestFit="1" customWidth="1"/>
    <col min="8" max="8" width="25.5703125" customWidth="1"/>
    <col min="11" max="11" width="25.28515625" customWidth="1"/>
    <col min="14" max="14" width="27.42578125" customWidth="1"/>
    <col min="15" max="15" width="10.5703125" customWidth="1"/>
  </cols>
  <sheetData>
    <row r="3" spans="1:15" x14ac:dyDescent="0.25">
      <c r="A3" t="s">
        <v>478</v>
      </c>
      <c r="H3" t="s">
        <v>479</v>
      </c>
      <c r="I3" t="s">
        <v>480</v>
      </c>
    </row>
    <row r="4" spans="1:15" x14ac:dyDescent="0.25">
      <c r="A4">
        <v>99</v>
      </c>
      <c r="H4" t="s">
        <v>481</v>
      </c>
      <c r="I4">
        <v>41</v>
      </c>
      <c r="J4" s="11">
        <f>I4/$F$8</f>
        <v>0.41414141414141414</v>
      </c>
    </row>
    <row r="5" spans="1:15" x14ac:dyDescent="0.25">
      <c r="H5" t="s">
        <v>482</v>
      </c>
      <c r="I5">
        <v>24</v>
      </c>
      <c r="J5" s="11">
        <f>I5/$F$8</f>
        <v>0.24242424242424243</v>
      </c>
    </row>
    <row r="6" spans="1:15" x14ac:dyDescent="0.25">
      <c r="H6" t="s">
        <v>483</v>
      </c>
      <c r="I6">
        <v>22</v>
      </c>
      <c r="J6" s="11">
        <f>I6/$F$8</f>
        <v>0.22222222222222221</v>
      </c>
    </row>
    <row r="7" spans="1:15" x14ac:dyDescent="0.25">
      <c r="H7" t="s">
        <v>484</v>
      </c>
      <c r="I7">
        <v>12</v>
      </c>
      <c r="J7" s="11">
        <f>I7/$F$8</f>
        <v>0.12121212121212122</v>
      </c>
    </row>
    <row r="8" spans="1:15" x14ac:dyDescent="0.25">
      <c r="E8" s="13" t="s">
        <v>471</v>
      </c>
      <c r="F8" s="13">
        <v>99</v>
      </c>
      <c r="G8">
        <f t="shared" ref="G8" si="0">F8/$F$8</f>
        <v>1</v>
      </c>
    </row>
    <row r="11" spans="1:15" x14ac:dyDescent="0.25">
      <c r="H11" s="14"/>
      <c r="I11" s="14"/>
    </row>
    <row r="13" spans="1:15" x14ac:dyDescent="0.25">
      <c r="A13" s="10" t="s">
        <v>485</v>
      </c>
      <c r="B13" s="10" t="s">
        <v>34</v>
      </c>
    </row>
    <row r="14" spans="1:15" x14ac:dyDescent="0.25">
      <c r="A14" s="10" t="s">
        <v>486</v>
      </c>
      <c r="B14">
        <v>0</v>
      </c>
      <c r="C14">
        <v>1</v>
      </c>
      <c r="D14" t="s">
        <v>471</v>
      </c>
    </row>
    <row r="15" spans="1:15" x14ac:dyDescent="0.25">
      <c r="A15" t="s">
        <v>487</v>
      </c>
      <c r="B15">
        <v>27</v>
      </c>
      <c r="C15">
        <v>40</v>
      </c>
      <c r="D15">
        <v>67</v>
      </c>
      <c r="F15" s="14" t="s">
        <v>486</v>
      </c>
      <c r="G15" s="14">
        <v>0</v>
      </c>
      <c r="H15" s="14">
        <v>1</v>
      </c>
      <c r="I15" s="14" t="s">
        <v>471</v>
      </c>
    </row>
    <row r="16" spans="1:15" x14ac:dyDescent="0.25">
      <c r="A16" t="s">
        <v>488</v>
      </c>
      <c r="B16">
        <v>34</v>
      </c>
      <c r="C16">
        <v>19</v>
      </c>
      <c r="D16">
        <v>53</v>
      </c>
      <c r="F16" t="s">
        <v>487</v>
      </c>
      <c r="G16">
        <v>27</v>
      </c>
      <c r="H16">
        <v>40</v>
      </c>
      <c r="I16">
        <v>67</v>
      </c>
      <c r="N16" t="s">
        <v>489</v>
      </c>
      <c r="O16" s="11">
        <f>H19/I19</f>
        <v>0.57894736842105265</v>
      </c>
    </row>
    <row r="17" spans="1:15" x14ac:dyDescent="0.25">
      <c r="A17" t="s">
        <v>490</v>
      </c>
      <c r="B17">
        <v>36</v>
      </c>
      <c r="C17">
        <v>29</v>
      </c>
      <c r="D17">
        <v>65</v>
      </c>
      <c r="F17" t="s">
        <v>488</v>
      </c>
      <c r="G17">
        <v>34</v>
      </c>
      <c r="H17">
        <v>19</v>
      </c>
      <c r="I17">
        <v>53</v>
      </c>
      <c r="N17" t="s">
        <v>490</v>
      </c>
      <c r="O17" s="11">
        <f>H18/I18</f>
        <v>0.44615384615384618</v>
      </c>
    </row>
    <row r="18" spans="1:15" x14ac:dyDescent="0.25">
      <c r="A18" t="s">
        <v>489</v>
      </c>
      <c r="B18">
        <v>8</v>
      </c>
      <c r="C18">
        <v>11</v>
      </c>
      <c r="D18">
        <v>19</v>
      </c>
      <c r="F18" t="s">
        <v>490</v>
      </c>
      <c r="G18">
        <v>36</v>
      </c>
      <c r="H18">
        <v>29</v>
      </c>
      <c r="I18">
        <v>65</v>
      </c>
      <c r="N18" t="s">
        <v>487</v>
      </c>
      <c r="O18" s="11">
        <f>H16/I16</f>
        <v>0.59701492537313428</v>
      </c>
    </row>
    <row r="19" spans="1:15" x14ac:dyDescent="0.25">
      <c r="A19" t="s">
        <v>471</v>
      </c>
      <c r="B19">
        <v>105</v>
      </c>
      <c r="C19">
        <v>99</v>
      </c>
      <c r="D19">
        <v>204</v>
      </c>
      <c r="F19" t="s">
        <v>489</v>
      </c>
      <c r="G19">
        <v>8</v>
      </c>
      <c r="H19">
        <v>11</v>
      </c>
      <c r="I19">
        <v>19</v>
      </c>
      <c r="N19" t="s">
        <v>488</v>
      </c>
      <c r="O19" s="11">
        <f>H17/I17</f>
        <v>0.35849056603773582</v>
      </c>
    </row>
    <row r="20" spans="1:15" x14ac:dyDescent="0.25">
      <c r="F20" s="13" t="s">
        <v>471</v>
      </c>
      <c r="G20" s="13">
        <v>105</v>
      </c>
      <c r="H20" s="13">
        <v>99</v>
      </c>
      <c r="I20" s="13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8DF8-3685-492F-A1A4-43FC824309AC}">
  <dimension ref="A3:V55"/>
  <sheetViews>
    <sheetView topLeftCell="A4" workbookViewId="0">
      <selection activeCell="J3" sqref="A3:J22"/>
    </sheetView>
  </sheetViews>
  <sheetFormatPr defaultRowHeight="15" x14ac:dyDescent="0.25"/>
  <cols>
    <col min="1" max="1" width="33.7109375" bestFit="1" customWidth="1"/>
    <col min="2" max="2" width="10" bestFit="1" customWidth="1"/>
    <col min="3" max="3" width="11.140625" bestFit="1" customWidth="1"/>
    <col min="4" max="4" width="11" bestFit="1" customWidth="1"/>
    <col min="5" max="6" width="7.28515625" bestFit="1" customWidth="1"/>
    <col min="7" max="7" width="4.140625" bestFit="1" customWidth="1"/>
    <col min="8" max="9" width="7.28515625" bestFit="1" customWidth="1"/>
    <col min="10" max="10" width="11" bestFit="1" customWidth="1"/>
  </cols>
  <sheetData>
    <row r="3" spans="1:22" x14ac:dyDescent="0.25">
      <c r="A3" s="10" t="s">
        <v>491</v>
      </c>
      <c r="B3" s="10" t="s">
        <v>34</v>
      </c>
      <c r="C3" s="10" t="s">
        <v>492</v>
      </c>
      <c r="D3" s="10" t="s">
        <v>493</v>
      </c>
      <c r="M3" s="10" t="s">
        <v>494</v>
      </c>
      <c r="N3" s="10" t="s">
        <v>34</v>
      </c>
      <c r="O3" s="10" t="s">
        <v>492</v>
      </c>
      <c r="P3" s="10" t="s">
        <v>493</v>
      </c>
    </row>
    <row r="4" spans="1:22" x14ac:dyDescent="0.25">
      <c r="B4">
        <v>0</v>
      </c>
      <c r="F4" t="s">
        <v>495</v>
      </c>
      <c r="G4">
        <v>1</v>
      </c>
      <c r="I4" t="s">
        <v>496</v>
      </c>
      <c r="J4" t="s">
        <v>471</v>
      </c>
      <c r="N4">
        <v>0</v>
      </c>
      <c r="R4" t="s">
        <v>495</v>
      </c>
      <c r="S4">
        <v>1</v>
      </c>
      <c r="U4" t="s">
        <v>496</v>
      </c>
      <c r="V4" t="s">
        <v>471</v>
      </c>
    </row>
    <row r="5" spans="1:22" x14ac:dyDescent="0.25">
      <c r="B5">
        <v>0</v>
      </c>
      <c r="C5" t="s">
        <v>495</v>
      </c>
      <c r="D5">
        <v>1</v>
      </c>
      <c r="E5" t="s">
        <v>496</v>
      </c>
      <c r="G5">
        <v>0</v>
      </c>
      <c r="H5" t="s">
        <v>495</v>
      </c>
      <c r="N5">
        <v>0</v>
      </c>
      <c r="O5" t="s">
        <v>495</v>
      </c>
      <c r="P5">
        <v>1</v>
      </c>
      <c r="Q5" t="s">
        <v>496</v>
      </c>
      <c r="S5">
        <v>0</v>
      </c>
      <c r="T5" t="s">
        <v>495</v>
      </c>
    </row>
    <row r="6" spans="1:22" x14ac:dyDescent="0.25">
      <c r="A6" s="10" t="s">
        <v>19</v>
      </c>
      <c r="B6">
        <v>1</v>
      </c>
      <c r="D6">
        <v>0</v>
      </c>
      <c r="G6">
        <v>0</v>
      </c>
      <c r="M6" s="10" t="s">
        <v>19</v>
      </c>
      <c r="N6">
        <v>1</v>
      </c>
      <c r="P6">
        <v>0</v>
      </c>
      <c r="S6">
        <v>0</v>
      </c>
    </row>
    <row r="7" spans="1:22" x14ac:dyDescent="0.25">
      <c r="A7">
        <v>0</v>
      </c>
      <c r="B7">
        <v>1</v>
      </c>
      <c r="C7">
        <v>1</v>
      </c>
      <c r="D7">
        <v>2</v>
      </c>
      <c r="E7">
        <v>2</v>
      </c>
      <c r="F7">
        <v>3</v>
      </c>
      <c r="J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V7">
        <v>0</v>
      </c>
    </row>
    <row r="8" spans="1:22" x14ac:dyDescent="0.25">
      <c r="A8">
        <v>1</v>
      </c>
      <c r="B8">
        <v>2</v>
      </c>
      <c r="C8">
        <v>2</v>
      </c>
      <c r="D8">
        <v>2</v>
      </c>
      <c r="E8">
        <v>2</v>
      </c>
      <c r="F8">
        <v>4</v>
      </c>
      <c r="G8">
        <v>1</v>
      </c>
      <c r="H8">
        <v>1</v>
      </c>
      <c r="I8">
        <v>1</v>
      </c>
      <c r="J8">
        <v>5</v>
      </c>
      <c r="M8">
        <v>1</v>
      </c>
      <c r="N8">
        <v>2</v>
      </c>
      <c r="O8">
        <v>2</v>
      </c>
      <c r="P8">
        <v>2</v>
      </c>
      <c r="Q8">
        <v>2</v>
      </c>
      <c r="R8">
        <v>4</v>
      </c>
      <c r="S8">
        <v>1</v>
      </c>
      <c r="T8">
        <v>1</v>
      </c>
      <c r="U8">
        <v>1</v>
      </c>
      <c r="V8">
        <v>5</v>
      </c>
    </row>
    <row r="9" spans="1:22" x14ac:dyDescent="0.25">
      <c r="A9">
        <v>2</v>
      </c>
      <c r="B9">
        <v>2</v>
      </c>
      <c r="C9">
        <v>2</v>
      </c>
      <c r="D9">
        <v>2</v>
      </c>
      <c r="E9">
        <v>2</v>
      </c>
      <c r="F9">
        <v>4</v>
      </c>
      <c r="G9">
        <v>7</v>
      </c>
      <c r="H9">
        <v>7</v>
      </c>
      <c r="I9">
        <v>7</v>
      </c>
      <c r="J9">
        <v>11</v>
      </c>
      <c r="M9">
        <v>2</v>
      </c>
      <c r="N9">
        <v>4</v>
      </c>
      <c r="O9">
        <v>4</v>
      </c>
      <c r="P9">
        <v>4</v>
      </c>
      <c r="Q9">
        <v>4</v>
      </c>
      <c r="R9">
        <v>8</v>
      </c>
      <c r="S9">
        <v>14</v>
      </c>
      <c r="T9">
        <v>14</v>
      </c>
      <c r="U9">
        <v>14</v>
      </c>
      <c r="V9">
        <v>22</v>
      </c>
    </row>
    <row r="10" spans="1:22" x14ac:dyDescent="0.25">
      <c r="A10">
        <v>3</v>
      </c>
      <c r="B10">
        <v>6</v>
      </c>
      <c r="C10">
        <v>6</v>
      </c>
      <c r="D10">
        <v>6</v>
      </c>
      <c r="E10">
        <v>6</v>
      </c>
      <c r="F10">
        <v>12</v>
      </c>
      <c r="G10">
        <v>12</v>
      </c>
      <c r="H10">
        <v>12</v>
      </c>
      <c r="I10">
        <v>12</v>
      </c>
      <c r="J10">
        <v>24</v>
      </c>
      <c r="M10">
        <v>3</v>
      </c>
      <c r="N10">
        <v>18</v>
      </c>
      <c r="O10">
        <v>18</v>
      </c>
      <c r="P10">
        <v>18</v>
      </c>
      <c r="Q10">
        <v>18</v>
      </c>
      <c r="R10">
        <v>36</v>
      </c>
      <c r="S10">
        <v>36</v>
      </c>
      <c r="T10">
        <v>36</v>
      </c>
      <c r="U10">
        <v>36</v>
      </c>
      <c r="V10">
        <v>72</v>
      </c>
    </row>
    <row r="11" spans="1:22" x14ac:dyDescent="0.25">
      <c r="A11">
        <v>4</v>
      </c>
      <c r="B11">
        <v>5</v>
      </c>
      <c r="C11">
        <v>5</v>
      </c>
      <c r="D11">
        <v>9</v>
      </c>
      <c r="E11">
        <v>9</v>
      </c>
      <c r="F11">
        <v>14</v>
      </c>
      <c r="G11">
        <v>21</v>
      </c>
      <c r="H11">
        <v>21</v>
      </c>
      <c r="I11">
        <v>21</v>
      </c>
      <c r="J11">
        <v>35</v>
      </c>
      <c r="M11">
        <v>4</v>
      </c>
      <c r="N11">
        <v>20</v>
      </c>
      <c r="O11">
        <v>20</v>
      </c>
      <c r="P11">
        <v>36</v>
      </c>
      <c r="Q11">
        <v>36</v>
      </c>
      <c r="R11">
        <v>56</v>
      </c>
      <c r="S11">
        <v>84</v>
      </c>
      <c r="T11">
        <v>84</v>
      </c>
      <c r="U11">
        <v>84</v>
      </c>
      <c r="V11">
        <v>140</v>
      </c>
    </row>
    <row r="12" spans="1:22" x14ac:dyDescent="0.25">
      <c r="A12">
        <v>5</v>
      </c>
      <c r="B12">
        <v>11</v>
      </c>
      <c r="C12">
        <v>11</v>
      </c>
      <c r="D12">
        <v>12</v>
      </c>
      <c r="E12">
        <v>12</v>
      </c>
      <c r="F12">
        <v>23</v>
      </c>
      <c r="G12">
        <v>11</v>
      </c>
      <c r="H12">
        <v>11</v>
      </c>
      <c r="I12">
        <v>11</v>
      </c>
      <c r="J12">
        <v>34</v>
      </c>
      <c r="M12">
        <v>5</v>
      </c>
      <c r="N12">
        <v>55</v>
      </c>
      <c r="O12">
        <v>55</v>
      </c>
      <c r="P12">
        <v>60</v>
      </c>
      <c r="Q12">
        <v>60</v>
      </c>
      <c r="R12">
        <v>115</v>
      </c>
      <c r="S12">
        <v>55</v>
      </c>
      <c r="T12">
        <v>55</v>
      </c>
      <c r="U12">
        <v>55</v>
      </c>
      <c r="V12">
        <v>170</v>
      </c>
    </row>
    <row r="13" spans="1:22" x14ac:dyDescent="0.25">
      <c r="A13">
        <v>6</v>
      </c>
      <c r="B13">
        <v>8</v>
      </c>
      <c r="C13">
        <v>8</v>
      </c>
      <c r="D13">
        <v>6</v>
      </c>
      <c r="E13">
        <v>6</v>
      </c>
      <c r="F13">
        <v>14</v>
      </c>
      <c r="G13">
        <v>15</v>
      </c>
      <c r="H13">
        <v>15</v>
      </c>
      <c r="I13">
        <v>15</v>
      </c>
      <c r="J13">
        <v>29</v>
      </c>
      <c r="M13">
        <v>6</v>
      </c>
      <c r="N13">
        <v>48</v>
      </c>
      <c r="O13">
        <v>48</v>
      </c>
      <c r="P13">
        <v>36</v>
      </c>
      <c r="Q13">
        <v>36</v>
      </c>
      <c r="R13">
        <v>84</v>
      </c>
      <c r="S13">
        <v>90</v>
      </c>
      <c r="T13">
        <v>90</v>
      </c>
      <c r="U13">
        <v>90</v>
      </c>
      <c r="V13">
        <v>174</v>
      </c>
    </row>
    <row r="14" spans="1:22" x14ac:dyDescent="0.25">
      <c r="A14">
        <v>7</v>
      </c>
      <c r="B14">
        <v>4</v>
      </c>
      <c r="C14">
        <v>4</v>
      </c>
      <c r="D14">
        <v>2</v>
      </c>
      <c r="E14">
        <v>2</v>
      </c>
      <c r="F14">
        <v>6</v>
      </c>
      <c r="G14">
        <v>16</v>
      </c>
      <c r="H14">
        <v>16</v>
      </c>
      <c r="I14">
        <v>16</v>
      </c>
      <c r="J14">
        <v>22</v>
      </c>
      <c r="M14">
        <v>7</v>
      </c>
      <c r="N14">
        <v>28</v>
      </c>
      <c r="O14">
        <v>28</v>
      </c>
      <c r="P14">
        <v>14</v>
      </c>
      <c r="Q14">
        <v>14</v>
      </c>
      <c r="R14">
        <v>42</v>
      </c>
      <c r="S14">
        <v>112</v>
      </c>
      <c r="T14">
        <v>112</v>
      </c>
      <c r="U14">
        <v>112</v>
      </c>
      <c r="V14">
        <v>154</v>
      </c>
    </row>
    <row r="15" spans="1:22" x14ac:dyDescent="0.25">
      <c r="A15">
        <v>8</v>
      </c>
      <c r="B15">
        <v>3</v>
      </c>
      <c r="C15">
        <v>3</v>
      </c>
      <c r="D15">
        <v>2</v>
      </c>
      <c r="E15">
        <v>2</v>
      </c>
      <c r="F15">
        <v>5</v>
      </c>
      <c r="G15">
        <v>6</v>
      </c>
      <c r="H15">
        <v>6</v>
      </c>
      <c r="I15">
        <v>6</v>
      </c>
      <c r="J15">
        <v>11</v>
      </c>
      <c r="M15">
        <v>8</v>
      </c>
      <c r="N15">
        <v>24</v>
      </c>
      <c r="O15">
        <v>24</v>
      </c>
      <c r="P15">
        <v>16</v>
      </c>
      <c r="Q15">
        <v>16</v>
      </c>
      <c r="R15">
        <v>40</v>
      </c>
      <c r="S15">
        <v>48</v>
      </c>
      <c r="T15">
        <v>48</v>
      </c>
      <c r="U15">
        <v>48</v>
      </c>
      <c r="V15">
        <v>88</v>
      </c>
    </row>
    <row r="16" spans="1:22" x14ac:dyDescent="0.25">
      <c r="A16">
        <v>9</v>
      </c>
      <c r="B16">
        <v>3</v>
      </c>
      <c r="C16">
        <v>3</v>
      </c>
      <c r="D16">
        <v>6</v>
      </c>
      <c r="E16">
        <v>6</v>
      </c>
      <c r="F16">
        <v>9</v>
      </c>
      <c r="G16">
        <v>4</v>
      </c>
      <c r="H16">
        <v>4</v>
      </c>
      <c r="I16">
        <v>4</v>
      </c>
      <c r="J16">
        <v>13</v>
      </c>
      <c r="M16">
        <v>9</v>
      </c>
      <c r="N16">
        <v>27</v>
      </c>
      <c r="O16">
        <v>27</v>
      </c>
      <c r="P16">
        <v>54</v>
      </c>
      <c r="Q16">
        <v>54</v>
      </c>
      <c r="R16">
        <v>81</v>
      </c>
      <c r="S16">
        <v>36</v>
      </c>
      <c r="T16">
        <v>36</v>
      </c>
      <c r="U16">
        <v>36</v>
      </c>
      <c r="V16">
        <v>117</v>
      </c>
    </row>
    <row r="17" spans="1:22" x14ac:dyDescent="0.25">
      <c r="A17">
        <v>10</v>
      </c>
      <c r="B17">
        <v>2</v>
      </c>
      <c r="C17">
        <v>2</v>
      </c>
      <c r="D17">
        <v>1</v>
      </c>
      <c r="E17">
        <v>1</v>
      </c>
      <c r="F17">
        <v>3</v>
      </c>
      <c r="G17">
        <v>3</v>
      </c>
      <c r="H17">
        <v>3</v>
      </c>
      <c r="I17">
        <v>3</v>
      </c>
      <c r="J17">
        <v>6</v>
      </c>
      <c r="M17">
        <v>10</v>
      </c>
      <c r="N17">
        <v>20</v>
      </c>
      <c r="O17">
        <v>20</v>
      </c>
      <c r="P17">
        <v>10</v>
      </c>
      <c r="Q17">
        <v>10</v>
      </c>
      <c r="R17">
        <v>30</v>
      </c>
      <c r="S17">
        <v>30</v>
      </c>
      <c r="T17">
        <v>30</v>
      </c>
      <c r="U17">
        <v>30</v>
      </c>
      <c r="V17">
        <v>60</v>
      </c>
    </row>
    <row r="18" spans="1:22" x14ac:dyDescent="0.25">
      <c r="A18">
        <v>11</v>
      </c>
      <c r="B18">
        <v>1</v>
      </c>
      <c r="C18">
        <v>1</v>
      </c>
      <c r="D18">
        <v>1</v>
      </c>
      <c r="E18">
        <v>1</v>
      </c>
      <c r="F18">
        <v>2</v>
      </c>
      <c r="J18">
        <v>2</v>
      </c>
      <c r="M18">
        <v>11</v>
      </c>
      <c r="N18">
        <v>11</v>
      </c>
      <c r="O18">
        <v>11</v>
      </c>
      <c r="P18">
        <v>11</v>
      </c>
      <c r="Q18">
        <v>11</v>
      </c>
      <c r="R18">
        <v>22</v>
      </c>
      <c r="V18">
        <v>22</v>
      </c>
    </row>
    <row r="19" spans="1:22" x14ac:dyDescent="0.25">
      <c r="A19">
        <v>12</v>
      </c>
      <c r="D19">
        <v>2</v>
      </c>
      <c r="E19">
        <v>2</v>
      </c>
      <c r="F19">
        <v>2</v>
      </c>
      <c r="G19">
        <v>1</v>
      </c>
      <c r="H19">
        <v>1</v>
      </c>
      <c r="I19">
        <v>1</v>
      </c>
      <c r="J19">
        <v>3</v>
      </c>
      <c r="M19">
        <v>12</v>
      </c>
      <c r="P19">
        <v>24</v>
      </c>
      <c r="Q19">
        <v>24</v>
      </c>
      <c r="R19">
        <v>24</v>
      </c>
      <c r="S19">
        <v>12</v>
      </c>
      <c r="T19">
        <v>12</v>
      </c>
      <c r="U19">
        <v>12</v>
      </c>
      <c r="V19">
        <v>36</v>
      </c>
    </row>
    <row r="20" spans="1:22" x14ac:dyDescent="0.25">
      <c r="A20">
        <v>13</v>
      </c>
      <c r="D20">
        <v>4</v>
      </c>
      <c r="E20">
        <v>4</v>
      </c>
      <c r="F20">
        <v>4</v>
      </c>
      <c r="G20">
        <v>1</v>
      </c>
      <c r="H20">
        <v>1</v>
      </c>
      <c r="I20">
        <v>1</v>
      </c>
      <c r="J20">
        <v>5</v>
      </c>
      <c r="M20">
        <v>13</v>
      </c>
      <c r="P20">
        <v>52</v>
      </c>
      <c r="Q20">
        <v>52</v>
      </c>
      <c r="R20">
        <v>52</v>
      </c>
      <c r="S20">
        <v>13</v>
      </c>
      <c r="T20">
        <v>13</v>
      </c>
      <c r="U20">
        <v>13</v>
      </c>
      <c r="V20">
        <v>65</v>
      </c>
    </row>
    <row r="21" spans="1:22" x14ac:dyDescent="0.25">
      <c r="A21">
        <v>14</v>
      </c>
      <c r="G21">
        <v>1</v>
      </c>
      <c r="H21">
        <v>1</v>
      </c>
      <c r="I21">
        <v>1</v>
      </c>
      <c r="J21">
        <v>1</v>
      </c>
      <c r="M21">
        <v>14</v>
      </c>
      <c r="S21">
        <v>14</v>
      </c>
      <c r="T21">
        <v>14</v>
      </c>
      <c r="U21">
        <v>14</v>
      </c>
      <c r="V21">
        <v>14</v>
      </c>
    </row>
    <row r="22" spans="1:22" x14ac:dyDescent="0.25">
      <c r="A22" t="s">
        <v>471</v>
      </c>
      <c r="B22">
        <v>48</v>
      </c>
      <c r="C22">
        <v>48</v>
      </c>
      <c r="D22">
        <v>57</v>
      </c>
      <c r="E22">
        <v>57</v>
      </c>
      <c r="F22">
        <v>105</v>
      </c>
      <c r="G22">
        <v>99</v>
      </c>
      <c r="H22">
        <v>99</v>
      </c>
      <c r="I22">
        <v>99</v>
      </c>
      <c r="J22">
        <v>204</v>
      </c>
      <c r="M22" t="s">
        <v>471</v>
      </c>
      <c r="N22">
        <v>257</v>
      </c>
      <c r="O22">
        <v>257</v>
      </c>
      <c r="P22">
        <v>337</v>
      </c>
      <c r="Q22">
        <v>337</v>
      </c>
      <c r="R22">
        <v>594</v>
      </c>
      <c r="S22">
        <v>545</v>
      </c>
      <c r="T22">
        <v>545</v>
      </c>
      <c r="U22">
        <v>545</v>
      </c>
      <c r="V22">
        <v>1139</v>
      </c>
    </row>
    <row r="36" spans="1:2" x14ac:dyDescent="0.25">
      <c r="A36" s="10" t="s">
        <v>23</v>
      </c>
      <c r="B36" t="s">
        <v>497</v>
      </c>
    </row>
    <row r="37" spans="1:2" x14ac:dyDescent="0.25">
      <c r="A37">
        <v>4</v>
      </c>
      <c r="B37">
        <v>4</v>
      </c>
    </row>
    <row r="38" spans="1:2" x14ac:dyDescent="0.25">
      <c r="A38">
        <v>5</v>
      </c>
      <c r="B38">
        <v>30</v>
      </c>
    </row>
    <row r="39" spans="1:2" x14ac:dyDescent="0.25">
      <c r="A39">
        <v>6</v>
      </c>
      <c r="B39">
        <v>66</v>
      </c>
    </row>
    <row r="40" spans="1:2" x14ac:dyDescent="0.25">
      <c r="A40">
        <v>7</v>
      </c>
      <c r="B40">
        <v>91</v>
      </c>
    </row>
    <row r="41" spans="1:2" x14ac:dyDescent="0.25">
      <c r="A41">
        <v>8</v>
      </c>
      <c r="B41">
        <v>88</v>
      </c>
    </row>
    <row r="42" spans="1:2" x14ac:dyDescent="0.25">
      <c r="A42">
        <v>9</v>
      </c>
      <c r="B42">
        <v>171</v>
      </c>
    </row>
    <row r="43" spans="1:2" x14ac:dyDescent="0.25">
      <c r="A43">
        <v>10</v>
      </c>
      <c r="B43">
        <v>230</v>
      </c>
    </row>
    <row r="44" spans="1:2" x14ac:dyDescent="0.25">
      <c r="A44">
        <v>11</v>
      </c>
      <c r="B44">
        <v>165</v>
      </c>
    </row>
    <row r="45" spans="1:2" x14ac:dyDescent="0.25">
      <c r="A45">
        <v>12</v>
      </c>
      <c r="B45">
        <v>252</v>
      </c>
    </row>
    <row r="46" spans="1:2" x14ac:dyDescent="0.25">
      <c r="A46">
        <v>13</v>
      </c>
      <c r="B46">
        <v>273</v>
      </c>
    </row>
    <row r="47" spans="1:2" x14ac:dyDescent="0.25">
      <c r="A47">
        <v>14</v>
      </c>
      <c r="B47">
        <v>182</v>
      </c>
    </row>
    <row r="48" spans="1:2" x14ac:dyDescent="0.25">
      <c r="A48">
        <v>15</v>
      </c>
      <c r="B48">
        <v>180</v>
      </c>
    </row>
    <row r="49" spans="1:2" x14ac:dyDescent="0.25">
      <c r="A49">
        <v>16</v>
      </c>
      <c r="B49">
        <v>240</v>
      </c>
    </row>
    <row r="50" spans="1:2" x14ac:dyDescent="0.25">
      <c r="A50">
        <v>17</v>
      </c>
      <c r="B50">
        <v>102</v>
      </c>
    </row>
    <row r="51" spans="1:2" x14ac:dyDescent="0.25">
      <c r="A51">
        <v>18</v>
      </c>
      <c r="B51">
        <v>108</v>
      </c>
    </row>
    <row r="52" spans="1:2" x14ac:dyDescent="0.25">
      <c r="A52">
        <v>19</v>
      </c>
      <c r="B52">
        <v>76</v>
      </c>
    </row>
    <row r="53" spans="1:2" x14ac:dyDescent="0.25">
      <c r="A53">
        <v>20</v>
      </c>
      <c r="B53">
        <v>60</v>
      </c>
    </row>
    <row r="54" spans="1:2" x14ac:dyDescent="0.25">
      <c r="A54">
        <v>21</v>
      </c>
      <c r="B54">
        <v>84</v>
      </c>
    </row>
    <row r="55" spans="1:2" x14ac:dyDescent="0.25">
      <c r="A55" t="s">
        <v>471</v>
      </c>
      <c r="B55">
        <v>2402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9B7F-49A0-496A-9168-F8F5A87C7243}">
  <dimension ref="A1:BA206"/>
  <sheetViews>
    <sheetView topLeftCell="AF189" workbookViewId="0">
      <selection sqref="A1:AQ205"/>
    </sheetView>
  </sheetViews>
  <sheetFormatPr defaultRowHeight="15" x14ac:dyDescent="0.25"/>
  <cols>
    <col min="1" max="1" width="19.140625" bestFit="1" customWidth="1"/>
    <col min="2" max="2" width="11.42578125" bestFit="1" customWidth="1"/>
    <col min="3" max="3" width="9.7109375" bestFit="1" customWidth="1"/>
    <col min="4" max="4" width="10" bestFit="1" customWidth="1"/>
    <col min="5" max="5" width="14.85546875" bestFit="1" customWidth="1"/>
    <col min="6" max="7" width="14.85546875" customWidth="1"/>
    <col min="8" max="8" width="17.85546875" bestFit="1" customWidth="1"/>
    <col min="9" max="9" width="14.42578125" customWidth="1"/>
    <col min="10" max="10" width="13" customWidth="1"/>
    <col min="11" max="11" width="8.85546875" customWidth="1"/>
    <col min="12" max="12" width="13.28515625" customWidth="1"/>
    <col min="13" max="13" width="12.5703125" customWidth="1"/>
    <col min="14" max="16" width="30.7109375" bestFit="1" customWidth="1"/>
    <col min="17" max="17" width="17.28515625" bestFit="1" customWidth="1"/>
    <col min="18" max="18" width="15.85546875" bestFit="1" customWidth="1"/>
    <col min="19" max="19" width="26.7109375" bestFit="1" customWidth="1"/>
    <col min="20" max="20" width="25.28515625" bestFit="1" customWidth="1"/>
    <col min="21" max="21" width="23.28515625" bestFit="1" customWidth="1"/>
    <col min="22" max="22" width="21.85546875" bestFit="1" customWidth="1"/>
    <col min="23" max="23" width="18.7109375" bestFit="1" customWidth="1"/>
    <col min="24" max="24" width="17.28515625" bestFit="1" customWidth="1"/>
    <col min="25" max="26" width="30.7109375" bestFit="1" customWidth="1"/>
    <col min="27" max="27" width="20.7109375" bestFit="1" customWidth="1"/>
    <col min="28" max="28" width="19.140625" bestFit="1" customWidth="1"/>
    <col min="29" max="29" width="27" bestFit="1" customWidth="1"/>
    <col min="30" max="30" width="25.5703125" bestFit="1" customWidth="1"/>
    <col min="31" max="31" width="19.7109375" bestFit="1" customWidth="1"/>
    <col min="32" max="32" width="18.140625" bestFit="1" customWidth="1"/>
    <col min="33" max="33" width="24.7109375" bestFit="1" customWidth="1"/>
    <col min="34" max="34" width="23" bestFit="1" customWidth="1"/>
    <col min="35" max="35" width="18.5703125" bestFit="1" customWidth="1"/>
    <col min="39" max="39" width="15.7109375" bestFit="1" customWidth="1"/>
    <col min="40" max="40" width="29.28515625" bestFit="1" customWidth="1"/>
  </cols>
  <sheetData>
    <row r="1" spans="1:5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470</v>
      </c>
      <c r="G1" s="6" t="s">
        <v>498</v>
      </c>
      <c r="H1" s="6" t="s">
        <v>5</v>
      </c>
      <c r="I1" s="6" t="s">
        <v>6</v>
      </c>
      <c r="J1" s="6" t="s">
        <v>9</v>
      </c>
      <c r="K1" s="6" t="s">
        <v>499</v>
      </c>
      <c r="L1" s="6" t="s">
        <v>10</v>
      </c>
      <c r="M1" s="6" t="s">
        <v>500</v>
      </c>
      <c r="N1" s="6" t="s">
        <v>11</v>
      </c>
      <c r="O1" s="6" t="s">
        <v>486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492</v>
      </c>
      <c r="AN1" s="6" t="s">
        <v>501</v>
      </c>
      <c r="AO1" s="6" t="s">
        <v>493</v>
      </c>
      <c r="AP1" s="6" t="s">
        <v>35</v>
      </c>
      <c r="AQ1" s="6" t="s">
        <v>36</v>
      </c>
    </row>
    <row r="2" spans="1:53" x14ac:dyDescent="0.25">
      <c r="A2" s="3">
        <v>2024</v>
      </c>
      <c r="B2" s="2">
        <v>45395</v>
      </c>
      <c r="C2" s="3">
        <v>1</v>
      </c>
      <c r="D2" s="3">
        <v>22045</v>
      </c>
      <c r="E2" s="3">
        <v>50848</v>
      </c>
      <c r="F2" s="3" t="str">
        <f>IF(D1="","",IF(D1&lt;5000,"0-4.999",
  IF(D1&lt;10000,"5.000-9.999",
    IF(D1&lt;15000,"10.000-14.999",
      IF(D1&lt;20000,"15.000-19.999",
        IF(D1&lt;30000,"20.000-29.999","&gt;=30.000"))))))</f>
        <v>&gt;=30.000</v>
      </c>
      <c r="G2" s="3">
        <f>Tabela2[[#This Row],[publico]]/Tabela2[[#This Row],[publico_max]]</f>
        <v>0.4335470421648836</v>
      </c>
      <c r="H2" s="3" t="s">
        <v>37</v>
      </c>
      <c r="I2" s="3" t="s">
        <v>38</v>
      </c>
      <c r="J2" s="3">
        <v>5</v>
      </c>
      <c r="K2" s="3" t="str">
        <f>IF(J2="", "", IF(J2&lt;=5, "1-5 (elite)", IF(J2&lt;=10, "6-10 (intermediário)", IF(J2&lt;=15, "11-15 (mediano)", "16-20 (rebaixamento)"))))</f>
        <v>1-5 (elite)</v>
      </c>
      <c r="L2" s="3">
        <v>16</v>
      </c>
      <c r="M2" s="3"/>
      <c r="N2" s="3">
        <v>5840</v>
      </c>
      <c r="O2" s="3" t="str">
        <f>IF(N2="", "",
   IF(N2&lt;=1500, "1–1.500 (rebaixamento)",
   IF(N2&lt;=3500, "1.501–3.500 (mediano)",
   IF(N2&lt;=7000, "3.501–7.000 (intermediário)",
   "7.001+ (elite)"))))</f>
        <v>3.501–7.000 (intermediário)</v>
      </c>
      <c r="P2" s="3">
        <v>3010</v>
      </c>
      <c r="Q2" s="3" t="s">
        <v>41</v>
      </c>
      <c r="R2" s="3">
        <v>29</v>
      </c>
      <c r="S2" s="3">
        <v>2</v>
      </c>
      <c r="T2" s="3">
        <v>1</v>
      </c>
      <c r="U2" s="3">
        <v>0</v>
      </c>
      <c r="V2" s="3">
        <v>0</v>
      </c>
      <c r="W2" s="3">
        <v>6</v>
      </c>
      <c r="X2" s="3">
        <v>3</v>
      </c>
      <c r="Y2" s="3">
        <v>20</v>
      </c>
      <c r="Z2" s="3">
        <v>13</v>
      </c>
      <c r="AA2" s="3">
        <v>13</v>
      </c>
      <c r="AB2" s="3">
        <v>19</v>
      </c>
      <c r="AC2" s="3">
        <v>3</v>
      </c>
      <c r="AD2" s="3">
        <v>6</v>
      </c>
      <c r="AE2" s="3">
        <v>3</v>
      </c>
      <c r="AF2" s="3">
        <v>2</v>
      </c>
      <c r="AG2" s="3">
        <v>17</v>
      </c>
      <c r="AH2" s="3">
        <v>9</v>
      </c>
      <c r="AI2" s="3">
        <v>7</v>
      </c>
      <c r="AJ2" s="3">
        <v>3</v>
      </c>
      <c r="AK2" s="3">
        <v>1</v>
      </c>
      <c r="AL2" s="3">
        <v>1</v>
      </c>
      <c r="AM2" s="3">
        <f>IF(Tabela2[[#This Row],[gols_mandante]]=Tabela2[[#This Row],[gols_visitante]],1,0)</f>
        <v>0</v>
      </c>
      <c r="AN2" s="3">
        <f>IF(Tabela2[[#This Row],[gols_mandante]]&gt;Tabela2[[#This Row],[gols_visitante]],1,0)</f>
        <v>1</v>
      </c>
      <c r="AO2" s="3">
        <f>IF(Tabela2[[#This Row],[gols_mandante]]&lt;Tabela2[[#This Row],[gols_visitante]],1,0)</f>
        <v>0</v>
      </c>
      <c r="AP2" s="3" t="s">
        <v>42</v>
      </c>
      <c r="AQ2" s="3">
        <v>0</v>
      </c>
      <c r="AV2">
        <f>CORREL(Tabela2[publico],Tabela2[vitoria])</f>
        <v>5.3451769236876535E-2</v>
      </c>
      <c r="AW2" t="e">
        <f>CORREL(Tabela2[[#This Row],[porc_publico]],Tabela2[vitoria])</f>
        <v>#N/A</v>
      </c>
      <c r="AZ2" t="s">
        <v>502</v>
      </c>
      <c r="BA2">
        <f>MIN(N2:N205)</f>
        <v>563</v>
      </c>
    </row>
    <row r="3" spans="1:53" x14ac:dyDescent="0.25">
      <c r="A3" s="5">
        <v>2024</v>
      </c>
      <c r="B3" s="4">
        <v>45395</v>
      </c>
      <c r="C3" s="5">
        <v>1</v>
      </c>
      <c r="D3" s="5">
        <v>12408</v>
      </c>
      <c r="E3" s="5">
        <v>19225</v>
      </c>
      <c r="F3" s="5" t="str">
        <f t="shared" ref="F3:F65" si="0">IF(D2="","",IF(D2&lt;5000,"0-4.999",
  IF(D2&lt;10000,"5.000-9.999",
    IF(D2&lt;15000,"10.000-14.999",
      IF(D2&lt;20000,"15.000-19.999",
        IF(D2&lt;30000,"20.000-29.999","&gt;=30.000"))))))</f>
        <v>20.000-29.999</v>
      </c>
      <c r="G3" s="5">
        <f>Tabela2[[#This Row],[publico]]/Tabela2[[#This Row],[publico_max]]</f>
        <v>0.6454096228868661</v>
      </c>
      <c r="H3" s="5" t="s">
        <v>43</v>
      </c>
      <c r="I3" s="5" t="s">
        <v>44</v>
      </c>
      <c r="J3" s="5">
        <v>10</v>
      </c>
      <c r="K3" s="3" t="str">
        <f t="shared" ref="K3:K66" si="1">IF(J3="", "", IF(J3&lt;=5, "1-5 (elite)", IF(J3&lt;=10, "6-10 (intermediário)", IF(J3&lt;=15, "11-15 (mediano)", "16-20 (rebaixamento)"))))</f>
        <v>6-10 (intermediário)</v>
      </c>
      <c r="L3" s="5">
        <v>11</v>
      </c>
      <c r="M3" s="3">
        <f t="shared" ref="M3:M66" si="2">L3-J3</f>
        <v>1</v>
      </c>
      <c r="N3" s="5">
        <v>563</v>
      </c>
      <c r="O3" s="3" t="str">
        <f t="shared" ref="O3:O66" si="3">IF(N3="", "",
   IF(N3&lt;=1500, "1–1.500 (rebaixamento)",
   IF(N3&lt;=3500, "1.501–3.500 (mediano)",
   IF(N3&lt;=7000, "3.501–7.000 (intermediário)",
   "7.001+ (elite)"))))</f>
        <v>1–1.500 (rebaixamento)</v>
      </c>
      <c r="P3" s="5">
        <v>730</v>
      </c>
      <c r="Q3" s="5" t="s">
        <v>47</v>
      </c>
      <c r="R3" s="5" t="s">
        <v>48</v>
      </c>
      <c r="S3" s="5">
        <v>1</v>
      </c>
      <c r="T3" s="5">
        <v>1</v>
      </c>
      <c r="U3" s="5">
        <v>1</v>
      </c>
      <c r="V3" s="5">
        <v>0</v>
      </c>
      <c r="W3" s="5">
        <v>0</v>
      </c>
      <c r="X3" s="5">
        <v>4</v>
      </c>
      <c r="Y3" s="5">
        <v>11</v>
      </c>
      <c r="Z3" s="5">
        <v>15</v>
      </c>
      <c r="AA3" s="5">
        <v>15</v>
      </c>
      <c r="AB3" s="5">
        <v>9</v>
      </c>
      <c r="AC3" s="5">
        <v>3</v>
      </c>
      <c r="AD3" s="5">
        <v>2</v>
      </c>
      <c r="AE3" s="5">
        <v>3</v>
      </c>
      <c r="AF3" s="5">
        <v>4</v>
      </c>
      <c r="AG3" s="5">
        <v>10</v>
      </c>
      <c r="AH3" s="5">
        <v>15</v>
      </c>
      <c r="AI3" s="5">
        <v>4</v>
      </c>
      <c r="AJ3" s="5">
        <v>7</v>
      </c>
      <c r="AK3" s="5">
        <v>0</v>
      </c>
      <c r="AL3" s="5">
        <v>0</v>
      </c>
      <c r="AM3" s="5">
        <f>IF(Tabela2[[#This Row],[gols_mandante]]=Tabela2[[#This Row],[gols_visitante]],1,0)</f>
        <v>1</v>
      </c>
      <c r="AN3" s="5">
        <f>IF(Tabela2[[#This Row],[gols_mandante]]&gt;Tabela2[[#This Row],[gols_visitante]],1,0)</f>
        <v>0</v>
      </c>
      <c r="AO3" s="5">
        <f>IF(Tabela2[[#This Row],[gols_mandante]]&lt;Tabela2[[#This Row],[gols_visitante]],1,0)</f>
        <v>0</v>
      </c>
      <c r="AP3" s="5" t="s">
        <v>49</v>
      </c>
      <c r="AQ3" s="5">
        <v>0</v>
      </c>
      <c r="AZ3" t="s">
        <v>503</v>
      </c>
      <c r="BA3">
        <f>MAX(N2:N205)</f>
        <v>13600</v>
      </c>
    </row>
    <row r="4" spans="1:53" x14ac:dyDescent="0.25">
      <c r="A4" s="3">
        <v>2024</v>
      </c>
      <c r="B4" s="2">
        <v>45396</v>
      </c>
      <c r="C4" s="3">
        <v>1</v>
      </c>
      <c r="D4" s="3">
        <v>36661</v>
      </c>
      <c r="E4" s="3">
        <v>61927</v>
      </c>
      <c r="F4" s="3" t="str">
        <f t="shared" si="0"/>
        <v>10.000-14.999</v>
      </c>
      <c r="G4" s="3">
        <f>Tabela2[[#This Row],[publico]]/Tabela2[[#This Row],[publico_max]]</f>
        <v>0.59200348797778024</v>
      </c>
      <c r="H4" s="3" t="s">
        <v>50</v>
      </c>
      <c r="I4" s="3" t="s">
        <v>51</v>
      </c>
      <c r="J4" s="3">
        <v>2</v>
      </c>
      <c r="K4" s="3" t="str">
        <f t="shared" si="1"/>
        <v>1-5 (elite)</v>
      </c>
      <c r="L4" s="3">
        <v>14</v>
      </c>
      <c r="M4" s="3">
        <f t="shared" si="2"/>
        <v>12</v>
      </c>
      <c r="N4" s="3">
        <v>2425</v>
      </c>
      <c r="O4" s="3" t="str">
        <f t="shared" si="3"/>
        <v>1.501–3.500 (mediano)</v>
      </c>
      <c r="P4" s="3">
        <v>3435</v>
      </c>
      <c r="Q4" s="3">
        <v>29</v>
      </c>
      <c r="R4" s="3">
        <v>29</v>
      </c>
      <c r="S4" s="3">
        <v>3</v>
      </c>
      <c r="T4" s="3">
        <v>2</v>
      </c>
      <c r="U4" s="3">
        <v>1</v>
      </c>
      <c r="V4" s="3">
        <v>1</v>
      </c>
      <c r="W4" s="3">
        <v>6</v>
      </c>
      <c r="X4" s="3">
        <v>3</v>
      </c>
      <c r="Y4" s="3">
        <v>12</v>
      </c>
      <c r="Z4" s="3">
        <v>11</v>
      </c>
      <c r="AA4" s="3">
        <v>11</v>
      </c>
      <c r="AB4" s="3">
        <v>10</v>
      </c>
      <c r="AC4" s="3">
        <v>1</v>
      </c>
      <c r="AD4" s="3">
        <v>2</v>
      </c>
      <c r="AE4" s="3">
        <v>2</v>
      </c>
      <c r="AF4" s="3">
        <v>0</v>
      </c>
      <c r="AG4" s="3">
        <v>15</v>
      </c>
      <c r="AH4" s="3">
        <v>6</v>
      </c>
      <c r="AI4" s="3">
        <v>4</v>
      </c>
      <c r="AJ4" s="3">
        <v>3</v>
      </c>
      <c r="AK4" s="3">
        <v>1</v>
      </c>
      <c r="AL4" s="3">
        <v>1</v>
      </c>
      <c r="AM4" s="3">
        <f>IF(Tabela2[[#This Row],[gols_mandante]]=Tabela2[[#This Row],[gols_visitante]],1,0)</f>
        <v>0</v>
      </c>
      <c r="AN4" s="3">
        <f>IF(Tabela2[[#This Row],[gols_mandante]]&gt;Tabela2[[#This Row],[gols_visitante]],1,0)</f>
        <v>1</v>
      </c>
      <c r="AO4" s="3">
        <f>IF(Tabela2[[#This Row],[gols_mandante]]&lt;Tabela2[[#This Row],[gols_visitante]],1,0)</f>
        <v>0</v>
      </c>
      <c r="AP4" s="3" t="s">
        <v>54</v>
      </c>
      <c r="AQ4" s="3">
        <v>0</v>
      </c>
      <c r="AZ4" t="s">
        <v>504</v>
      </c>
      <c r="BA4">
        <f>AVERAGE(N2:N205)</f>
        <v>3505.9019607843138</v>
      </c>
    </row>
    <row r="5" spans="1:53" x14ac:dyDescent="0.25">
      <c r="A5" s="5">
        <v>2024</v>
      </c>
      <c r="B5" s="4">
        <v>45396</v>
      </c>
      <c r="C5" s="5">
        <v>1</v>
      </c>
      <c r="D5" s="5">
        <v>17645</v>
      </c>
      <c r="E5" s="5">
        <v>82238</v>
      </c>
      <c r="F5" s="5" t="str">
        <f t="shared" si="0"/>
        <v>&gt;=30.000</v>
      </c>
      <c r="G5" s="5">
        <f>Tabela2[[#This Row],[publico]]/Tabela2[[#This Row],[publico_max]]</f>
        <v>0.21456017899267979</v>
      </c>
      <c r="H5" s="5" t="s">
        <v>55</v>
      </c>
      <c r="I5" s="5" t="s">
        <v>56</v>
      </c>
      <c r="J5" s="5">
        <v>9</v>
      </c>
      <c r="K5" s="3" t="str">
        <f t="shared" si="1"/>
        <v>6-10 (intermediário)</v>
      </c>
      <c r="L5" s="5">
        <v>8</v>
      </c>
      <c r="M5" s="3">
        <f t="shared" si="2"/>
        <v>-1</v>
      </c>
      <c r="N5" s="5">
        <v>5955</v>
      </c>
      <c r="O5" s="3" t="str">
        <f t="shared" si="3"/>
        <v>3.501–7.000 (intermediário)</v>
      </c>
      <c r="P5" s="5">
        <v>2860</v>
      </c>
      <c r="Q5" s="5" t="s">
        <v>59</v>
      </c>
      <c r="R5" s="5" t="s">
        <v>60</v>
      </c>
      <c r="S5" s="5">
        <v>2</v>
      </c>
      <c r="T5" s="5">
        <v>2</v>
      </c>
      <c r="U5" s="5">
        <v>1</v>
      </c>
      <c r="V5" s="5">
        <v>0</v>
      </c>
      <c r="W5" s="5">
        <v>13</v>
      </c>
      <c r="X5" s="5">
        <v>6</v>
      </c>
      <c r="Y5" s="5">
        <v>8</v>
      </c>
      <c r="Z5" s="5">
        <v>19</v>
      </c>
      <c r="AA5" s="5">
        <v>19</v>
      </c>
      <c r="AB5" s="5">
        <v>8</v>
      </c>
      <c r="AC5" s="5">
        <v>6</v>
      </c>
      <c r="AD5" s="5">
        <v>9</v>
      </c>
      <c r="AE5" s="5">
        <v>0</v>
      </c>
      <c r="AF5" s="5">
        <v>0</v>
      </c>
      <c r="AG5" s="5">
        <v>26</v>
      </c>
      <c r="AH5" s="5">
        <v>16</v>
      </c>
      <c r="AI5" s="5">
        <v>10</v>
      </c>
      <c r="AJ5" s="5">
        <v>7</v>
      </c>
      <c r="AK5" s="5">
        <v>0</v>
      </c>
      <c r="AL5" s="5">
        <v>0</v>
      </c>
      <c r="AM5" s="5">
        <f>IF(Tabela2[[#This Row],[gols_mandante]]=Tabela2[[#This Row],[gols_visitante]],1,0)</f>
        <v>1</v>
      </c>
      <c r="AN5" s="5">
        <f>IF(Tabela2[[#This Row],[gols_mandante]]&gt;Tabela2[[#This Row],[gols_visitante]],1,0)</f>
        <v>0</v>
      </c>
      <c r="AO5" s="5">
        <f>IF(Tabela2[[#This Row],[gols_mandante]]&lt;Tabela2[[#This Row],[gols_visitante]],1,0)</f>
        <v>0</v>
      </c>
      <c r="AP5" s="5" t="s">
        <v>61</v>
      </c>
      <c r="AQ5" s="5">
        <v>0</v>
      </c>
    </row>
    <row r="6" spans="1:53" x14ac:dyDescent="0.25">
      <c r="A6" s="3">
        <v>2024</v>
      </c>
      <c r="B6" s="2">
        <v>45396</v>
      </c>
      <c r="C6" s="3">
        <v>1</v>
      </c>
      <c r="D6" s="3">
        <v>35055</v>
      </c>
      <c r="E6" s="3">
        <v>72039</v>
      </c>
      <c r="F6" s="3" t="str">
        <f t="shared" si="0"/>
        <v>15.000-19.999</v>
      </c>
      <c r="G6" s="3">
        <f>Tabela2[[#This Row],[publico]]/Tabela2[[#This Row],[publico_max]]</f>
        <v>0.48661141881480863</v>
      </c>
      <c r="H6" s="3" t="s">
        <v>62</v>
      </c>
      <c r="I6" s="3" t="s">
        <v>63</v>
      </c>
      <c r="J6" s="3">
        <v>18</v>
      </c>
      <c r="K6" s="3" t="str">
        <f t="shared" si="1"/>
        <v>16-20 (rebaixamento)</v>
      </c>
      <c r="L6" s="3">
        <v>4</v>
      </c>
      <c r="M6" s="3">
        <f t="shared" si="2"/>
        <v>-14</v>
      </c>
      <c r="N6" s="3">
        <v>4010</v>
      </c>
      <c r="O6" s="3" t="str">
        <f t="shared" si="3"/>
        <v>3.501–7.000 (intermediário)</v>
      </c>
      <c r="P6" s="3">
        <v>1315</v>
      </c>
      <c r="Q6" s="3" t="s">
        <v>66</v>
      </c>
      <c r="R6" s="3" t="s">
        <v>67</v>
      </c>
      <c r="S6" s="3">
        <v>1</v>
      </c>
      <c r="T6" s="3">
        <v>2</v>
      </c>
      <c r="U6" s="3">
        <v>0</v>
      </c>
      <c r="V6" s="3">
        <v>0</v>
      </c>
      <c r="W6" s="3">
        <v>11</v>
      </c>
      <c r="X6" s="3">
        <v>4</v>
      </c>
      <c r="Y6" s="3">
        <v>10</v>
      </c>
      <c r="Z6" s="3">
        <v>14</v>
      </c>
      <c r="AA6" s="3">
        <v>14</v>
      </c>
      <c r="AB6" s="3">
        <v>10</v>
      </c>
      <c r="AC6" s="3">
        <v>0</v>
      </c>
      <c r="AD6" s="3">
        <v>4</v>
      </c>
      <c r="AE6" s="3">
        <v>2</v>
      </c>
      <c r="AF6" s="3">
        <v>1</v>
      </c>
      <c r="AG6" s="3">
        <v>14</v>
      </c>
      <c r="AH6" s="3">
        <v>6</v>
      </c>
      <c r="AI6" s="3">
        <v>5</v>
      </c>
      <c r="AJ6" s="3">
        <v>3</v>
      </c>
      <c r="AK6" s="3">
        <v>-1</v>
      </c>
      <c r="AL6" s="3">
        <v>0</v>
      </c>
      <c r="AM6" s="3">
        <f>IF(Tabela2[[#This Row],[gols_mandante]]=Tabela2[[#This Row],[gols_visitante]],1,0)</f>
        <v>0</v>
      </c>
      <c r="AN6" s="3">
        <f>IF(Tabela2[[#This Row],[gols_mandante]]&gt;Tabela2[[#This Row],[gols_visitante]],1,0)</f>
        <v>0</v>
      </c>
      <c r="AO6" s="3">
        <f>IF(Tabela2[[#This Row],[gols_mandante]]&lt;Tabela2[[#This Row],[gols_visitante]],1,0)</f>
        <v>1</v>
      </c>
      <c r="AP6" s="3" t="s">
        <v>68</v>
      </c>
      <c r="AQ6" s="3">
        <v>0</v>
      </c>
    </row>
    <row r="7" spans="1:53" x14ac:dyDescent="0.25">
      <c r="A7" s="5">
        <v>2024</v>
      </c>
      <c r="B7" s="4">
        <v>45396</v>
      </c>
      <c r="C7" s="5">
        <v>1</v>
      </c>
      <c r="D7" s="5">
        <v>22169</v>
      </c>
      <c r="E7" s="5">
        <v>42372</v>
      </c>
      <c r="F7" s="5" t="str">
        <f t="shared" si="0"/>
        <v>&gt;=30.000</v>
      </c>
      <c r="G7" s="5">
        <f>Tabela2[[#This Row],[publico]]/Tabela2[[#This Row],[publico_max]]</f>
        <v>0.52319928254507697</v>
      </c>
      <c r="H7" s="5" t="s">
        <v>69</v>
      </c>
      <c r="I7" s="5" t="s">
        <v>70</v>
      </c>
      <c r="J7" s="5">
        <v>1</v>
      </c>
      <c r="K7" s="3" t="str">
        <f t="shared" si="1"/>
        <v>1-5 (elite)</v>
      </c>
      <c r="L7" s="5">
        <v>20</v>
      </c>
      <c r="M7" s="3">
        <f t="shared" si="2"/>
        <v>19</v>
      </c>
      <c r="N7" s="5">
        <v>3405</v>
      </c>
      <c r="O7" s="3" t="str">
        <f t="shared" si="3"/>
        <v>1.501–3.500 (mediano)</v>
      </c>
      <c r="P7" s="5">
        <v>935</v>
      </c>
      <c r="Q7" s="5" t="s">
        <v>73</v>
      </c>
      <c r="R7" s="5" t="s">
        <v>74</v>
      </c>
      <c r="S7" s="5">
        <v>4</v>
      </c>
      <c r="T7" s="5">
        <v>0</v>
      </c>
      <c r="U7" s="5">
        <v>3</v>
      </c>
      <c r="V7" s="5">
        <v>0</v>
      </c>
      <c r="W7" s="5">
        <v>7</v>
      </c>
      <c r="X7" s="5">
        <v>0</v>
      </c>
      <c r="Y7" s="5">
        <v>16</v>
      </c>
      <c r="Z7" s="5">
        <v>9</v>
      </c>
      <c r="AA7" s="5">
        <v>9</v>
      </c>
      <c r="AB7" s="5">
        <v>16</v>
      </c>
      <c r="AC7" s="5">
        <v>0</v>
      </c>
      <c r="AD7" s="5">
        <v>5</v>
      </c>
      <c r="AE7" s="5">
        <v>2</v>
      </c>
      <c r="AF7" s="5">
        <v>1</v>
      </c>
      <c r="AG7" s="5">
        <v>20</v>
      </c>
      <c r="AH7" s="5">
        <v>1</v>
      </c>
      <c r="AI7" s="5">
        <v>6</v>
      </c>
      <c r="AJ7" s="5">
        <v>1</v>
      </c>
      <c r="AK7" s="5">
        <v>4</v>
      </c>
      <c r="AL7" s="5">
        <v>1</v>
      </c>
      <c r="AM7" s="5">
        <f>IF(Tabela2[[#This Row],[gols_mandante]]=Tabela2[[#This Row],[gols_visitante]],1,0)</f>
        <v>0</v>
      </c>
      <c r="AN7" s="5">
        <f>IF(Tabela2[[#This Row],[gols_mandante]]&gt;Tabela2[[#This Row],[gols_visitante]],1,0)</f>
        <v>1</v>
      </c>
      <c r="AO7" s="5">
        <f>IF(Tabela2[[#This Row],[gols_mandante]]&lt;Tabela2[[#This Row],[gols_visitante]],1,0)</f>
        <v>0</v>
      </c>
      <c r="AP7" s="5" t="s">
        <v>75</v>
      </c>
      <c r="AQ7" s="5">
        <v>0</v>
      </c>
    </row>
    <row r="8" spans="1:53" x14ac:dyDescent="0.25">
      <c r="A8" s="3">
        <v>2024</v>
      </c>
      <c r="B8" s="2">
        <v>45396</v>
      </c>
      <c r="C8" s="3">
        <v>1</v>
      </c>
      <c r="D8" s="3">
        <v>35195</v>
      </c>
      <c r="E8" s="3">
        <v>50000</v>
      </c>
      <c r="F8" s="3" t="str">
        <f t="shared" si="0"/>
        <v>20.000-29.999</v>
      </c>
      <c r="G8" s="3">
        <f>Tabela2[[#This Row],[publico]]/Tabela2[[#This Row],[publico_max]]</f>
        <v>0.70389999999999997</v>
      </c>
      <c r="H8" s="3" t="s">
        <v>76</v>
      </c>
      <c r="I8" s="3" t="s">
        <v>77</v>
      </c>
      <c r="J8" s="3">
        <v>15</v>
      </c>
      <c r="K8" s="3" t="str">
        <f t="shared" si="1"/>
        <v>11-15 (mediano)</v>
      </c>
      <c r="L8" s="3">
        <v>3</v>
      </c>
      <c r="M8" s="3">
        <f t="shared" si="2"/>
        <v>-12</v>
      </c>
      <c r="N8" s="3">
        <v>790</v>
      </c>
      <c r="O8" s="3" t="str">
        <f t="shared" si="3"/>
        <v>1–1.500 (rebaixamento)</v>
      </c>
      <c r="P8" s="3">
        <v>10250</v>
      </c>
      <c r="Q8" s="3" t="s">
        <v>80</v>
      </c>
      <c r="R8" s="3">
        <v>28</v>
      </c>
      <c r="S8" s="3">
        <v>1</v>
      </c>
      <c r="T8" s="3">
        <v>2</v>
      </c>
      <c r="U8" s="3">
        <v>0</v>
      </c>
      <c r="V8" s="3">
        <v>1</v>
      </c>
      <c r="W8" s="3">
        <v>4</v>
      </c>
      <c r="X8" s="3">
        <v>4</v>
      </c>
      <c r="Y8" s="3">
        <v>12</v>
      </c>
      <c r="Z8" s="3">
        <v>12</v>
      </c>
      <c r="AA8" s="3">
        <v>12</v>
      </c>
      <c r="AB8" s="3">
        <v>11</v>
      </c>
      <c r="AC8" s="3">
        <v>0</v>
      </c>
      <c r="AD8" s="3">
        <v>3</v>
      </c>
      <c r="AE8" s="3">
        <v>2</v>
      </c>
      <c r="AF8" s="3">
        <v>1</v>
      </c>
      <c r="AG8" s="3">
        <v>11</v>
      </c>
      <c r="AH8" s="3">
        <v>15</v>
      </c>
      <c r="AI8" s="3">
        <v>5</v>
      </c>
      <c r="AJ8" s="3">
        <v>8</v>
      </c>
      <c r="AK8" s="3">
        <v>-1</v>
      </c>
      <c r="AL8" s="3">
        <v>0</v>
      </c>
      <c r="AM8" s="3">
        <f>IF(Tabela2[[#This Row],[gols_mandante]]=Tabela2[[#This Row],[gols_visitante]],1,0)</f>
        <v>0</v>
      </c>
      <c r="AN8" s="3">
        <f>IF(Tabela2[[#This Row],[gols_mandante]]&gt;Tabela2[[#This Row],[gols_visitante]],1,0)</f>
        <v>0</v>
      </c>
      <c r="AO8" s="3">
        <f>IF(Tabela2[[#This Row],[gols_mandante]]&lt;Tabela2[[#This Row],[gols_visitante]],1,0)</f>
        <v>1</v>
      </c>
      <c r="AP8" s="3" t="s">
        <v>81</v>
      </c>
      <c r="AQ8" s="3">
        <v>1</v>
      </c>
    </row>
    <row r="9" spans="1:53" x14ac:dyDescent="0.25">
      <c r="A9" s="5">
        <v>2024</v>
      </c>
      <c r="B9" s="4">
        <v>45396</v>
      </c>
      <c r="C9" s="5">
        <v>1</v>
      </c>
      <c r="D9" s="5">
        <v>18055</v>
      </c>
      <c r="E9" s="5">
        <v>24584</v>
      </c>
      <c r="F9" s="5" t="str">
        <f t="shared" si="0"/>
        <v>&gt;=30.000</v>
      </c>
      <c r="G9" s="5">
        <f>Tabela2[[#This Row],[publico]]/Tabela2[[#This Row],[publico_max]]</f>
        <v>0.73442076147087532</v>
      </c>
      <c r="H9" s="5" t="s">
        <v>82</v>
      </c>
      <c r="I9" s="5" t="s">
        <v>83</v>
      </c>
      <c r="J9" s="5">
        <v>6</v>
      </c>
      <c r="K9" s="3" t="str">
        <f t="shared" si="1"/>
        <v>6-10 (intermediário)</v>
      </c>
      <c r="L9" s="5">
        <v>17</v>
      </c>
      <c r="M9" s="3">
        <f t="shared" si="2"/>
        <v>11</v>
      </c>
      <c r="N9" s="5">
        <v>2545</v>
      </c>
      <c r="O9" s="3" t="str">
        <f t="shared" si="3"/>
        <v>1.501–3.500 (mediano)</v>
      </c>
      <c r="P9" s="5">
        <v>4110</v>
      </c>
      <c r="Q9" s="5" t="s">
        <v>66</v>
      </c>
      <c r="R9" s="5" t="s">
        <v>86</v>
      </c>
      <c r="S9" s="5">
        <v>2</v>
      </c>
      <c r="T9" s="5">
        <v>1</v>
      </c>
      <c r="U9" s="5">
        <v>2</v>
      </c>
      <c r="V9" s="5">
        <v>0</v>
      </c>
      <c r="W9" s="5">
        <v>3</v>
      </c>
      <c r="X9" s="5">
        <v>5</v>
      </c>
      <c r="Y9" s="5">
        <v>19</v>
      </c>
      <c r="Z9" s="5">
        <v>10</v>
      </c>
      <c r="AA9" s="5">
        <v>10</v>
      </c>
      <c r="AB9" s="5">
        <v>18</v>
      </c>
      <c r="AC9" s="5">
        <v>1</v>
      </c>
      <c r="AD9" s="5">
        <v>1</v>
      </c>
      <c r="AE9" s="5">
        <v>1</v>
      </c>
      <c r="AF9" s="5">
        <v>1</v>
      </c>
      <c r="AG9" s="5">
        <v>15</v>
      </c>
      <c r="AH9" s="5">
        <v>9</v>
      </c>
      <c r="AI9" s="5">
        <v>7</v>
      </c>
      <c r="AJ9" s="5">
        <v>5</v>
      </c>
      <c r="AK9" s="5">
        <v>1</v>
      </c>
      <c r="AL9" s="5">
        <v>1</v>
      </c>
      <c r="AM9" s="5">
        <f>IF(Tabela2[[#This Row],[gols_mandante]]=Tabela2[[#This Row],[gols_visitante]],1,0)</f>
        <v>0</v>
      </c>
      <c r="AN9" s="5">
        <f>IF(Tabela2[[#This Row],[gols_mandante]]&gt;Tabela2[[#This Row],[gols_visitante]],1,0)</f>
        <v>1</v>
      </c>
      <c r="AO9" s="5">
        <f>IF(Tabela2[[#This Row],[gols_mandante]]&lt;Tabela2[[#This Row],[gols_visitante]],1,0)</f>
        <v>0</v>
      </c>
      <c r="AP9" s="5" t="s">
        <v>87</v>
      </c>
      <c r="AQ9" s="5">
        <v>0</v>
      </c>
    </row>
    <row r="10" spans="1:53" x14ac:dyDescent="0.25">
      <c r="A10" s="3">
        <v>2024</v>
      </c>
      <c r="B10" s="2">
        <v>45396</v>
      </c>
      <c r="C10" s="3">
        <v>1</v>
      </c>
      <c r="D10" s="3">
        <v>44597</v>
      </c>
      <c r="E10" s="3">
        <v>49205</v>
      </c>
      <c r="F10" s="3" t="str">
        <f t="shared" si="0"/>
        <v>15.000-19.999</v>
      </c>
      <c r="G10" s="3">
        <f>Tabela2[[#This Row],[publico]]/Tabela2[[#This Row],[publico_max]]</f>
        <v>0.90635098059140329</v>
      </c>
      <c r="H10" s="3" t="s">
        <v>88</v>
      </c>
      <c r="I10" s="3" t="s">
        <v>89</v>
      </c>
      <c r="J10" s="3">
        <v>13</v>
      </c>
      <c r="K10" s="3" t="str">
        <f t="shared" si="1"/>
        <v>11-15 (mediano)</v>
      </c>
      <c r="L10" s="3">
        <v>12</v>
      </c>
      <c r="M10" s="3">
        <f t="shared" si="2"/>
        <v>-1</v>
      </c>
      <c r="N10" s="3">
        <v>4130</v>
      </c>
      <c r="O10" s="3" t="str">
        <f t="shared" si="3"/>
        <v>3.501–7.000 (intermediário)</v>
      </c>
      <c r="P10" s="3">
        <v>5520</v>
      </c>
      <c r="Q10" s="3">
        <v>28</v>
      </c>
      <c r="R10" s="3" t="s">
        <v>92</v>
      </c>
      <c r="S10" s="3">
        <v>0</v>
      </c>
      <c r="T10" s="3">
        <v>0</v>
      </c>
      <c r="U10" s="3">
        <v>0</v>
      </c>
      <c r="V10" s="3">
        <v>0</v>
      </c>
      <c r="W10" s="3">
        <v>3</v>
      </c>
      <c r="X10" s="3">
        <v>3</v>
      </c>
      <c r="Y10" s="3">
        <v>16</v>
      </c>
      <c r="Z10" s="3">
        <v>12</v>
      </c>
      <c r="AA10" s="3">
        <v>12</v>
      </c>
      <c r="AB10" s="3">
        <v>16</v>
      </c>
      <c r="AC10" s="3">
        <v>3</v>
      </c>
      <c r="AD10" s="3">
        <v>1</v>
      </c>
      <c r="AE10" s="3">
        <v>0</v>
      </c>
      <c r="AF10" s="3">
        <v>2</v>
      </c>
      <c r="AG10" s="3">
        <v>13</v>
      </c>
      <c r="AH10" s="3">
        <v>8</v>
      </c>
      <c r="AI10" s="3">
        <v>7</v>
      </c>
      <c r="AJ10" s="3">
        <v>2</v>
      </c>
      <c r="AK10" s="3">
        <v>0</v>
      </c>
      <c r="AL10" s="3">
        <v>0</v>
      </c>
      <c r="AM10" s="3">
        <f>IF(Tabela2[[#This Row],[gols_mandante]]=Tabela2[[#This Row],[gols_visitante]],1,0)</f>
        <v>1</v>
      </c>
      <c r="AN10" s="3">
        <f>IF(Tabela2[[#This Row],[gols_mandante]]&gt;Tabela2[[#This Row],[gols_visitante]],1,0)</f>
        <v>0</v>
      </c>
      <c r="AO10" s="3">
        <f>IF(Tabela2[[#This Row],[gols_mandante]]&lt;Tabela2[[#This Row],[gols_visitante]],1,0)</f>
        <v>0</v>
      </c>
      <c r="AP10" s="3" t="s">
        <v>93</v>
      </c>
      <c r="AQ10" s="3">
        <v>0</v>
      </c>
    </row>
    <row r="11" spans="1:53" x14ac:dyDescent="0.25">
      <c r="A11" s="5">
        <v>2024</v>
      </c>
      <c r="B11" s="4">
        <v>45399</v>
      </c>
      <c r="C11" s="5">
        <v>2</v>
      </c>
      <c r="D11" s="5">
        <v>23080</v>
      </c>
      <c r="E11" s="5">
        <v>47364</v>
      </c>
      <c r="F11" s="5" t="str">
        <f t="shared" si="0"/>
        <v>&gt;=30.000</v>
      </c>
      <c r="G11" s="5">
        <f>Tabela2[[#This Row],[publico]]/Tabela2[[#This Row],[publico_max]]</f>
        <v>0.48728992483742928</v>
      </c>
      <c r="H11" s="5" t="s">
        <v>38</v>
      </c>
      <c r="I11" s="5" t="s">
        <v>55</v>
      </c>
      <c r="J11" s="5">
        <v>9</v>
      </c>
      <c r="K11" s="3" t="str">
        <f t="shared" si="1"/>
        <v>6-10 (intermediário)</v>
      </c>
      <c r="L11" s="5">
        <v>15</v>
      </c>
      <c r="M11" s="3">
        <f t="shared" si="2"/>
        <v>6</v>
      </c>
      <c r="N11" s="5">
        <v>3060</v>
      </c>
      <c r="O11" s="3" t="str">
        <f t="shared" si="3"/>
        <v>1.501–3.500 (mediano)</v>
      </c>
      <c r="P11" s="5">
        <v>5895</v>
      </c>
      <c r="Q11" s="5" t="s">
        <v>100</v>
      </c>
      <c r="R11" s="5" t="s">
        <v>48</v>
      </c>
      <c r="S11" s="5">
        <v>2</v>
      </c>
      <c r="T11" s="5">
        <v>1</v>
      </c>
      <c r="U11" s="5">
        <v>1</v>
      </c>
      <c r="V11" s="5">
        <v>1</v>
      </c>
      <c r="W11" s="5">
        <v>4</v>
      </c>
      <c r="X11" s="5">
        <v>3</v>
      </c>
      <c r="Y11" s="5">
        <v>15</v>
      </c>
      <c r="Z11" s="5">
        <v>23</v>
      </c>
      <c r="AA11" s="5">
        <v>20</v>
      </c>
      <c r="AB11" s="5">
        <v>13</v>
      </c>
      <c r="AC11" s="5">
        <v>2</v>
      </c>
      <c r="AD11" s="5">
        <v>3</v>
      </c>
      <c r="AE11" s="5">
        <v>3</v>
      </c>
      <c r="AF11" s="5">
        <v>2</v>
      </c>
      <c r="AG11" s="5">
        <v>12</v>
      </c>
      <c r="AH11" s="5">
        <v>9</v>
      </c>
      <c r="AI11" s="5">
        <v>5</v>
      </c>
      <c r="AJ11" s="5">
        <v>3</v>
      </c>
      <c r="AK11" s="5">
        <v>1</v>
      </c>
      <c r="AL11" s="5">
        <v>1</v>
      </c>
      <c r="AM11" s="5">
        <f>IF(Tabela2[[#This Row],[gols_mandante]]=Tabela2[[#This Row],[gols_visitante]],1,0)</f>
        <v>0</v>
      </c>
      <c r="AN11" s="5">
        <f>IF(Tabela2[[#This Row],[gols_mandante]]&gt;Tabela2[[#This Row],[gols_visitante]],1,0)</f>
        <v>1</v>
      </c>
      <c r="AO11" s="5">
        <f>IF(Tabela2[[#This Row],[gols_mandante]]&lt;Tabela2[[#This Row],[gols_visitante]],1,0)</f>
        <v>0</v>
      </c>
      <c r="AP11" s="5" t="s">
        <v>101</v>
      </c>
      <c r="AQ11" s="5">
        <v>0</v>
      </c>
    </row>
    <row r="12" spans="1:53" x14ac:dyDescent="0.25">
      <c r="A12" s="3">
        <v>2024</v>
      </c>
      <c r="B12" s="2">
        <v>45400</v>
      </c>
      <c r="C12" s="3">
        <v>2</v>
      </c>
      <c r="D12" s="3">
        <v>24613</v>
      </c>
      <c r="E12" s="3">
        <v>46000</v>
      </c>
      <c r="F12" s="3" t="str">
        <f t="shared" si="0"/>
        <v>20.000-29.999</v>
      </c>
      <c r="G12" s="3">
        <f>Tabela2[[#This Row],[publico]]/Tabela2[[#This Row],[publico_max]]</f>
        <v>0.5350652173913043</v>
      </c>
      <c r="H12" s="3" t="s">
        <v>89</v>
      </c>
      <c r="I12" s="3" t="s">
        <v>43</v>
      </c>
      <c r="J12" s="3">
        <v>14</v>
      </c>
      <c r="K12" s="3" t="str">
        <f t="shared" si="1"/>
        <v>11-15 (mediano)</v>
      </c>
      <c r="L12" s="3">
        <v>13</v>
      </c>
      <c r="M12" s="3">
        <f t="shared" si="2"/>
        <v>-1</v>
      </c>
      <c r="N12" s="3">
        <v>4800</v>
      </c>
      <c r="O12" s="3" t="str">
        <f t="shared" si="3"/>
        <v>3.501–7.000 (intermediário)</v>
      </c>
      <c r="P12" s="3">
        <v>628</v>
      </c>
      <c r="Q12" s="3" t="s">
        <v>86</v>
      </c>
      <c r="R12" s="3" t="s">
        <v>67</v>
      </c>
      <c r="S12" s="3">
        <v>1</v>
      </c>
      <c r="T12" s="3">
        <v>1</v>
      </c>
      <c r="U12" s="3">
        <v>1</v>
      </c>
      <c r="V12" s="3">
        <v>0</v>
      </c>
      <c r="W12" s="3">
        <v>9</v>
      </c>
      <c r="X12" s="3">
        <v>2</v>
      </c>
      <c r="Y12" s="3">
        <v>12</v>
      </c>
      <c r="Z12" s="3">
        <v>10</v>
      </c>
      <c r="AA12" s="3">
        <v>10</v>
      </c>
      <c r="AB12" s="3">
        <v>10</v>
      </c>
      <c r="AC12" s="3">
        <v>0</v>
      </c>
      <c r="AD12" s="3">
        <v>5</v>
      </c>
      <c r="AE12" s="3">
        <v>2</v>
      </c>
      <c r="AF12" s="3">
        <v>0</v>
      </c>
      <c r="AG12" s="3">
        <v>22</v>
      </c>
      <c r="AH12" s="3">
        <v>5</v>
      </c>
      <c r="AI12" s="3">
        <v>8</v>
      </c>
      <c r="AJ12" s="3">
        <v>4</v>
      </c>
      <c r="AK12" s="3">
        <v>0</v>
      </c>
      <c r="AL12" s="3">
        <v>0</v>
      </c>
      <c r="AM12" s="3">
        <f>IF(Tabela2[[#This Row],[gols_mandante]]=Tabela2[[#This Row],[gols_visitante]],1,0)</f>
        <v>1</v>
      </c>
      <c r="AN12" s="3">
        <f>IF(Tabela2[[#This Row],[gols_mandante]]&gt;Tabela2[[#This Row],[gols_visitante]],1,0)</f>
        <v>0</v>
      </c>
      <c r="AO12" s="3">
        <f>IF(Tabela2[[#This Row],[gols_mandante]]&lt;Tabela2[[#This Row],[gols_visitante]],1,0)</f>
        <v>0</v>
      </c>
      <c r="AP12" s="3" t="s">
        <v>102</v>
      </c>
      <c r="AQ12" s="3">
        <v>0</v>
      </c>
    </row>
    <row r="13" spans="1:53" x14ac:dyDescent="0.25">
      <c r="A13" s="5">
        <v>2024</v>
      </c>
      <c r="B13" s="4">
        <v>45400</v>
      </c>
      <c r="C13" s="5">
        <v>2</v>
      </c>
      <c r="D13" s="5">
        <v>13541</v>
      </c>
      <c r="E13" s="5">
        <v>60540</v>
      </c>
      <c r="F13" s="5" t="str">
        <f t="shared" si="0"/>
        <v>20.000-29.999</v>
      </c>
      <c r="G13" s="5">
        <f>Tabela2[[#This Row],[publico]]/Tabela2[[#This Row],[publico_max]]</f>
        <v>0.22367030062768417</v>
      </c>
      <c r="H13" s="5" t="s">
        <v>83</v>
      </c>
      <c r="I13" s="5" t="s">
        <v>69</v>
      </c>
      <c r="J13" s="5">
        <v>8</v>
      </c>
      <c r="K13" s="3" t="str">
        <f t="shared" si="1"/>
        <v>6-10 (intermediário)</v>
      </c>
      <c r="L13" s="5">
        <v>7</v>
      </c>
      <c r="M13" s="3">
        <f t="shared" si="2"/>
        <v>-1</v>
      </c>
      <c r="N13" s="5">
        <v>3760</v>
      </c>
      <c r="O13" s="3" t="str">
        <f t="shared" si="3"/>
        <v>3.501–7.000 (intermediário)</v>
      </c>
      <c r="P13" s="5">
        <v>3195</v>
      </c>
      <c r="Q13" s="5" t="s">
        <v>74</v>
      </c>
      <c r="R13" s="5">
        <v>28</v>
      </c>
      <c r="S13" s="5">
        <v>2</v>
      </c>
      <c r="T13" s="5">
        <v>0</v>
      </c>
      <c r="U13" s="5">
        <v>1</v>
      </c>
      <c r="V13" s="5">
        <v>0</v>
      </c>
      <c r="W13" s="5">
        <v>9</v>
      </c>
      <c r="X13" s="5">
        <v>2</v>
      </c>
      <c r="Y13" s="5">
        <v>7</v>
      </c>
      <c r="Z13" s="5">
        <v>13</v>
      </c>
      <c r="AA13" s="5">
        <v>13</v>
      </c>
      <c r="AB13" s="5">
        <v>7</v>
      </c>
      <c r="AC13" s="5">
        <v>0</v>
      </c>
      <c r="AD13" s="5">
        <v>5</v>
      </c>
      <c r="AE13" s="5">
        <v>0</v>
      </c>
      <c r="AF13" s="5">
        <v>1</v>
      </c>
      <c r="AG13" s="5">
        <v>14</v>
      </c>
      <c r="AH13" s="5">
        <v>4</v>
      </c>
      <c r="AI13" s="5">
        <v>4</v>
      </c>
      <c r="AJ13" s="5">
        <v>3</v>
      </c>
      <c r="AK13" s="5">
        <v>2</v>
      </c>
      <c r="AL13" s="5">
        <v>1</v>
      </c>
      <c r="AM13" s="5">
        <f>IF(Tabela2[[#This Row],[gols_mandante]]=Tabela2[[#This Row],[gols_visitante]],1,0)</f>
        <v>0</v>
      </c>
      <c r="AN13" s="5">
        <f>IF(Tabela2[[#This Row],[gols_mandante]]&gt;Tabela2[[#This Row],[gols_visitante]],1,0)</f>
        <v>1</v>
      </c>
      <c r="AO13" s="5">
        <f>IF(Tabela2[[#This Row],[gols_mandante]]&lt;Tabela2[[#This Row],[gols_visitante]],1,0)</f>
        <v>0</v>
      </c>
      <c r="AP13" s="5" t="s">
        <v>103</v>
      </c>
      <c r="AQ13" s="5">
        <v>0</v>
      </c>
    </row>
    <row r="14" spans="1:53" x14ac:dyDescent="0.25">
      <c r="A14" s="3">
        <v>2024</v>
      </c>
      <c r="B14" s="2">
        <v>45400</v>
      </c>
      <c r="C14" s="3">
        <v>2</v>
      </c>
      <c r="D14" s="3">
        <v>13541</v>
      </c>
      <c r="E14" s="3">
        <v>32713</v>
      </c>
      <c r="F14" s="3" t="str">
        <f t="shared" si="0"/>
        <v>10.000-14.999</v>
      </c>
      <c r="G14" s="3">
        <f>Tabela2[[#This Row],[publico]]/Tabela2[[#This Row],[publico_max]]</f>
        <v>0.41393329868859474</v>
      </c>
      <c r="H14" s="3" t="s">
        <v>95</v>
      </c>
      <c r="I14" s="3" t="s">
        <v>37</v>
      </c>
      <c r="J14" s="3">
        <v>12</v>
      </c>
      <c r="K14" s="3" t="str">
        <f t="shared" si="1"/>
        <v>11-15 (mediano)</v>
      </c>
      <c r="L14" s="3">
        <v>2</v>
      </c>
      <c r="M14" s="3">
        <f t="shared" si="2"/>
        <v>-10</v>
      </c>
      <c r="N14" s="3">
        <v>13100</v>
      </c>
      <c r="O14" s="3" t="str">
        <f t="shared" si="3"/>
        <v>7.001+ (elite)</v>
      </c>
      <c r="P14" s="3">
        <v>5825</v>
      </c>
      <c r="Q14" s="3" t="s">
        <v>104</v>
      </c>
      <c r="R14" s="3" t="s">
        <v>105</v>
      </c>
      <c r="S14" s="3">
        <v>0</v>
      </c>
      <c r="T14" s="3">
        <v>1</v>
      </c>
      <c r="U14" s="3">
        <v>0</v>
      </c>
      <c r="V14" s="3">
        <v>1</v>
      </c>
      <c r="W14" s="3">
        <v>6</v>
      </c>
      <c r="X14" s="3">
        <v>2</v>
      </c>
      <c r="Y14" s="3">
        <v>14</v>
      </c>
      <c r="Z14" s="3">
        <v>21</v>
      </c>
      <c r="AA14" s="3">
        <v>21</v>
      </c>
      <c r="AB14" s="3">
        <v>11</v>
      </c>
      <c r="AC14" s="3">
        <v>1</v>
      </c>
      <c r="AD14" s="3">
        <v>3</v>
      </c>
      <c r="AE14" s="3">
        <v>4</v>
      </c>
      <c r="AF14" s="3">
        <v>1</v>
      </c>
      <c r="AG14" s="3">
        <v>18</v>
      </c>
      <c r="AH14" s="3">
        <v>5</v>
      </c>
      <c r="AI14" s="3">
        <v>11</v>
      </c>
      <c r="AJ14" s="3">
        <v>3</v>
      </c>
      <c r="AK14" s="3">
        <v>-1</v>
      </c>
      <c r="AL14" s="3">
        <v>0</v>
      </c>
      <c r="AM14" s="3">
        <f>IF(Tabela2[[#This Row],[gols_mandante]]=Tabela2[[#This Row],[gols_visitante]],1,0)</f>
        <v>0</v>
      </c>
      <c r="AN14" s="3">
        <f>IF(Tabela2[[#This Row],[gols_mandante]]&gt;Tabela2[[#This Row],[gols_visitante]],1,0)</f>
        <v>0</v>
      </c>
      <c r="AO14" s="3">
        <f>IF(Tabela2[[#This Row],[gols_mandante]]&lt;Tabela2[[#This Row],[gols_visitante]],1,0)</f>
        <v>1</v>
      </c>
      <c r="AP14" s="3" t="s">
        <v>106</v>
      </c>
      <c r="AQ14" s="3">
        <v>0</v>
      </c>
    </row>
    <row r="15" spans="1:53" x14ac:dyDescent="0.25">
      <c r="A15" s="5">
        <v>2024</v>
      </c>
      <c r="B15" s="4">
        <v>45400</v>
      </c>
      <c r="C15" s="5">
        <v>2</v>
      </c>
      <c r="D15" s="5">
        <v>48103</v>
      </c>
      <c r="E15" s="5">
        <v>78838</v>
      </c>
      <c r="F15" s="5" t="str">
        <f t="shared" si="0"/>
        <v>10.000-14.999</v>
      </c>
      <c r="G15" s="5">
        <f>Tabela2[[#This Row],[publico]]/Tabela2[[#This Row],[publico_max]]</f>
        <v>0.61014992769984022</v>
      </c>
      <c r="H15" s="5" t="s">
        <v>77</v>
      </c>
      <c r="I15" s="5" t="s">
        <v>62</v>
      </c>
      <c r="J15" s="5">
        <v>1</v>
      </c>
      <c r="K15" s="3" t="str">
        <f t="shared" si="1"/>
        <v>1-5 (elite)</v>
      </c>
      <c r="L15" s="5">
        <v>19</v>
      </c>
      <c r="M15" s="3">
        <f t="shared" si="2"/>
        <v>18</v>
      </c>
      <c r="N15" s="5">
        <v>8470</v>
      </c>
      <c r="O15" s="3" t="str">
        <f t="shared" si="3"/>
        <v>7.001+ (elite)</v>
      </c>
      <c r="P15" s="5">
        <v>3710</v>
      </c>
      <c r="Q15" s="5" t="s">
        <v>100</v>
      </c>
      <c r="R15" s="5" t="s">
        <v>107</v>
      </c>
      <c r="S15" s="5">
        <v>2</v>
      </c>
      <c r="T15" s="5">
        <v>1</v>
      </c>
      <c r="U15" s="5">
        <v>1</v>
      </c>
      <c r="V15" s="5">
        <v>0</v>
      </c>
      <c r="W15" s="5">
        <v>9</v>
      </c>
      <c r="X15" s="5">
        <v>1</v>
      </c>
      <c r="Y15" s="5">
        <v>19</v>
      </c>
      <c r="Z15" s="5">
        <v>19</v>
      </c>
      <c r="AA15" s="5">
        <v>18</v>
      </c>
      <c r="AB15" s="5">
        <v>17</v>
      </c>
      <c r="AC15" s="5">
        <v>2</v>
      </c>
      <c r="AD15" s="5">
        <v>4</v>
      </c>
      <c r="AE15" s="5">
        <v>1</v>
      </c>
      <c r="AF15" s="5">
        <v>2</v>
      </c>
      <c r="AG15" s="5">
        <v>12</v>
      </c>
      <c r="AH15" s="5">
        <v>10</v>
      </c>
      <c r="AI15" s="5">
        <v>4</v>
      </c>
      <c r="AJ15" s="5">
        <v>3</v>
      </c>
      <c r="AK15" s="5">
        <v>1</v>
      </c>
      <c r="AL15" s="5">
        <v>1</v>
      </c>
      <c r="AM15" s="5">
        <f>IF(Tabela2[[#This Row],[gols_mandante]]=Tabela2[[#This Row],[gols_visitante]],1,0)</f>
        <v>0</v>
      </c>
      <c r="AN15" s="5">
        <f>IF(Tabela2[[#This Row],[gols_mandante]]&gt;Tabela2[[#This Row],[gols_visitante]],1,0)</f>
        <v>1</v>
      </c>
      <c r="AO15" s="5">
        <f>IF(Tabela2[[#This Row],[gols_mandante]]&lt;Tabela2[[#This Row],[gols_visitante]],1,0)</f>
        <v>0</v>
      </c>
      <c r="AP15" s="5" t="s">
        <v>108</v>
      </c>
      <c r="AQ15" s="5">
        <v>0</v>
      </c>
    </row>
    <row r="16" spans="1:53" x14ac:dyDescent="0.25">
      <c r="A16" s="3">
        <v>2024</v>
      </c>
      <c r="B16" s="2">
        <v>45400</v>
      </c>
      <c r="C16" s="3">
        <v>2</v>
      </c>
      <c r="D16" s="3">
        <v>22131</v>
      </c>
      <c r="E16" s="3">
        <v>60326</v>
      </c>
      <c r="F16" s="3" t="str">
        <f t="shared" si="0"/>
        <v>&gt;=30.000</v>
      </c>
      <c r="G16" s="3">
        <f>Tabela2[[#This Row],[publico]]/Tabela2[[#This Row],[publico_max]]</f>
        <v>0.36685674501873156</v>
      </c>
      <c r="H16" s="3" t="s">
        <v>63</v>
      </c>
      <c r="I16" s="3" t="s">
        <v>50</v>
      </c>
      <c r="J16" s="3">
        <v>6</v>
      </c>
      <c r="K16" s="3" t="str">
        <f t="shared" si="1"/>
        <v>6-10 (intermediário)</v>
      </c>
      <c r="L16" s="3">
        <v>5</v>
      </c>
      <c r="M16" s="3">
        <f t="shared" si="2"/>
        <v>-1</v>
      </c>
      <c r="N16" s="3">
        <v>1515</v>
      </c>
      <c r="O16" s="3" t="str">
        <f t="shared" si="3"/>
        <v>1.501–3.500 (mediano)</v>
      </c>
      <c r="P16" s="3">
        <v>2225</v>
      </c>
      <c r="Q16" s="3" t="s">
        <v>109</v>
      </c>
      <c r="R16" s="3" t="s">
        <v>100</v>
      </c>
      <c r="S16" s="3">
        <v>1</v>
      </c>
      <c r="T16" s="3">
        <v>1</v>
      </c>
      <c r="U16" s="3">
        <v>1</v>
      </c>
      <c r="V16" s="3">
        <v>0</v>
      </c>
      <c r="W16" s="3">
        <v>7</v>
      </c>
      <c r="X16" s="3">
        <v>5</v>
      </c>
      <c r="Y16" s="3">
        <v>13</v>
      </c>
      <c r="Z16" s="3">
        <v>10</v>
      </c>
      <c r="AA16" s="3">
        <v>9</v>
      </c>
      <c r="AB16" s="3">
        <v>13</v>
      </c>
      <c r="AC16" s="3">
        <v>4</v>
      </c>
      <c r="AD16" s="3">
        <v>2</v>
      </c>
      <c r="AE16" s="3">
        <v>0</v>
      </c>
      <c r="AF16" s="3">
        <v>2</v>
      </c>
      <c r="AG16" s="3">
        <v>14</v>
      </c>
      <c r="AH16" s="3">
        <v>14</v>
      </c>
      <c r="AI16" s="3">
        <v>6</v>
      </c>
      <c r="AJ16" s="3">
        <v>6</v>
      </c>
      <c r="AK16" s="3">
        <v>0</v>
      </c>
      <c r="AL16" s="3">
        <v>0</v>
      </c>
      <c r="AM16" s="3">
        <f>IF(Tabela2[[#This Row],[gols_mandante]]=Tabela2[[#This Row],[gols_visitante]],1,0)</f>
        <v>1</v>
      </c>
      <c r="AN16" s="3">
        <f>IF(Tabela2[[#This Row],[gols_mandante]]&gt;Tabela2[[#This Row],[gols_visitante]],1,0)</f>
        <v>0</v>
      </c>
      <c r="AO16" s="3">
        <f>IF(Tabela2[[#This Row],[gols_mandante]]&lt;Tabela2[[#This Row],[gols_visitante]],1,0)</f>
        <v>0</v>
      </c>
      <c r="AP16" s="3" t="s">
        <v>110</v>
      </c>
      <c r="AQ16" s="3">
        <v>0</v>
      </c>
    </row>
    <row r="17" spans="1:43" x14ac:dyDescent="0.25">
      <c r="A17" s="5">
        <v>2024</v>
      </c>
      <c r="B17" s="4">
        <v>45400</v>
      </c>
      <c r="C17" s="5">
        <v>2</v>
      </c>
      <c r="D17" s="5">
        <v>7478</v>
      </c>
      <c r="E17" s="5">
        <v>23726</v>
      </c>
      <c r="F17" s="5" t="str">
        <f t="shared" si="0"/>
        <v>20.000-29.999</v>
      </c>
      <c r="G17" s="5">
        <f>Tabela2[[#This Row],[publico]]/Tabela2[[#This Row],[publico_max]]</f>
        <v>0.31518165725364578</v>
      </c>
      <c r="H17" s="5" t="s">
        <v>44</v>
      </c>
      <c r="I17" s="5" t="s">
        <v>88</v>
      </c>
      <c r="J17" s="5">
        <v>3</v>
      </c>
      <c r="K17" s="3" t="str">
        <f t="shared" si="1"/>
        <v>1-5 (elite)</v>
      </c>
      <c r="L17" s="5">
        <v>17</v>
      </c>
      <c r="M17" s="3">
        <f t="shared" si="2"/>
        <v>14</v>
      </c>
      <c r="N17" s="5">
        <v>855</v>
      </c>
      <c r="O17" s="3" t="str">
        <f t="shared" si="3"/>
        <v>1–1.500 (rebaixamento)</v>
      </c>
      <c r="P17" s="5">
        <v>4080</v>
      </c>
      <c r="Q17" s="5" t="s">
        <v>111</v>
      </c>
      <c r="R17" s="5" t="s">
        <v>100</v>
      </c>
      <c r="S17" s="5">
        <v>2</v>
      </c>
      <c r="T17" s="5">
        <v>0</v>
      </c>
      <c r="U17" s="5">
        <v>0</v>
      </c>
      <c r="V17" s="5">
        <v>0</v>
      </c>
      <c r="W17" s="5">
        <v>6</v>
      </c>
      <c r="X17" s="5">
        <v>7</v>
      </c>
      <c r="Y17" s="5">
        <v>16</v>
      </c>
      <c r="Z17" s="5">
        <v>10</v>
      </c>
      <c r="AA17" s="5">
        <v>10</v>
      </c>
      <c r="AB17" s="5">
        <v>15</v>
      </c>
      <c r="AC17" s="5">
        <v>2</v>
      </c>
      <c r="AD17" s="5">
        <v>6</v>
      </c>
      <c r="AE17" s="5">
        <v>1</v>
      </c>
      <c r="AF17" s="5">
        <v>2</v>
      </c>
      <c r="AG17" s="5">
        <v>16</v>
      </c>
      <c r="AH17" s="5">
        <v>17</v>
      </c>
      <c r="AI17" s="5">
        <v>4</v>
      </c>
      <c r="AJ17" s="5">
        <v>11</v>
      </c>
      <c r="AK17" s="5">
        <v>2</v>
      </c>
      <c r="AL17" s="5">
        <v>1</v>
      </c>
      <c r="AM17" s="5">
        <f>IF(Tabela2[[#This Row],[gols_mandante]]=Tabela2[[#This Row],[gols_visitante]],1,0)</f>
        <v>0</v>
      </c>
      <c r="AN17" s="5">
        <f>IF(Tabela2[[#This Row],[gols_mandante]]&gt;Tabela2[[#This Row],[gols_visitante]],1,0)</f>
        <v>1</v>
      </c>
      <c r="AO17" s="5">
        <f>IF(Tabela2[[#This Row],[gols_mandante]]&lt;Tabela2[[#This Row],[gols_visitante]],1,0)</f>
        <v>0</v>
      </c>
      <c r="AP17" s="5" t="s">
        <v>112</v>
      </c>
      <c r="AQ17" s="5">
        <v>1</v>
      </c>
    </row>
    <row r="18" spans="1:43" x14ac:dyDescent="0.25">
      <c r="A18" s="3">
        <v>2024</v>
      </c>
      <c r="B18" s="2">
        <v>45400</v>
      </c>
      <c r="C18" s="3">
        <v>2</v>
      </c>
      <c r="D18" s="3">
        <v>5532</v>
      </c>
      <c r="E18" s="3">
        <v>15010</v>
      </c>
      <c r="F18" s="3" t="str">
        <f t="shared" si="0"/>
        <v>5.000-9.999</v>
      </c>
      <c r="G18" s="3">
        <f>Tabela2[[#This Row],[publico]]/Tabela2[[#This Row],[publico_max]]</f>
        <v>0.36855429713524318</v>
      </c>
      <c r="H18" s="3" t="s">
        <v>56</v>
      </c>
      <c r="I18" s="3" t="s">
        <v>82</v>
      </c>
      <c r="J18" s="3">
        <v>4</v>
      </c>
      <c r="K18" s="3" t="str">
        <f t="shared" si="1"/>
        <v>1-5 (elite)</v>
      </c>
      <c r="L18" s="3">
        <v>11</v>
      </c>
      <c r="M18" s="3">
        <f t="shared" si="2"/>
        <v>7</v>
      </c>
      <c r="N18" s="3">
        <v>2260</v>
      </c>
      <c r="O18" s="3" t="str">
        <f t="shared" si="3"/>
        <v>1.501–3.500 (mediano)</v>
      </c>
      <c r="P18" s="3">
        <v>2995</v>
      </c>
      <c r="Q18" s="3" t="s">
        <v>113</v>
      </c>
      <c r="R18" s="3" t="s">
        <v>114</v>
      </c>
      <c r="S18" s="3">
        <v>2</v>
      </c>
      <c r="T18" s="3">
        <v>1</v>
      </c>
      <c r="U18" s="3">
        <v>1</v>
      </c>
      <c r="V18" s="3">
        <v>0</v>
      </c>
      <c r="W18" s="3">
        <v>4</v>
      </c>
      <c r="X18" s="3">
        <v>6</v>
      </c>
      <c r="Y18" s="3">
        <v>14</v>
      </c>
      <c r="Z18" s="3">
        <v>15</v>
      </c>
      <c r="AA18" s="3">
        <v>14</v>
      </c>
      <c r="AB18" s="3">
        <v>12</v>
      </c>
      <c r="AC18" s="3">
        <v>2</v>
      </c>
      <c r="AD18" s="3">
        <v>3</v>
      </c>
      <c r="AE18" s="3">
        <v>0</v>
      </c>
      <c r="AF18" s="3">
        <v>3</v>
      </c>
      <c r="AG18" s="3">
        <v>17</v>
      </c>
      <c r="AH18" s="3">
        <v>13</v>
      </c>
      <c r="AI18" s="3">
        <v>9</v>
      </c>
      <c r="AJ18" s="3">
        <v>8</v>
      </c>
      <c r="AK18" s="3">
        <v>1</v>
      </c>
      <c r="AL18" s="3">
        <v>1</v>
      </c>
      <c r="AM18" s="3">
        <f>IF(Tabela2[[#This Row],[gols_mandante]]=Tabela2[[#This Row],[gols_visitante]],1,0)</f>
        <v>0</v>
      </c>
      <c r="AN18" s="3">
        <f>IF(Tabela2[[#This Row],[gols_mandante]]&gt;Tabela2[[#This Row],[gols_visitante]],1,0)</f>
        <v>1</v>
      </c>
      <c r="AO18" s="3">
        <f>IF(Tabela2[[#This Row],[gols_mandante]]&lt;Tabela2[[#This Row],[gols_visitante]],1,0)</f>
        <v>0</v>
      </c>
      <c r="AP18" s="3" t="s">
        <v>115</v>
      </c>
      <c r="AQ18" s="3">
        <v>0</v>
      </c>
    </row>
    <row r="19" spans="1:43" x14ac:dyDescent="0.25">
      <c r="A19" s="5">
        <v>2024</v>
      </c>
      <c r="B19" s="4">
        <v>45401</v>
      </c>
      <c r="C19" s="5">
        <v>2</v>
      </c>
      <c r="D19" s="5">
        <v>8508</v>
      </c>
      <c r="E19" s="5">
        <v>46931</v>
      </c>
      <c r="F19" s="5" t="str">
        <f t="shared" si="0"/>
        <v>5.000-9.999</v>
      </c>
      <c r="G19" s="5">
        <f>Tabela2[[#This Row],[publico]]/Tabela2[[#This Row],[publico_max]]</f>
        <v>0.18128742195989858</v>
      </c>
      <c r="H19" s="5" t="s">
        <v>51</v>
      </c>
      <c r="I19" s="5" t="s">
        <v>76</v>
      </c>
      <c r="J19" s="5">
        <v>10</v>
      </c>
      <c r="K19" s="3" t="str">
        <f t="shared" si="1"/>
        <v>6-10 (intermediário)</v>
      </c>
      <c r="L19" s="5">
        <v>20</v>
      </c>
      <c r="M19" s="3">
        <f t="shared" si="2"/>
        <v>10</v>
      </c>
      <c r="N19" s="5">
        <v>3900</v>
      </c>
      <c r="O19" s="3" t="str">
        <f t="shared" si="3"/>
        <v>3.501–7.000 (intermediário)</v>
      </c>
      <c r="P19" s="5">
        <v>930</v>
      </c>
      <c r="Q19" s="5" t="s">
        <v>116</v>
      </c>
      <c r="R19" s="5" t="s">
        <v>117</v>
      </c>
      <c r="S19" s="5">
        <v>1</v>
      </c>
      <c r="T19" s="5">
        <v>0</v>
      </c>
      <c r="U19" s="5">
        <v>1</v>
      </c>
      <c r="V19" s="5">
        <v>0</v>
      </c>
      <c r="W19" s="5">
        <v>8</v>
      </c>
      <c r="X19" s="5">
        <v>8</v>
      </c>
      <c r="Y19" s="5">
        <v>13</v>
      </c>
      <c r="Z19" s="5">
        <v>11</v>
      </c>
      <c r="AA19" s="5">
        <v>11</v>
      </c>
      <c r="AB19" s="5">
        <v>13</v>
      </c>
      <c r="AC19" s="5">
        <v>3</v>
      </c>
      <c r="AD19" s="5">
        <v>3</v>
      </c>
      <c r="AE19" s="5">
        <v>1</v>
      </c>
      <c r="AF19" s="5">
        <v>2</v>
      </c>
      <c r="AG19" s="5">
        <v>13</v>
      </c>
      <c r="AH19" s="5">
        <v>12</v>
      </c>
      <c r="AI19" s="5">
        <v>6</v>
      </c>
      <c r="AJ19" s="5">
        <v>4</v>
      </c>
      <c r="AK19" s="5">
        <v>1</v>
      </c>
      <c r="AL19" s="5">
        <v>1</v>
      </c>
      <c r="AM19" s="5">
        <f>IF(Tabela2[[#This Row],[gols_mandante]]=Tabela2[[#This Row],[gols_visitante]],1,0)</f>
        <v>0</v>
      </c>
      <c r="AN19" s="5">
        <f>IF(Tabela2[[#This Row],[gols_mandante]]&gt;Tabela2[[#This Row],[gols_visitante]],1,0)</f>
        <v>1</v>
      </c>
      <c r="AO19" s="5">
        <f>IF(Tabela2[[#This Row],[gols_mandante]]&lt;Tabela2[[#This Row],[gols_visitante]],1,0)</f>
        <v>0</v>
      </c>
      <c r="AP19" s="5" t="s">
        <v>118</v>
      </c>
      <c r="AQ19" s="5">
        <v>0</v>
      </c>
    </row>
    <row r="20" spans="1:43" x14ac:dyDescent="0.25">
      <c r="A20" s="3">
        <v>2024</v>
      </c>
      <c r="B20" s="2">
        <v>45449</v>
      </c>
      <c r="C20" s="3">
        <v>2</v>
      </c>
      <c r="D20" s="3">
        <v>3614</v>
      </c>
      <c r="E20" s="3">
        <v>42968</v>
      </c>
      <c r="F20" s="3" t="str">
        <f t="shared" si="0"/>
        <v>5.000-9.999</v>
      </c>
      <c r="G20" s="3">
        <f>Tabela2[[#This Row],[publico]]/Tabela2[[#This Row],[publico_max]]</f>
        <v>8.4109104449823127E-2</v>
      </c>
      <c r="H20" s="3" t="s">
        <v>70</v>
      </c>
      <c r="I20" s="3" t="s">
        <v>94</v>
      </c>
      <c r="J20" s="3">
        <v>18</v>
      </c>
      <c r="K20" s="3" t="str">
        <f t="shared" si="1"/>
        <v>16-20 (rebaixamento)</v>
      </c>
      <c r="L20" s="3">
        <v>16</v>
      </c>
      <c r="M20" s="3">
        <f t="shared" si="2"/>
        <v>-2</v>
      </c>
      <c r="N20" s="3">
        <v>1200</v>
      </c>
      <c r="O20" s="3" t="str">
        <f t="shared" si="3"/>
        <v>1–1.500 (rebaixamento)</v>
      </c>
      <c r="P20" s="3">
        <v>1433</v>
      </c>
      <c r="Q20" s="3" t="s">
        <v>120</v>
      </c>
      <c r="R20" s="3" t="s">
        <v>120</v>
      </c>
      <c r="S20" s="3">
        <v>0</v>
      </c>
      <c r="T20" s="3">
        <v>0</v>
      </c>
      <c r="U20" s="3">
        <v>0</v>
      </c>
      <c r="V20" s="3">
        <v>0</v>
      </c>
      <c r="W20" s="3">
        <v>4</v>
      </c>
      <c r="X20" s="3">
        <v>3</v>
      </c>
      <c r="Y20" s="3">
        <v>19</v>
      </c>
      <c r="Z20" s="3">
        <v>14</v>
      </c>
      <c r="AA20" s="3">
        <v>13</v>
      </c>
      <c r="AB20" s="3">
        <v>17</v>
      </c>
      <c r="AC20" s="3">
        <v>4</v>
      </c>
      <c r="AD20" s="3">
        <v>0</v>
      </c>
      <c r="AE20" s="3">
        <v>1</v>
      </c>
      <c r="AF20" s="3">
        <v>1</v>
      </c>
      <c r="AG20" s="3">
        <v>11</v>
      </c>
      <c r="AH20" s="3">
        <v>13</v>
      </c>
      <c r="AI20" s="3">
        <v>7</v>
      </c>
      <c r="AJ20" s="3">
        <v>7</v>
      </c>
      <c r="AK20" s="3">
        <v>0</v>
      </c>
      <c r="AL20" s="3">
        <v>0</v>
      </c>
      <c r="AM20" s="3">
        <f>IF(Tabela2[[#This Row],[gols_mandante]]=Tabela2[[#This Row],[gols_visitante]],1,0)</f>
        <v>1</v>
      </c>
      <c r="AN20" s="3">
        <f>IF(Tabela2[[#This Row],[gols_mandante]]&gt;Tabela2[[#This Row],[gols_visitante]],1,0)</f>
        <v>0</v>
      </c>
      <c r="AO20" s="3">
        <f>IF(Tabela2[[#This Row],[gols_mandante]]&lt;Tabela2[[#This Row],[gols_visitante]],1,0)</f>
        <v>0</v>
      </c>
      <c r="AP20" s="3" t="s">
        <v>121</v>
      </c>
      <c r="AQ20" s="3">
        <v>0</v>
      </c>
    </row>
    <row r="21" spans="1:43" x14ac:dyDescent="0.25">
      <c r="A21" s="5">
        <v>2024</v>
      </c>
      <c r="B21" s="4">
        <v>45402</v>
      </c>
      <c r="C21" s="5">
        <v>3</v>
      </c>
      <c r="D21" s="5">
        <v>22904</v>
      </c>
      <c r="E21" s="5">
        <v>60540</v>
      </c>
      <c r="F21" s="5" t="str">
        <f t="shared" si="0"/>
        <v>0-4.999</v>
      </c>
      <c r="G21" s="5">
        <f>Tabela2[[#This Row],[publico]]/Tabela2[[#This Row],[publico_max]]</f>
        <v>0.37832837793194585</v>
      </c>
      <c r="H21" s="5" t="s">
        <v>83</v>
      </c>
      <c r="I21" s="5" t="s">
        <v>70</v>
      </c>
      <c r="J21" s="5">
        <v>5</v>
      </c>
      <c r="K21" s="3" t="str">
        <f t="shared" si="1"/>
        <v>1-5 (elite)</v>
      </c>
      <c r="L21" s="5">
        <v>19</v>
      </c>
      <c r="M21" s="3">
        <f t="shared" si="2"/>
        <v>14</v>
      </c>
      <c r="N21" s="5">
        <v>4060</v>
      </c>
      <c r="O21" s="3" t="str">
        <f t="shared" si="3"/>
        <v>3.501–7.000 (intermediário)</v>
      </c>
      <c r="P21" s="5">
        <v>1360</v>
      </c>
      <c r="Q21" s="5" t="s">
        <v>122</v>
      </c>
      <c r="R21" s="5" t="s">
        <v>123</v>
      </c>
      <c r="S21" s="5">
        <v>1</v>
      </c>
      <c r="T21" s="5">
        <v>0</v>
      </c>
      <c r="U21" s="5">
        <v>1</v>
      </c>
      <c r="V21" s="5">
        <v>0</v>
      </c>
      <c r="W21" s="5">
        <v>3</v>
      </c>
      <c r="X21" s="5">
        <v>4</v>
      </c>
      <c r="Y21" s="5">
        <v>10</v>
      </c>
      <c r="Z21" s="5">
        <v>5</v>
      </c>
      <c r="AA21" s="5">
        <v>5</v>
      </c>
      <c r="AB21" s="5">
        <v>10</v>
      </c>
      <c r="AC21" s="5">
        <v>3</v>
      </c>
      <c r="AD21" s="5">
        <v>3</v>
      </c>
      <c r="AE21" s="5">
        <v>0</v>
      </c>
      <c r="AF21" s="5">
        <v>0</v>
      </c>
      <c r="AG21" s="5">
        <v>7</v>
      </c>
      <c r="AH21" s="5">
        <v>14</v>
      </c>
      <c r="AI21" s="5">
        <v>3</v>
      </c>
      <c r="AJ21" s="5">
        <v>8</v>
      </c>
      <c r="AK21" s="5">
        <v>1</v>
      </c>
      <c r="AL21" s="5">
        <v>1</v>
      </c>
      <c r="AM21" s="5">
        <f>IF(Tabela2[[#This Row],[gols_mandante]]=Tabela2[[#This Row],[gols_visitante]],1,0)</f>
        <v>0</v>
      </c>
      <c r="AN21" s="5">
        <f>IF(Tabela2[[#This Row],[gols_mandante]]&gt;Tabela2[[#This Row],[gols_visitante]],1,0)</f>
        <v>1</v>
      </c>
      <c r="AO21" s="5">
        <f>IF(Tabela2[[#This Row],[gols_mandante]]&lt;Tabela2[[#This Row],[gols_visitante]],1,0)</f>
        <v>0</v>
      </c>
      <c r="AP21" s="5" t="s">
        <v>124</v>
      </c>
      <c r="AQ21" s="5">
        <v>0</v>
      </c>
    </row>
    <row r="22" spans="1:43" x14ac:dyDescent="0.25">
      <c r="A22" s="3">
        <v>2024</v>
      </c>
      <c r="B22" s="2">
        <v>45402</v>
      </c>
      <c r="C22" s="3">
        <v>3</v>
      </c>
      <c r="D22" s="3">
        <v>25842</v>
      </c>
      <c r="E22" s="3">
        <v>82238</v>
      </c>
      <c r="F22" s="3" t="str">
        <f t="shared" si="0"/>
        <v>20.000-29.999</v>
      </c>
      <c r="G22" s="3">
        <f>Tabela2[[#This Row],[publico]]/Tabela2[[#This Row],[publico_max]]</f>
        <v>0.31423429558111821</v>
      </c>
      <c r="H22" s="3" t="s">
        <v>55</v>
      </c>
      <c r="I22" s="3" t="s">
        <v>82</v>
      </c>
      <c r="J22" s="3">
        <v>10</v>
      </c>
      <c r="K22" s="3" t="str">
        <f t="shared" si="1"/>
        <v>6-10 (intermediário)</v>
      </c>
      <c r="L22" s="3">
        <v>15</v>
      </c>
      <c r="M22" s="3">
        <f t="shared" si="2"/>
        <v>5</v>
      </c>
      <c r="N22" s="3">
        <v>5685</v>
      </c>
      <c r="O22" s="3" t="str">
        <f t="shared" si="3"/>
        <v>3.501–7.000 (intermediário)</v>
      </c>
      <c r="P22" s="3">
        <v>2525</v>
      </c>
      <c r="Q22" s="3">
        <v>32</v>
      </c>
      <c r="R22" s="3" t="s">
        <v>66</v>
      </c>
      <c r="S22" s="3">
        <v>2</v>
      </c>
      <c r="T22" s="3">
        <v>1</v>
      </c>
      <c r="U22" s="3">
        <v>1</v>
      </c>
      <c r="V22" s="3">
        <v>0</v>
      </c>
      <c r="W22" s="3">
        <v>2</v>
      </c>
      <c r="X22" s="3">
        <v>7</v>
      </c>
      <c r="Y22" s="3">
        <v>16</v>
      </c>
      <c r="Z22" s="3">
        <v>17</v>
      </c>
      <c r="AA22" s="3">
        <v>17</v>
      </c>
      <c r="AB22" s="3">
        <v>15</v>
      </c>
      <c r="AC22" s="3">
        <v>4</v>
      </c>
      <c r="AD22" s="3">
        <v>6</v>
      </c>
      <c r="AE22" s="3">
        <v>1</v>
      </c>
      <c r="AF22" s="3">
        <v>4</v>
      </c>
      <c r="AG22" s="3">
        <v>11</v>
      </c>
      <c r="AH22" s="3">
        <v>21</v>
      </c>
      <c r="AI22" s="3">
        <v>2</v>
      </c>
      <c r="AJ22" s="3">
        <v>8</v>
      </c>
      <c r="AK22" s="3">
        <v>1</v>
      </c>
      <c r="AL22" s="3">
        <v>1</v>
      </c>
      <c r="AM22" s="3">
        <f>IF(Tabela2[[#This Row],[gols_mandante]]=Tabela2[[#This Row],[gols_visitante]],1,0)</f>
        <v>0</v>
      </c>
      <c r="AN22" s="3">
        <f>IF(Tabela2[[#This Row],[gols_mandante]]&gt;Tabela2[[#This Row],[gols_visitante]],1,0)</f>
        <v>1</v>
      </c>
      <c r="AO22" s="3">
        <f>IF(Tabela2[[#This Row],[gols_mandante]]&lt;Tabela2[[#This Row],[gols_visitante]],1,0)</f>
        <v>0</v>
      </c>
      <c r="AP22" s="3" t="s">
        <v>125</v>
      </c>
      <c r="AQ22" s="3">
        <v>0</v>
      </c>
    </row>
    <row r="23" spans="1:43" x14ac:dyDescent="0.25">
      <c r="A23" s="5">
        <v>2024</v>
      </c>
      <c r="B23" s="4">
        <v>45402</v>
      </c>
      <c r="C23" s="5">
        <v>3</v>
      </c>
      <c r="D23" s="5">
        <v>9613</v>
      </c>
      <c r="E23" s="5">
        <v>15010</v>
      </c>
      <c r="F23" s="5" t="str">
        <f t="shared" si="0"/>
        <v>20.000-29.999</v>
      </c>
      <c r="G23" s="5">
        <f>Tabela2[[#This Row],[publico]]/Tabela2[[#This Row],[publico_max]]</f>
        <v>0.64043970686209195</v>
      </c>
      <c r="H23" s="5" t="s">
        <v>56</v>
      </c>
      <c r="I23" s="5" t="s">
        <v>88</v>
      </c>
      <c r="J23" s="5">
        <v>1</v>
      </c>
      <c r="K23" s="3" t="str">
        <f t="shared" si="1"/>
        <v>1-5 (elite)</v>
      </c>
      <c r="L23" s="5">
        <v>18</v>
      </c>
      <c r="M23" s="3">
        <f t="shared" si="2"/>
        <v>17</v>
      </c>
      <c r="N23" s="5">
        <v>3610</v>
      </c>
      <c r="O23" s="3" t="str">
        <f t="shared" si="3"/>
        <v>3.501–7.000 (intermediário)</v>
      </c>
      <c r="P23" s="5">
        <v>4150</v>
      </c>
      <c r="Q23" s="5">
        <v>24</v>
      </c>
      <c r="R23" s="5" t="s">
        <v>107</v>
      </c>
      <c r="S23" s="5">
        <v>1</v>
      </c>
      <c r="T23" s="5">
        <v>0</v>
      </c>
      <c r="U23" s="5">
        <v>1</v>
      </c>
      <c r="V23" s="5">
        <v>0</v>
      </c>
      <c r="W23" s="5">
        <v>3</v>
      </c>
      <c r="X23" s="5">
        <v>4</v>
      </c>
      <c r="Y23" s="5">
        <v>21</v>
      </c>
      <c r="Z23" s="5">
        <v>10</v>
      </c>
      <c r="AA23" s="5">
        <v>10</v>
      </c>
      <c r="AB23" s="5">
        <v>20</v>
      </c>
      <c r="AC23" s="5">
        <v>4</v>
      </c>
      <c r="AD23" s="5">
        <v>2</v>
      </c>
      <c r="AE23" s="5">
        <v>0</v>
      </c>
      <c r="AF23" s="5">
        <v>4</v>
      </c>
      <c r="AG23" s="5">
        <v>10</v>
      </c>
      <c r="AH23" s="5">
        <v>15</v>
      </c>
      <c r="AI23" s="5">
        <v>5</v>
      </c>
      <c r="AJ23" s="5">
        <v>8</v>
      </c>
      <c r="AK23" s="5">
        <v>1</v>
      </c>
      <c r="AL23" s="5">
        <v>1</v>
      </c>
      <c r="AM23" s="5">
        <f>IF(Tabela2[[#This Row],[gols_mandante]]=Tabela2[[#This Row],[gols_visitante]],1,0)</f>
        <v>0</v>
      </c>
      <c r="AN23" s="5">
        <f>IF(Tabela2[[#This Row],[gols_mandante]]&gt;Tabela2[[#This Row],[gols_visitante]],1,0)</f>
        <v>1</v>
      </c>
      <c r="AO23" s="5">
        <f>IF(Tabela2[[#This Row],[gols_mandante]]&lt;Tabela2[[#This Row],[gols_visitante]],1,0)</f>
        <v>0</v>
      </c>
      <c r="AP23" s="5" t="s">
        <v>126</v>
      </c>
      <c r="AQ23" s="5">
        <v>0</v>
      </c>
    </row>
    <row r="24" spans="1:43" x14ac:dyDescent="0.25">
      <c r="A24" s="3">
        <v>2024</v>
      </c>
      <c r="B24" s="2">
        <v>45403</v>
      </c>
      <c r="C24" s="3">
        <v>3</v>
      </c>
      <c r="D24" s="3">
        <v>29956</v>
      </c>
      <c r="E24" s="3">
        <v>43713</v>
      </c>
      <c r="F24" s="3" t="str">
        <f t="shared" si="0"/>
        <v>5.000-9.999</v>
      </c>
      <c r="G24" s="3">
        <f>Tabela2[[#This Row],[publico]]/Tabela2[[#This Row],[publico_max]]</f>
        <v>0.68528812938942651</v>
      </c>
      <c r="H24" s="3" t="s">
        <v>95</v>
      </c>
      <c r="I24" s="3" t="s">
        <v>77</v>
      </c>
      <c r="J24" s="3">
        <v>11</v>
      </c>
      <c r="K24" s="3" t="str">
        <f t="shared" si="1"/>
        <v>11-15 (mediano)</v>
      </c>
      <c r="L24" s="3">
        <v>2</v>
      </c>
      <c r="M24" s="3">
        <f t="shared" si="2"/>
        <v>-9</v>
      </c>
      <c r="N24" s="3">
        <v>13050</v>
      </c>
      <c r="O24" s="3" t="str">
        <f t="shared" si="3"/>
        <v>7.001+ (elite)</v>
      </c>
      <c r="P24" s="3">
        <v>5820</v>
      </c>
      <c r="Q24" s="3" t="s">
        <v>114</v>
      </c>
      <c r="R24" s="3">
        <v>29</v>
      </c>
      <c r="S24" s="3">
        <v>0</v>
      </c>
      <c r="T24" s="3">
        <v>0</v>
      </c>
      <c r="U24" s="3">
        <v>0</v>
      </c>
      <c r="V24" s="3">
        <v>0</v>
      </c>
      <c r="W24" s="3">
        <v>5</v>
      </c>
      <c r="X24" s="3">
        <v>5</v>
      </c>
      <c r="Y24" s="3">
        <v>23</v>
      </c>
      <c r="Z24" s="3">
        <v>14</v>
      </c>
      <c r="AA24" s="3">
        <v>13</v>
      </c>
      <c r="AB24" s="3">
        <v>23</v>
      </c>
      <c r="AC24" s="3">
        <v>3</v>
      </c>
      <c r="AD24" s="3">
        <v>1</v>
      </c>
      <c r="AE24" s="3">
        <v>3</v>
      </c>
      <c r="AF24" s="3">
        <v>0</v>
      </c>
      <c r="AG24" s="3">
        <v>11</v>
      </c>
      <c r="AH24" s="3">
        <v>8</v>
      </c>
      <c r="AI24" s="3">
        <v>7</v>
      </c>
      <c r="AJ24" s="3">
        <v>3</v>
      </c>
      <c r="AK24" s="3">
        <v>0</v>
      </c>
      <c r="AL24" s="3">
        <v>0</v>
      </c>
      <c r="AM24" s="3">
        <f>IF(Tabela2[[#This Row],[gols_mandante]]=Tabela2[[#This Row],[gols_visitante]],1,0)</f>
        <v>1</v>
      </c>
      <c r="AN24" s="3">
        <f>IF(Tabela2[[#This Row],[gols_mandante]]&gt;Tabela2[[#This Row],[gols_visitante]],1,0)</f>
        <v>0</v>
      </c>
      <c r="AO24" s="3">
        <f>IF(Tabela2[[#This Row],[gols_mandante]]&lt;Tabela2[[#This Row],[gols_visitante]],1,0)</f>
        <v>0</v>
      </c>
      <c r="AP24" s="3" t="s">
        <v>127</v>
      </c>
      <c r="AQ24" s="3">
        <v>0</v>
      </c>
    </row>
    <row r="25" spans="1:43" x14ac:dyDescent="0.25">
      <c r="A25" s="5">
        <v>2024</v>
      </c>
      <c r="B25" s="4">
        <v>45403</v>
      </c>
      <c r="C25" s="5">
        <v>3</v>
      </c>
      <c r="D25" s="5">
        <v>13273</v>
      </c>
      <c r="E25" s="5">
        <v>46931</v>
      </c>
      <c r="F25" s="5" t="str">
        <f t="shared" si="0"/>
        <v>20.000-29.999</v>
      </c>
      <c r="G25" s="5">
        <f>Tabela2[[#This Row],[publico]]/Tabela2[[#This Row],[publico_max]]</f>
        <v>0.28281945835375338</v>
      </c>
      <c r="H25" s="5" t="s">
        <v>51</v>
      </c>
      <c r="I25" s="5" t="s">
        <v>44</v>
      </c>
      <c r="J25" s="5">
        <v>3</v>
      </c>
      <c r="K25" s="3" t="str">
        <f t="shared" si="1"/>
        <v>1-5 (elite)</v>
      </c>
      <c r="L25" s="5">
        <v>13</v>
      </c>
      <c r="M25" s="3">
        <f t="shared" si="2"/>
        <v>10</v>
      </c>
      <c r="N25" s="5">
        <v>2720</v>
      </c>
      <c r="O25" s="3" t="str">
        <f t="shared" si="3"/>
        <v>1.501–3.500 (mediano)</v>
      </c>
      <c r="P25" s="5">
        <v>840</v>
      </c>
      <c r="Q25" s="5" t="s">
        <v>128</v>
      </c>
      <c r="R25" s="5" t="s">
        <v>129</v>
      </c>
      <c r="S25" s="5">
        <v>5</v>
      </c>
      <c r="T25" s="5">
        <v>1</v>
      </c>
      <c r="U25" s="5">
        <v>2</v>
      </c>
      <c r="V25" s="5">
        <v>0</v>
      </c>
      <c r="W25" s="5">
        <v>5</v>
      </c>
      <c r="X25" s="5">
        <v>4</v>
      </c>
      <c r="Y25" s="5">
        <v>22</v>
      </c>
      <c r="Z25" s="5">
        <v>10</v>
      </c>
      <c r="AA25" s="5">
        <v>10</v>
      </c>
      <c r="AB25" s="5">
        <v>20</v>
      </c>
      <c r="AC25" s="5">
        <v>0</v>
      </c>
      <c r="AD25" s="5">
        <v>1</v>
      </c>
      <c r="AE25" s="5">
        <v>1</v>
      </c>
      <c r="AF25" s="5">
        <v>1</v>
      </c>
      <c r="AG25" s="5">
        <v>13</v>
      </c>
      <c r="AH25" s="5">
        <v>12</v>
      </c>
      <c r="AI25" s="5">
        <v>5</v>
      </c>
      <c r="AJ25" s="5">
        <v>5</v>
      </c>
      <c r="AK25" s="5">
        <v>4</v>
      </c>
      <c r="AL25" s="5">
        <v>1</v>
      </c>
      <c r="AM25" s="5">
        <f>IF(Tabela2[[#This Row],[gols_mandante]]=Tabela2[[#This Row],[gols_visitante]],1,0)</f>
        <v>0</v>
      </c>
      <c r="AN25" s="5">
        <f>IF(Tabela2[[#This Row],[gols_mandante]]&gt;Tabela2[[#This Row],[gols_visitante]],1,0)</f>
        <v>1</v>
      </c>
      <c r="AO25" s="5">
        <f>IF(Tabela2[[#This Row],[gols_mandante]]&lt;Tabela2[[#This Row],[gols_visitante]],1,0)</f>
        <v>0</v>
      </c>
      <c r="AP25" s="5" t="s">
        <v>130</v>
      </c>
      <c r="AQ25" s="5">
        <v>0</v>
      </c>
    </row>
    <row r="26" spans="1:43" x14ac:dyDescent="0.25">
      <c r="A26" s="3">
        <v>2024</v>
      </c>
      <c r="B26" s="2">
        <v>45403</v>
      </c>
      <c r="C26" s="3">
        <v>3</v>
      </c>
      <c r="D26" s="3">
        <v>27609</v>
      </c>
      <c r="E26" s="3">
        <v>30618</v>
      </c>
      <c r="F26" s="3" t="str">
        <f t="shared" si="0"/>
        <v>10.000-14.999</v>
      </c>
      <c r="G26" s="3">
        <f>Tabela2[[#This Row],[publico]]/Tabela2[[#This Row],[publico_max]]</f>
        <v>0.90172447579854986</v>
      </c>
      <c r="H26" s="3" t="s">
        <v>94</v>
      </c>
      <c r="I26" s="3" t="s">
        <v>38</v>
      </c>
      <c r="J26" s="3">
        <v>17</v>
      </c>
      <c r="K26" s="3" t="str">
        <f t="shared" si="1"/>
        <v>16-20 (rebaixamento)</v>
      </c>
      <c r="L26" s="3">
        <v>9</v>
      </c>
      <c r="M26" s="3">
        <f t="shared" si="2"/>
        <v>-8</v>
      </c>
      <c r="N26" s="3">
        <v>1158</v>
      </c>
      <c r="O26" s="3" t="str">
        <f t="shared" si="3"/>
        <v>1–1.500 (rebaixamento)</v>
      </c>
      <c r="P26" s="3">
        <v>3060</v>
      </c>
      <c r="Q26" s="3" t="s">
        <v>98</v>
      </c>
      <c r="R26" s="3" t="s">
        <v>123</v>
      </c>
      <c r="S26" s="3">
        <v>2</v>
      </c>
      <c r="T26" s="3">
        <v>2</v>
      </c>
      <c r="U26" s="3">
        <v>1</v>
      </c>
      <c r="V26" s="3">
        <v>0</v>
      </c>
      <c r="W26" s="3">
        <v>2</v>
      </c>
      <c r="X26" s="3">
        <v>5</v>
      </c>
      <c r="Y26" s="3">
        <v>11</v>
      </c>
      <c r="Z26" s="3">
        <v>13</v>
      </c>
      <c r="AA26" s="3">
        <v>12</v>
      </c>
      <c r="AB26" s="3">
        <v>11</v>
      </c>
      <c r="AC26" s="3">
        <v>4</v>
      </c>
      <c r="AD26" s="3">
        <v>6</v>
      </c>
      <c r="AE26" s="3">
        <v>5</v>
      </c>
      <c r="AF26" s="3">
        <v>2</v>
      </c>
      <c r="AG26" s="3">
        <v>13</v>
      </c>
      <c r="AH26" s="3">
        <v>18</v>
      </c>
      <c r="AI26" s="3">
        <v>4</v>
      </c>
      <c r="AJ26" s="3">
        <v>6</v>
      </c>
      <c r="AK26" s="3">
        <v>0</v>
      </c>
      <c r="AL26" s="3">
        <v>0</v>
      </c>
      <c r="AM26" s="3">
        <f>IF(Tabela2[[#This Row],[gols_mandante]]=Tabela2[[#This Row],[gols_visitante]],1,0)</f>
        <v>1</v>
      </c>
      <c r="AN26" s="3">
        <f>IF(Tabela2[[#This Row],[gols_mandante]]&gt;Tabela2[[#This Row],[gols_visitante]],1,0)</f>
        <v>0</v>
      </c>
      <c r="AO26" s="3">
        <f>IF(Tabela2[[#This Row],[gols_mandante]]&lt;Tabela2[[#This Row],[gols_visitante]],1,0)</f>
        <v>0</v>
      </c>
      <c r="AP26" s="3" t="s">
        <v>131</v>
      </c>
      <c r="AQ26" s="3">
        <v>0</v>
      </c>
    </row>
    <row r="27" spans="1:43" x14ac:dyDescent="0.25">
      <c r="A27" s="5">
        <v>2024</v>
      </c>
      <c r="B27" s="4">
        <v>45403</v>
      </c>
      <c r="C27" s="5">
        <v>3</v>
      </c>
      <c r="D27" s="5">
        <v>9017</v>
      </c>
      <c r="E27" s="5">
        <v>13000</v>
      </c>
      <c r="F27" s="5" t="str">
        <f t="shared" si="0"/>
        <v>20.000-29.999</v>
      </c>
      <c r="G27" s="5">
        <f>Tabela2[[#This Row],[publico]]/Tabela2[[#This Row],[publico_max]]</f>
        <v>0.69361538461538463</v>
      </c>
      <c r="H27" s="5" t="s">
        <v>76</v>
      </c>
      <c r="I27" s="5" t="s">
        <v>62</v>
      </c>
      <c r="J27" s="5">
        <v>20</v>
      </c>
      <c r="K27" s="3" t="str">
        <f t="shared" si="1"/>
        <v>16-20 (rebaixamento)</v>
      </c>
      <c r="L27" s="5">
        <v>14</v>
      </c>
      <c r="M27" s="3">
        <f t="shared" si="2"/>
        <v>-6</v>
      </c>
      <c r="N27" s="5">
        <v>1150</v>
      </c>
      <c r="O27" s="3" t="str">
        <f t="shared" si="3"/>
        <v>1–1.500 (rebaixamento)</v>
      </c>
      <c r="P27" s="5">
        <v>3960</v>
      </c>
      <c r="Q27" s="5" t="s">
        <v>80</v>
      </c>
      <c r="R27" s="5" t="s">
        <v>66</v>
      </c>
      <c r="S27" s="5">
        <v>0</v>
      </c>
      <c r="T27" s="5">
        <v>3</v>
      </c>
      <c r="U27" s="5">
        <v>0</v>
      </c>
      <c r="V27" s="5">
        <v>1</v>
      </c>
      <c r="W27" s="5">
        <v>4</v>
      </c>
      <c r="X27" s="5">
        <v>3</v>
      </c>
      <c r="Y27" s="5">
        <v>13</v>
      </c>
      <c r="Z27" s="5">
        <v>9</v>
      </c>
      <c r="AA27" s="5">
        <v>9</v>
      </c>
      <c r="AB27" s="5">
        <v>12</v>
      </c>
      <c r="AC27" s="5">
        <v>4</v>
      </c>
      <c r="AD27" s="5">
        <v>1</v>
      </c>
      <c r="AE27" s="5">
        <v>0</v>
      </c>
      <c r="AF27" s="5">
        <v>2</v>
      </c>
      <c r="AG27" s="5">
        <v>9</v>
      </c>
      <c r="AH27" s="5">
        <v>19</v>
      </c>
      <c r="AI27" s="5">
        <v>4</v>
      </c>
      <c r="AJ27" s="5">
        <v>4</v>
      </c>
      <c r="AK27" s="5">
        <v>-3</v>
      </c>
      <c r="AL27" s="5">
        <v>0</v>
      </c>
      <c r="AM27" s="5">
        <f>IF(Tabela2[[#This Row],[gols_mandante]]=Tabela2[[#This Row],[gols_visitante]],1,0)</f>
        <v>0</v>
      </c>
      <c r="AN27" s="5">
        <f>IF(Tabela2[[#This Row],[gols_mandante]]&gt;Tabela2[[#This Row],[gols_visitante]],1,0)</f>
        <v>0</v>
      </c>
      <c r="AO27" s="5">
        <f>IF(Tabela2[[#This Row],[gols_mandante]]&lt;Tabela2[[#This Row],[gols_visitante]],1,0)</f>
        <v>1</v>
      </c>
      <c r="AP27" s="5" t="s">
        <v>133</v>
      </c>
      <c r="AQ27" s="5">
        <v>1</v>
      </c>
    </row>
    <row r="28" spans="1:43" x14ac:dyDescent="0.25">
      <c r="A28" s="3">
        <v>2024</v>
      </c>
      <c r="B28" s="2">
        <v>45403</v>
      </c>
      <c r="C28" s="3">
        <v>3</v>
      </c>
      <c r="D28" s="3">
        <v>39541</v>
      </c>
      <c r="E28" s="3">
        <v>46000</v>
      </c>
      <c r="F28" s="3" t="str">
        <f t="shared" si="0"/>
        <v>5.000-9.999</v>
      </c>
      <c r="G28" s="3">
        <f>Tabela2[[#This Row],[publico]]/Tabela2[[#This Row],[publico_max]]</f>
        <v>0.85958695652173911</v>
      </c>
      <c r="H28" s="3" t="s">
        <v>89</v>
      </c>
      <c r="I28" s="3" t="s">
        <v>50</v>
      </c>
      <c r="J28" s="3">
        <v>7</v>
      </c>
      <c r="K28" s="3" t="str">
        <f t="shared" si="1"/>
        <v>6-10 (intermediário)</v>
      </c>
      <c r="L28" s="3">
        <v>12</v>
      </c>
      <c r="M28" s="3">
        <f t="shared" si="2"/>
        <v>5</v>
      </c>
      <c r="N28" s="3">
        <v>5720</v>
      </c>
      <c r="O28" s="3" t="str">
        <f t="shared" si="3"/>
        <v>3.501–7.000 (intermediário)</v>
      </c>
      <c r="P28" s="3">
        <v>2005</v>
      </c>
      <c r="Q28" s="3">
        <v>30</v>
      </c>
      <c r="R28" s="3" t="s">
        <v>134</v>
      </c>
      <c r="S28" s="3">
        <v>3</v>
      </c>
      <c r="T28" s="3">
        <v>0</v>
      </c>
      <c r="U28" s="3">
        <v>3</v>
      </c>
      <c r="V28" s="3">
        <v>0</v>
      </c>
      <c r="W28" s="3">
        <v>4</v>
      </c>
      <c r="X28" s="3">
        <v>4</v>
      </c>
      <c r="Y28" s="3">
        <v>15</v>
      </c>
      <c r="Z28" s="3">
        <v>17</v>
      </c>
      <c r="AA28" s="3">
        <v>16</v>
      </c>
      <c r="AB28" s="3">
        <v>15</v>
      </c>
      <c r="AC28" s="3">
        <v>2</v>
      </c>
      <c r="AD28" s="3">
        <v>1</v>
      </c>
      <c r="AE28" s="3">
        <v>1</v>
      </c>
      <c r="AF28" s="3">
        <v>2</v>
      </c>
      <c r="AG28" s="3">
        <v>9</v>
      </c>
      <c r="AH28" s="3">
        <v>10</v>
      </c>
      <c r="AI28" s="3">
        <v>3</v>
      </c>
      <c r="AJ28" s="3">
        <v>1</v>
      </c>
      <c r="AK28" s="3">
        <v>3</v>
      </c>
      <c r="AL28" s="3">
        <v>1</v>
      </c>
      <c r="AM28" s="3">
        <f>IF(Tabela2[[#This Row],[gols_mandante]]=Tabela2[[#This Row],[gols_visitante]],1,0)</f>
        <v>0</v>
      </c>
      <c r="AN28" s="3">
        <f>IF(Tabela2[[#This Row],[gols_mandante]]&gt;Tabela2[[#This Row],[gols_visitante]],1,0)</f>
        <v>1</v>
      </c>
      <c r="AO28" s="3">
        <f>IF(Tabela2[[#This Row],[gols_mandante]]&lt;Tabela2[[#This Row],[gols_visitante]],1,0)</f>
        <v>0</v>
      </c>
      <c r="AP28" s="3" t="s">
        <v>103</v>
      </c>
      <c r="AQ28" s="3">
        <v>0</v>
      </c>
    </row>
    <row r="29" spans="1:43" x14ac:dyDescent="0.25">
      <c r="A29" s="5">
        <v>2024</v>
      </c>
      <c r="B29" s="4">
        <v>45409</v>
      </c>
      <c r="C29" s="5">
        <v>4</v>
      </c>
      <c r="D29" s="5">
        <v>6711</v>
      </c>
      <c r="E29" s="5">
        <v>42968</v>
      </c>
      <c r="F29" s="5" t="str">
        <f t="shared" si="0"/>
        <v>&gt;=30.000</v>
      </c>
      <c r="G29" s="5">
        <f>Tabela2[[#This Row],[publico]]/Tabela2[[#This Row],[publico_max]]</f>
        <v>0.15618599888288959</v>
      </c>
      <c r="H29" s="5" t="s">
        <v>70</v>
      </c>
      <c r="I29" s="5" t="s">
        <v>89</v>
      </c>
      <c r="J29" s="5">
        <v>20</v>
      </c>
      <c r="K29" s="3" t="str">
        <f t="shared" si="1"/>
        <v>16-20 (rebaixamento)</v>
      </c>
      <c r="L29" s="5">
        <v>2</v>
      </c>
      <c r="M29" s="3">
        <f t="shared" si="2"/>
        <v>-18</v>
      </c>
      <c r="N29" s="5">
        <v>1380</v>
      </c>
      <c r="O29" s="3" t="str">
        <f t="shared" si="3"/>
        <v>1–1.500 (rebaixamento)</v>
      </c>
      <c r="P29" s="5">
        <v>4900</v>
      </c>
      <c r="Q29" s="5">
        <v>28</v>
      </c>
      <c r="R29" s="5" t="s">
        <v>135</v>
      </c>
      <c r="S29" s="5">
        <v>0</v>
      </c>
      <c r="T29" s="5">
        <v>3</v>
      </c>
      <c r="U29" s="5">
        <v>0</v>
      </c>
      <c r="V29" s="5">
        <v>1</v>
      </c>
      <c r="W29" s="5">
        <v>3</v>
      </c>
      <c r="X29" s="5">
        <v>10</v>
      </c>
      <c r="Y29" s="5">
        <v>11</v>
      </c>
      <c r="Z29" s="5">
        <v>17</v>
      </c>
      <c r="AA29" s="5">
        <v>16</v>
      </c>
      <c r="AB29" s="5">
        <v>11</v>
      </c>
      <c r="AC29" s="5">
        <v>2</v>
      </c>
      <c r="AD29" s="5">
        <v>1</v>
      </c>
      <c r="AE29" s="5">
        <v>2</v>
      </c>
      <c r="AF29" s="5">
        <v>1</v>
      </c>
      <c r="AG29" s="5">
        <v>4</v>
      </c>
      <c r="AH29" s="5">
        <v>13</v>
      </c>
      <c r="AI29" s="5">
        <v>2</v>
      </c>
      <c r="AJ29" s="5">
        <v>5</v>
      </c>
      <c r="AK29" s="5">
        <v>-3</v>
      </c>
      <c r="AL29" s="5">
        <v>0</v>
      </c>
      <c r="AM29" s="5">
        <f>IF(Tabela2[[#This Row],[gols_mandante]]=Tabela2[[#This Row],[gols_visitante]],1,0)</f>
        <v>0</v>
      </c>
      <c r="AN29" s="5">
        <f>IF(Tabela2[[#This Row],[gols_mandante]]&gt;Tabela2[[#This Row],[gols_visitante]],1,0)</f>
        <v>0</v>
      </c>
      <c r="AO29" s="5">
        <f>IF(Tabela2[[#This Row],[gols_mandante]]&lt;Tabela2[[#This Row],[gols_visitante]],1,0)</f>
        <v>1</v>
      </c>
      <c r="AP29" s="5" t="s">
        <v>136</v>
      </c>
      <c r="AQ29" s="5">
        <v>0</v>
      </c>
    </row>
    <row r="30" spans="1:43" x14ac:dyDescent="0.25">
      <c r="A30" s="3">
        <v>2024</v>
      </c>
      <c r="B30" s="2">
        <v>45409</v>
      </c>
      <c r="C30" s="3">
        <v>4</v>
      </c>
      <c r="D30" s="3">
        <v>17124</v>
      </c>
      <c r="E30" s="3">
        <v>24584</v>
      </c>
      <c r="F30" s="3" t="str">
        <f t="shared" si="0"/>
        <v>5.000-9.999</v>
      </c>
      <c r="G30" s="3">
        <f>Tabela2[[#This Row],[publico]]/Tabela2[[#This Row],[publico_max]]</f>
        <v>0.69655060201757235</v>
      </c>
      <c r="H30" s="3" t="s">
        <v>82</v>
      </c>
      <c r="I30" s="3" t="s">
        <v>43</v>
      </c>
      <c r="J30" s="3">
        <v>17</v>
      </c>
      <c r="K30" s="3" t="str">
        <f t="shared" si="1"/>
        <v>16-20 (rebaixamento)</v>
      </c>
      <c r="L30" s="3">
        <v>10</v>
      </c>
      <c r="M30" s="3">
        <f t="shared" si="2"/>
        <v>-7</v>
      </c>
      <c r="N30" s="3">
        <v>3015</v>
      </c>
      <c r="O30" s="3" t="str">
        <f t="shared" si="3"/>
        <v>1.501–3.500 (mediano)</v>
      </c>
      <c r="P30" s="3">
        <v>575</v>
      </c>
      <c r="Q30" s="3" t="s">
        <v>137</v>
      </c>
      <c r="R30" s="3" t="s">
        <v>138</v>
      </c>
      <c r="S30" s="3">
        <v>0</v>
      </c>
      <c r="T30" s="3">
        <v>4</v>
      </c>
      <c r="U30" s="3">
        <v>0</v>
      </c>
      <c r="V30" s="3">
        <v>1</v>
      </c>
      <c r="W30" s="3">
        <v>5</v>
      </c>
      <c r="X30" s="3">
        <v>4</v>
      </c>
      <c r="Y30" s="3">
        <v>13</v>
      </c>
      <c r="Z30" s="3">
        <v>7</v>
      </c>
      <c r="AA30" s="3">
        <v>7</v>
      </c>
      <c r="AB30" s="3">
        <v>13</v>
      </c>
      <c r="AC30" s="3">
        <v>6</v>
      </c>
      <c r="AD30" s="3">
        <v>5</v>
      </c>
      <c r="AE30" s="3">
        <v>0</v>
      </c>
      <c r="AF30" s="3">
        <v>2</v>
      </c>
      <c r="AG30" s="3">
        <v>21</v>
      </c>
      <c r="AH30" s="3">
        <v>17</v>
      </c>
      <c r="AI30" s="3">
        <v>8</v>
      </c>
      <c r="AJ30" s="3">
        <v>5</v>
      </c>
      <c r="AK30" s="3">
        <v>-4</v>
      </c>
      <c r="AL30" s="3">
        <v>0</v>
      </c>
      <c r="AM30" s="3">
        <f>IF(Tabela2[[#This Row],[gols_mandante]]=Tabela2[[#This Row],[gols_visitante]],1,0)</f>
        <v>0</v>
      </c>
      <c r="AN30" s="3">
        <f>IF(Tabela2[[#This Row],[gols_mandante]]&gt;Tabela2[[#This Row],[gols_visitante]],1,0)</f>
        <v>0</v>
      </c>
      <c r="AO30" s="3">
        <f>IF(Tabela2[[#This Row],[gols_mandante]]&lt;Tabela2[[#This Row],[gols_visitante]],1,0)</f>
        <v>1</v>
      </c>
      <c r="AP30" s="3" t="s">
        <v>139</v>
      </c>
      <c r="AQ30" s="3">
        <v>0</v>
      </c>
    </row>
    <row r="31" spans="1:43" x14ac:dyDescent="0.25">
      <c r="A31" s="5">
        <v>2024</v>
      </c>
      <c r="B31" s="4">
        <v>45410</v>
      </c>
      <c r="C31" s="5">
        <v>4</v>
      </c>
      <c r="D31" s="5">
        <v>20083</v>
      </c>
      <c r="E31" s="5">
        <v>61927</v>
      </c>
      <c r="F31" s="5" t="str">
        <f t="shared" si="0"/>
        <v>15.000-19.999</v>
      </c>
      <c r="G31" s="5">
        <f>Tabela2[[#This Row],[publico]]/Tabela2[[#This Row],[publico_max]]</f>
        <v>0.32430119334054613</v>
      </c>
      <c r="H31" s="5" t="s">
        <v>50</v>
      </c>
      <c r="I31" s="5" t="s">
        <v>94</v>
      </c>
      <c r="J31" s="5">
        <v>7</v>
      </c>
      <c r="K31" s="3" t="str">
        <f t="shared" si="1"/>
        <v>6-10 (intermediário)</v>
      </c>
      <c r="L31" s="5">
        <v>18</v>
      </c>
      <c r="M31" s="3">
        <f t="shared" si="2"/>
        <v>11</v>
      </c>
      <c r="N31" s="5">
        <v>3065</v>
      </c>
      <c r="O31" s="3" t="str">
        <f t="shared" si="3"/>
        <v>1.501–3.500 (mediano)</v>
      </c>
      <c r="P31" s="5">
        <v>1328</v>
      </c>
      <c r="Q31" s="5" t="s">
        <v>98</v>
      </c>
      <c r="R31" s="5" t="s">
        <v>66</v>
      </c>
      <c r="S31" s="5">
        <v>3</v>
      </c>
      <c r="T31" s="5">
        <v>1</v>
      </c>
      <c r="U31" s="5">
        <v>0</v>
      </c>
      <c r="V31" s="5">
        <v>0</v>
      </c>
      <c r="W31" s="5">
        <v>10</v>
      </c>
      <c r="X31" s="5">
        <v>4</v>
      </c>
      <c r="Y31" s="5">
        <v>12</v>
      </c>
      <c r="Z31" s="5">
        <v>6</v>
      </c>
      <c r="AA31" s="5">
        <v>5</v>
      </c>
      <c r="AB31" s="5">
        <v>11</v>
      </c>
      <c r="AC31" s="5">
        <v>3</v>
      </c>
      <c r="AD31" s="5">
        <v>3</v>
      </c>
      <c r="AE31" s="5">
        <v>0</v>
      </c>
      <c r="AF31" s="5">
        <v>0</v>
      </c>
      <c r="AG31" s="5">
        <v>15</v>
      </c>
      <c r="AH31" s="5">
        <v>8</v>
      </c>
      <c r="AI31" s="5">
        <v>5</v>
      </c>
      <c r="AJ31" s="5">
        <v>5</v>
      </c>
      <c r="AK31" s="5">
        <v>2</v>
      </c>
      <c r="AL31" s="5">
        <v>1</v>
      </c>
      <c r="AM31" s="5">
        <f>IF(Tabela2[[#This Row],[gols_mandante]]=Tabela2[[#This Row],[gols_visitante]],1,0)</f>
        <v>0</v>
      </c>
      <c r="AN31" s="5">
        <f>IF(Tabela2[[#This Row],[gols_mandante]]&gt;Tabela2[[#This Row],[gols_visitante]],1,0)</f>
        <v>1</v>
      </c>
      <c r="AO31" s="5">
        <f>IF(Tabela2[[#This Row],[gols_mandante]]&lt;Tabela2[[#This Row],[gols_visitante]],1,0)</f>
        <v>0</v>
      </c>
      <c r="AP31" s="5" t="s">
        <v>140</v>
      </c>
      <c r="AQ31" s="5">
        <v>0</v>
      </c>
    </row>
    <row r="32" spans="1:43" x14ac:dyDescent="0.25">
      <c r="A32" s="3">
        <v>2024</v>
      </c>
      <c r="B32" s="2">
        <v>45410</v>
      </c>
      <c r="C32" s="3">
        <v>4</v>
      </c>
      <c r="D32" s="3">
        <v>53683</v>
      </c>
      <c r="E32" s="3">
        <v>78838</v>
      </c>
      <c r="F32" s="3" t="str">
        <f t="shared" si="0"/>
        <v>20.000-29.999</v>
      </c>
      <c r="G32" s="3">
        <f>Tabela2[[#This Row],[publico]]/Tabela2[[#This Row],[publico_max]]</f>
        <v>0.68092797889342704</v>
      </c>
      <c r="H32" s="3" t="s">
        <v>77</v>
      </c>
      <c r="I32" s="3" t="s">
        <v>51</v>
      </c>
      <c r="J32" s="3">
        <v>8</v>
      </c>
      <c r="K32" s="3" t="str">
        <f t="shared" si="1"/>
        <v>6-10 (intermediário)</v>
      </c>
      <c r="L32" s="3">
        <v>1</v>
      </c>
      <c r="M32" s="3">
        <f t="shared" si="2"/>
        <v>-7</v>
      </c>
      <c r="N32" s="3">
        <v>8820</v>
      </c>
      <c r="O32" s="3" t="str">
        <f t="shared" si="3"/>
        <v>7.001+ (elite)</v>
      </c>
      <c r="P32" s="3">
        <v>3275</v>
      </c>
      <c r="Q32" s="3">
        <v>29</v>
      </c>
      <c r="R32" s="3" t="s">
        <v>100</v>
      </c>
      <c r="S32" s="3">
        <v>0</v>
      </c>
      <c r="T32" s="3">
        <v>2</v>
      </c>
      <c r="U32" s="3">
        <v>0</v>
      </c>
      <c r="V32" s="3">
        <v>0</v>
      </c>
      <c r="W32" s="3">
        <v>8</v>
      </c>
      <c r="X32" s="3">
        <v>3</v>
      </c>
      <c r="Y32" s="3">
        <v>12</v>
      </c>
      <c r="Z32" s="3">
        <v>15</v>
      </c>
      <c r="AA32" s="3">
        <v>15</v>
      </c>
      <c r="AB32" s="3">
        <v>12</v>
      </c>
      <c r="AC32" s="3">
        <v>1</v>
      </c>
      <c r="AD32" s="3">
        <v>0</v>
      </c>
      <c r="AE32" s="3">
        <v>2</v>
      </c>
      <c r="AF32" s="3">
        <v>1</v>
      </c>
      <c r="AG32" s="3">
        <v>15</v>
      </c>
      <c r="AH32" s="3">
        <v>9</v>
      </c>
      <c r="AI32" s="3">
        <v>11</v>
      </c>
      <c r="AJ32" s="3">
        <v>1</v>
      </c>
      <c r="AK32" s="3">
        <v>-2</v>
      </c>
      <c r="AL32" s="3">
        <v>0</v>
      </c>
      <c r="AM32" s="3">
        <f>IF(Tabela2[[#This Row],[gols_mandante]]=Tabela2[[#This Row],[gols_visitante]],1,0)</f>
        <v>0</v>
      </c>
      <c r="AN32" s="3">
        <f>IF(Tabela2[[#This Row],[gols_mandante]]&gt;Tabela2[[#This Row],[gols_visitante]],1,0)</f>
        <v>0</v>
      </c>
      <c r="AO32" s="3">
        <f>IF(Tabela2[[#This Row],[gols_mandante]]&lt;Tabela2[[#This Row],[gols_visitante]],1,0)</f>
        <v>1</v>
      </c>
      <c r="AP32" s="3" t="s">
        <v>141</v>
      </c>
      <c r="AQ32" s="3">
        <v>0</v>
      </c>
    </row>
    <row r="33" spans="1:43" x14ac:dyDescent="0.25">
      <c r="A33" s="5">
        <v>2024</v>
      </c>
      <c r="B33" s="4">
        <v>45410</v>
      </c>
      <c r="C33" s="5">
        <v>4</v>
      </c>
      <c r="D33" s="5">
        <v>36066</v>
      </c>
      <c r="E33" s="5">
        <v>47364</v>
      </c>
      <c r="F33" s="5" t="str">
        <f t="shared" si="0"/>
        <v>&gt;=30.000</v>
      </c>
      <c r="G33" s="5">
        <f>Tabela2[[#This Row],[publico]]/Tabela2[[#This Row],[publico_max]]</f>
        <v>0.76146440334431209</v>
      </c>
      <c r="H33" s="5" t="s">
        <v>38</v>
      </c>
      <c r="I33" s="5" t="s">
        <v>83</v>
      </c>
      <c r="J33" s="5">
        <v>5</v>
      </c>
      <c r="K33" s="3" t="str">
        <f t="shared" si="1"/>
        <v>1-5 (elite)</v>
      </c>
      <c r="L33" s="5">
        <v>9</v>
      </c>
      <c r="M33" s="3">
        <f t="shared" si="2"/>
        <v>4</v>
      </c>
      <c r="N33" s="5">
        <v>3120</v>
      </c>
      <c r="O33" s="3" t="str">
        <f t="shared" si="3"/>
        <v>1.501–3.500 (mediano)</v>
      </c>
      <c r="P33" s="5">
        <v>2950</v>
      </c>
      <c r="Q33" s="5" t="s">
        <v>66</v>
      </c>
      <c r="R33" s="5" t="s">
        <v>142</v>
      </c>
      <c r="S33" s="5">
        <v>1</v>
      </c>
      <c r="T33" s="5">
        <v>0</v>
      </c>
      <c r="U33" s="5">
        <v>1</v>
      </c>
      <c r="V33" s="5">
        <v>0</v>
      </c>
      <c r="W33" s="5">
        <v>4</v>
      </c>
      <c r="X33" s="5">
        <v>0</v>
      </c>
      <c r="Y33" s="5">
        <v>10</v>
      </c>
      <c r="Z33" s="5">
        <v>15</v>
      </c>
      <c r="AA33" s="5">
        <v>13</v>
      </c>
      <c r="AB33" s="5">
        <v>10</v>
      </c>
      <c r="AC33" s="5">
        <v>2</v>
      </c>
      <c r="AD33" s="5">
        <v>3</v>
      </c>
      <c r="AE33" s="5">
        <v>1</v>
      </c>
      <c r="AF33" s="5">
        <v>2</v>
      </c>
      <c r="AG33" s="5">
        <v>14</v>
      </c>
      <c r="AH33" s="5">
        <v>3</v>
      </c>
      <c r="AI33" s="5">
        <v>5</v>
      </c>
      <c r="AJ33" s="5">
        <v>1</v>
      </c>
      <c r="AK33" s="5">
        <v>1</v>
      </c>
      <c r="AL33" s="5">
        <v>1</v>
      </c>
      <c r="AM33" s="5">
        <f>IF(Tabela2[[#This Row],[gols_mandante]]=Tabela2[[#This Row],[gols_visitante]],1,0)</f>
        <v>0</v>
      </c>
      <c r="AN33" s="5">
        <f>IF(Tabela2[[#This Row],[gols_mandante]]&gt;Tabela2[[#This Row],[gols_visitante]],1,0)</f>
        <v>1</v>
      </c>
      <c r="AO33" s="5">
        <f>IF(Tabela2[[#This Row],[gols_mandante]]&lt;Tabela2[[#This Row],[gols_visitante]],1,0)</f>
        <v>0</v>
      </c>
      <c r="AP33" s="5" t="s">
        <v>143</v>
      </c>
      <c r="AQ33" s="5">
        <v>0</v>
      </c>
    </row>
    <row r="34" spans="1:43" x14ac:dyDescent="0.25">
      <c r="A34" s="3">
        <v>2024</v>
      </c>
      <c r="B34" s="2">
        <v>45410</v>
      </c>
      <c r="C34" s="3">
        <v>4</v>
      </c>
      <c r="D34" s="3">
        <v>18113</v>
      </c>
      <c r="E34" s="3">
        <v>60326</v>
      </c>
      <c r="F34" s="3" t="str">
        <f t="shared" si="0"/>
        <v>&gt;=30.000</v>
      </c>
      <c r="G34" s="3">
        <f>Tabela2[[#This Row],[publico]]/Tabela2[[#This Row],[publico_max]]</f>
        <v>0.30025196432715578</v>
      </c>
      <c r="H34" s="3" t="s">
        <v>63</v>
      </c>
      <c r="I34" s="3" t="s">
        <v>56</v>
      </c>
      <c r="J34" s="3">
        <v>11</v>
      </c>
      <c r="K34" s="3" t="str">
        <f t="shared" si="1"/>
        <v>11-15 (mediano)</v>
      </c>
      <c r="L34" s="3">
        <v>3</v>
      </c>
      <c r="M34" s="3">
        <f t="shared" si="2"/>
        <v>-8</v>
      </c>
      <c r="N34" s="3">
        <v>1115</v>
      </c>
      <c r="O34" s="3" t="str">
        <f t="shared" si="3"/>
        <v>1–1.500 (rebaixamento)</v>
      </c>
      <c r="P34" s="3">
        <v>3630</v>
      </c>
      <c r="Q34" s="3" t="s">
        <v>144</v>
      </c>
      <c r="R34" s="3" t="s">
        <v>145</v>
      </c>
      <c r="S34" s="3">
        <v>1</v>
      </c>
      <c r="T34" s="3">
        <v>1</v>
      </c>
      <c r="U34" s="3">
        <v>1</v>
      </c>
      <c r="V34" s="3">
        <v>1</v>
      </c>
      <c r="W34" s="3">
        <v>12</v>
      </c>
      <c r="X34" s="3">
        <v>6</v>
      </c>
      <c r="Y34" s="3">
        <v>9</v>
      </c>
      <c r="Z34" s="3">
        <v>6</v>
      </c>
      <c r="AA34" s="3">
        <v>6</v>
      </c>
      <c r="AB34" s="3">
        <v>8</v>
      </c>
      <c r="AC34" s="3">
        <v>2</v>
      </c>
      <c r="AD34" s="3">
        <v>4</v>
      </c>
      <c r="AE34" s="3">
        <v>1</v>
      </c>
      <c r="AF34" s="3">
        <v>2</v>
      </c>
      <c r="AG34" s="3">
        <v>22</v>
      </c>
      <c r="AH34" s="3">
        <v>10</v>
      </c>
      <c r="AI34" s="3">
        <v>9</v>
      </c>
      <c r="AJ34" s="3">
        <v>4</v>
      </c>
      <c r="AK34" s="3">
        <v>0</v>
      </c>
      <c r="AL34" s="3">
        <v>0</v>
      </c>
      <c r="AM34" s="3">
        <f>IF(Tabela2[[#This Row],[gols_mandante]]=Tabela2[[#This Row],[gols_visitante]],1,0)</f>
        <v>1</v>
      </c>
      <c r="AN34" s="3">
        <f>IF(Tabela2[[#This Row],[gols_mandante]]&gt;Tabela2[[#This Row],[gols_visitante]],1,0)</f>
        <v>0</v>
      </c>
      <c r="AO34" s="3">
        <f>IF(Tabela2[[#This Row],[gols_mandante]]&lt;Tabela2[[#This Row],[gols_visitante]],1,0)</f>
        <v>0</v>
      </c>
      <c r="AP34" s="3" t="s">
        <v>146</v>
      </c>
      <c r="AQ34" s="3">
        <v>0</v>
      </c>
    </row>
    <row r="35" spans="1:43" x14ac:dyDescent="0.25">
      <c r="A35" s="5">
        <v>2024</v>
      </c>
      <c r="B35" s="4">
        <v>45410</v>
      </c>
      <c r="C35" s="5">
        <v>4</v>
      </c>
      <c r="D35" s="5">
        <v>42119</v>
      </c>
      <c r="E35" s="5">
        <v>49205</v>
      </c>
      <c r="F35" s="5" t="str">
        <f t="shared" si="0"/>
        <v>15.000-19.999</v>
      </c>
      <c r="G35" s="5">
        <f>Tabela2[[#This Row],[publico]]/Tabela2[[#This Row],[publico_max]]</f>
        <v>0.85599024489381159</v>
      </c>
      <c r="H35" s="5" t="s">
        <v>88</v>
      </c>
      <c r="I35" s="5" t="s">
        <v>55</v>
      </c>
      <c r="J35" s="5">
        <v>15</v>
      </c>
      <c r="K35" s="3" t="str">
        <f t="shared" si="1"/>
        <v>11-15 (mediano)</v>
      </c>
      <c r="L35" s="5">
        <v>16</v>
      </c>
      <c r="M35" s="3">
        <f t="shared" si="2"/>
        <v>1</v>
      </c>
      <c r="N35" s="5">
        <v>2730</v>
      </c>
      <c r="O35" s="3" t="str">
        <f t="shared" si="3"/>
        <v>1.501–3.500 (mediano)</v>
      </c>
      <c r="P35" s="5">
        <v>3795</v>
      </c>
      <c r="Q35" s="5">
        <v>27</v>
      </c>
      <c r="R35" s="5" t="s">
        <v>147</v>
      </c>
      <c r="S35" s="5">
        <v>3</v>
      </c>
      <c r="T35" s="5">
        <v>0</v>
      </c>
      <c r="U35" s="5">
        <v>2</v>
      </c>
      <c r="V35" s="5">
        <v>0</v>
      </c>
      <c r="W35" s="5">
        <v>6</v>
      </c>
      <c r="X35" s="5">
        <v>8</v>
      </c>
      <c r="Y35" s="5">
        <v>15</v>
      </c>
      <c r="Z35" s="5">
        <v>15</v>
      </c>
      <c r="AA35" s="5">
        <v>15</v>
      </c>
      <c r="AB35" s="5">
        <v>14</v>
      </c>
      <c r="AC35" s="5">
        <v>2</v>
      </c>
      <c r="AD35" s="5">
        <v>4</v>
      </c>
      <c r="AE35" s="5">
        <v>1</v>
      </c>
      <c r="AF35" s="5">
        <v>2</v>
      </c>
      <c r="AG35" s="5">
        <v>17</v>
      </c>
      <c r="AH35" s="5">
        <v>13</v>
      </c>
      <c r="AI35" s="5">
        <v>4</v>
      </c>
      <c r="AJ35" s="5">
        <v>5</v>
      </c>
      <c r="AK35" s="5">
        <v>3</v>
      </c>
      <c r="AL35" s="5">
        <v>1</v>
      </c>
      <c r="AM35" s="5">
        <f>IF(Tabela2[[#This Row],[gols_mandante]]=Tabela2[[#This Row],[gols_visitante]],1,0)</f>
        <v>0</v>
      </c>
      <c r="AN35" s="5">
        <f>IF(Tabela2[[#This Row],[gols_mandante]]&gt;Tabela2[[#This Row],[gols_visitante]],1,0)</f>
        <v>1</v>
      </c>
      <c r="AO35" s="5">
        <f>IF(Tabela2[[#This Row],[gols_mandante]]&lt;Tabela2[[#This Row],[gols_visitante]],1,0)</f>
        <v>0</v>
      </c>
      <c r="AP35" s="5" t="s">
        <v>148</v>
      </c>
      <c r="AQ35" s="5">
        <v>0</v>
      </c>
    </row>
    <row r="36" spans="1:43" x14ac:dyDescent="0.25">
      <c r="A36" s="3">
        <v>2024</v>
      </c>
      <c r="B36" s="2">
        <v>45410</v>
      </c>
      <c r="C36" s="3">
        <v>4</v>
      </c>
      <c r="D36" s="3">
        <v>5032</v>
      </c>
      <c r="E36" s="3">
        <v>23726</v>
      </c>
      <c r="F36" s="3" t="str">
        <f t="shared" si="0"/>
        <v>&gt;=30.000</v>
      </c>
      <c r="G36" s="3">
        <f>Tabela2[[#This Row],[publico]]/Tabela2[[#This Row],[publico_max]]</f>
        <v>0.21208800472055972</v>
      </c>
      <c r="H36" s="3" t="s">
        <v>44</v>
      </c>
      <c r="I36" s="3" t="s">
        <v>69</v>
      </c>
      <c r="J36" s="3">
        <v>13</v>
      </c>
      <c r="K36" s="3" t="str">
        <f t="shared" si="1"/>
        <v>11-15 (mediano)</v>
      </c>
      <c r="L36" s="3">
        <v>4</v>
      </c>
      <c r="M36" s="3">
        <f t="shared" si="2"/>
        <v>-9</v>
      </c>
      <c r="N36" s="3">
        <v>810</v>
      </c>
      <c r="O36" s="3" t="str">
        <f t="shared" si="3"/>
        <v>1–1.500 (rebaixamento)</v>
      </c>
      <c r="P36" s="3">
        <v>3745</v>
      </c>
      <c r="Q36" s="3">
        <v>29</v>
      </c>
      <c r="R36" s="3" t="s">
        <v>149</v>
      </c>
      <c r="S36" s="3">
        <v>1</v>
      </c>
      <c r="T36" s="3">
        <v>1</v>
      </c>
      <c r="U36" s="3">
        <v>1</v>
      </c>
      <c r="V36" s="3">
        <v>0</v>
      </c>
      <c r="W36" s="3">
        <v>4</v>
      </c>
      <c r="X36" s="3">
        <v>6</v>
      </c>
      <c r="Y36" s="3">
        <v>12</v>
      </c>
      <c r="Z36" s="3">
        <v>17</v>
      </c>
      <c r="AA36" s="3">
        <v>17</v>
      </c>
      <c r="AB36" s="3">
        <v>12</v>
      </c>
      <c r="AC36" s="3">
        <v>6</v>
      </c>
      <c r="AD36" s="3">
        <v>4</v>
      </c>
      <c r="AE36" s="3">
        <v>1</v>
      </c>
      <c r="AF36" s="3">
        <v>3</v>
      </c>
      <c r="AG36" s="3">
        <v>15</v>
      </c>
      <c r="AH36" s="3">
        <v>15</v>
      </c>
      <c r="AI36" s="3">
        <v>6</v>
      </c>
      <c r="AJ36" s="3">
        <v>5</v>
      </c>
      <c r="AK36" s="3">
        <v>0</v>
      </c>
      <c r="AL36" s="3">
        <v>0</v>
      </c>
      <c r="AM36" s="3">
        <f>IF(Tabela2[[#This Row],[gols_mandante]]=Tabela2[[#This Row],[gols_visitante]],1,0)</f>
        <v>1</v>
      </c>
      <c r="AN36" s="3">
        <f>IF(Tabela2[[#This Row],[gols_mandante]]&gt;Tabela2[[#This Row],[gols_visitante]],1,0)</f>
        <v>0</v>
      </c>
      <c r="AO36" s="3">
        <f>IF(Tabela2[[#This Row],[gols_mandante]]&lt;Tabela2[[#This Row],[gols_visitante]],1,0)</f>
        <v>0</v>
      </c>
      <c r="AP36" s="3" t="s">
        <v>150</v>
      </c>
      <c r="AQ36" s="3">
        <v>0</v>
      </c>
    </row>
    <row r="37" spans="1:43" x14ac:dyDescent="0.25">
      <c r="A37" s="5">
        <v>2024</v>
      </c>
      <c r="B37" s="4">
        <v>45411</v>
      </c>
      <c r="C37" s="5">
        <v>4</v>
      </c>
      <c r="D37" s="5">
        <v>23836</v>
      </c>
      <c r="E37" s="5">
        <v>50848</v>
      </c>
      <c r="F37" s="5" t="str">
        <f t="shared" si="0"/>
        <v>5.000-9.999</v>
      </c>
      <c r="G37" s="5">
        <f>Tabela2[[#This Row],[publico]]/Tabela2[[#This Row],[publico_max]]</f>
        <v>0.46876966645689111</v>
      </c>
      <c r="H37" s="5" t="s">
        <v>37</v>
      </c>
      <c r="I37" s="5" t="s">
        <v>76</v>
      </c>
      <c r="J37" s="5">
        <v>6</v>
      </c>
      <c r="K37" s="3" t="str">
        <f t="shared" si="1"/>
        <v>6-10 (intermediário)</v>
      </c>
      <c r="L37" s="5">
        <v>19</v>
      </c>
      <c r="M37" s="3">
        <f t="shared" si="2"/>
        <v>13</v>
      </c>
      <c r="N37" s="5">
        <v>5125</v>
      </c>
      <c r="O37" s="3" t="str">
        <f t="shared" si="3"/>
        <v>3.501–7.000 (intermediário)</v>
      </c>
      <c r="P37" s="5">
        <v>1020</v>
      </c>
      <c r="Q37" s="5" t="s">
        <v>66</v>
      </c>
      <c r="R37" s="5" t="s">
        <v>151</v>
      </c>
      <c r="S37" s="5">
        <v>1</v>
      </c>
      <c r="T37" s="5">
        <v>1</v>
      </c>
      <c r="U37" s="5">
        <v>0</v>
      </c>
      <c r="V37" s="5">
        <v>0</v>
      </c>
      <c r="W37" s="5">
        <v>13</v>
      </c>
      <c r="X37" s="5">
        <v>0</v>
      </c>
      <c r="Y37" s="5">
        <v>13</v>
      </c>
      <c r="Z37" s="5">
        <v>12</v>
      </c>
      <c r="AA37" s="5">
        <v>12</v>
      </c>
      <c r="AB37" s="5">
        <v>13</v>
      </c>
      <c r="AC37" s="5">
        <v>1</v>
      </c>
      <c r="AD37" s="5">
        <v>4</v>
      </c>
      <c r="AE37" s="5">
        <v>1</v>
      </c>
      <c r="AF37" s="5">
        <v>5</v>
      </c>
      <c r="AG37" s="5">
        <v>22</v>
      </c>
      <c r="AH37" s="5">
        <v>4</v>
      </c>
      <c r="AI37" s="5">
        <v>9</v>
      </c>
      <c r="AJ37" s="5">
        <v>0</v>
      </c>
      <c r="AK37" s="5">
        <v>0</v>
      </c>
      <c r="AL37" s="5">
        <v>0</v>
      </c>
      <c r="AM37" s="5">
        <f>IF(Tabela2[[#This Row],[gols_mandante]]=Tabela2[[#This Row],[gols_visitante]],1,0)</f>
        <v>1</v>
      </c>
      <c r="AN37" s="5">
        <f>IF(Tabela2[[#This Row],[gols_mandante]]&gt;Tabela2[[#This Row],[gols_visitante]],1,0)</f>
        <v>0</v>
      </c>
      <c r="AO37" s="5">
        <f>IF(Tabela2[[#This Row],[gols_mandante]]&lt;Tabela2[[#This Row],[gols_visitante]],1,0)</f>
        <v>0</v>
      </c>
      <c r="AP37" s="5" t="s">
        <v>152</v>
      </c>
      <c r="AQ37" s="5">
        <v>0</v>
      </c>
    </row>
    <row r="38" spans="1:43" x14ac:dyDescent="0.25">
      <c r="A38" s="3">
        <v>2024</v>
      </c>
      <c r="B38" s="2">
        <v>45412</v>
      </c>
      <c r="C38" s="3">
        <v>4</v>
      </c>
      <c r="D38" s="3">
        <v>55694</v>
      </c>
      <c r="E38" s="3">
        <v>72039</v>
      </c>
      <c r="F38" s="3" t="str">
        <f t="shared" si="0"/>
        <v>20.000-29.999</v>
      </c>
      <c r="G38" s="3">
        <f>Tabela2[[#This Row],[publico]]/Tabela2[[#This Row],[publico_max]]</f>
        <v>0.77310901039714597</v>
      </c>
      <c r="H38" s="3" t="s">
        <v>62</v>
      </c>
      <c r="I38" s="3" t="s">
        <v>95</v>
      </c>
      <c r="J38" s="3">
        <v>14</v>
      </c>
      <c r="K38" s="3" t="str">
        <f t="shared" si="1"/>
        <v>11-15 (mediano)</v>
      </c>
      <c r="L38" s="3">
        <v>12</v>
      </c>
      <c r="M38" s="3">
        <f t="shared" si="2"/>
        <v>-2</v>
      </c>
      <c r="N38" s="3">
        <v>2810</v>
      </c>
      <c r="O38" s="3" t="str">
        <f t="shared" si="3"/>
        <v>1.501–3.500 (mediano)</v>
      </c>
      <c r="P38" s="3">
        <v>13620</v>
      </c>
      <c r="Q38" s="3" t="s">
        <v>137</v>
      </c>
      <c r="R38" s="3" t="s">
        <v>122</v>
      </c>
      <c r="S38" s="3">
        <v>0</v>
      </c>
      <c r="T38" s="3">
        <v>0</v>
      </c>
      <c r="U38" s="3">
        <v>0</v>
      </c>
      <c r="V38" s="3">
        <v>0</v>
      </c>
      <c r="W38" s="3">
        <v>6</v>
      </c>
      <c r="X38" s="3">
        <v>4</v>
      </c>
      <c r="Y38" s="3">
        <v>10</v>
      </c>
      <c r="Z38" s="3">
        <v>20</v>
      </c>
      <c r="AA38" s="3">
        <v>17</v>
      </c>
      <c r="AB38" s="3">
        <v>10</v>
      </c>
      <c r="AC38" s="3">
        <v>2</v>
      </c>
      <c r="AD38" s="3">
        <v>1</v>
      </c>
      <c r="AE38" s="3">
        <v>2</v>
      </c>
      <c r="AF38" s="3">
        <v>3</v>
      </c>
      <c r="AG38" s="3">
        <v>16</v>
      </c>
      <c r="AH38" s="3">
        <v>9</v>
      </c>
      <c r="AI38" s="3">
        <v>8</v>
      </c>
      <c r="AJ38" s="3">
        <v>3</v>
      </c>
      <c r="AK38" s="3">
        <v>0</v>
      </c>
      <c r="AL38" s="3">
        <v>0</v>
      </c>
      <c r="AM38" s="3">
        <f>IF(Tabela2[[#This Row],[gols_mandante]]=Tabela2[[#This Row],[gols_visitante]],1,0)</f>
        <v>1</v>
      </c>
      <c r="AN38" s="3">
        <f>IF(Tabela2[[#This Row],[gols_mandante]]&gt;Tabela2[[#This Row],[gols_visitante]],1,0)</f>
        <v>0</v>
      </c>
      <c r="AO38" s="3">
        <f>IF(Tabela2[[#This Row],[gols_mandante]]&lt;Tabela2[[#This Row],[gols_visitante]],1,0)</f>
        <v>0</v>
      </c>
      <c r="AP38" s="3" t="s">
        <v>154</v>
      </c>
      <c r="AQ38" s="3">
        <v>0</v>
      </c>
    </row>
    <row r="39" spans="1:43" x14ac:dyDescent="0.25">
      <c r="A39" s="5">
        <v>2024</v>
      </c>
      <c r="B39" s="4">
        <v>45416</v>
      </c>
      <c r="C39" s="5">
        <v>5</v>
      </c>
      <c r="D39" s="5">
        <v>14202</v>
      </c>
      <c r="E39" s="5">
        <v>21238</v>
      </c>
      <c r="F39" s="5" t="str">
        <f t="shared" si="0"/>
        <v>&gt;=30.000</v>
      </c>
      <c r="G39" s="5">
        <f>Tabela2[[#This Row],[publico]]/Tabela2[[#This Row],[publico_max]]</f>
        <v>0.66870703456069314</v>
      </c>
      <c r="H39" s="5" t="s">
        <v>55</v>
      </c>
      <c r="I39" s="5" t="s">
        <v>89</v>
      </c>
      <c r="J39" s="5">
        <v>16</v>
      </c>
      <c r="K39" s="3" t="str">
        <f t="shared" si="1"/>
        <v>16-20 (rebaixamento)</v>
      </c>
      <c r="L39" s="5">
        <v>4</v>
      </c>
      <c r="M39" s="3">
        <f t="shared" si="2"/>
        <v>-12</v>
      </c>
      <c r="N39" s="5">
        <v>3575</v>
      </c>
      <c r="O39" s="3" t="str">
        <f t="shared" si="3"/>
        <v>3.501–7.000 (intermediário)</v>
      </c>
      <c r="P39" s="5">
        <v>5720</v>
      </c>
      <c r="Q39" s="5" t="s">
        <v>155</v>
      </c>
      <c r="R39" s="5">
        <v>30</v>
      </c>
      <c r="S39" s="5">
        <v>2</v>
      </c>
      <c r="T39" s="5">
        <v>2</v>
      </c>
      <c r="U39" s="5">
        <v>1</v>
      </c>
      <c r="V39" s="5">
        <v>0</v>
      </c>
      <c r="W39" s="5">
        <v>4</v>
      </c>
      <c r="X39" s="5">
        <v>10</v>
      </c>
      <c r="Y39" s="5">
        <v>11</v>
      </c>
      <c r="Z39" s="5">
        <v>18</v>
      </c>
      <c r="AA39" s="5">
        <v>16</v>
      </c>
      <c r="AB39" s="5">
        <v>11</v>
      </c>
      <c r="AC39" s="5">
        <v>5</v>
      </c>
      <c r="AD39" s="5">
        <v>3</v>
      </c>
      <c r="AE39" s="5">
        <v>0</v>
      </c>
      <c r="AF39" s="5">
        <v>3</v>
      </c>
      <c r="AG39" s="5">
        <v>10</v>
      </c>
      <c r="AH39" s="5">
        <v>19</v>
      </c>
      <c r="AI39" s="5">
        <v>3</v>
      </c>
      <c r="AJ39" s="5">
        <v>6</v>
      </c>
      <c r="AK39" s="5">
        <v>0</v>
      </c>
      <c r="AL39" s="5">
        <v>0</v>
      </c>
      <c r="AM39" s="5">
        <f>IF(Tabela2[[#This Row],[gols_mandante]]=Tabela2[[#This Row],[gols_visitante]],1,0)</f>
        <v>1</v>
      </c>
      <c r="AN39" s="5">
        <f>IF(Tabela2[[#This Row],[gols_mandante]]&gt;Tabela2[[#This Row],[gols_visitante]],1,0)</f>
        <v>0</v>
      </c>
      <c r="AO39" s="5">
        <f>IF(Tabela2[[#This Row],[gols_mandante]]&lt;Tabela2[[#This Row],[gols_visitante]],1,0)</f>
        <v>0</v>
      </c>
      <c r="AP39" s="5" t="s">
        <v>156</v>
      </c>
      <c r="AQ39" s="5">
        <v>0</v>
      </c>
    </row>
    <row r="40" spans="1:43" x14ac:dyDescent="0.25">
      <c r="A40" s="3">
        <v>2024</v>
      </c>
      <c r="B40" s="2">
        <v>45417</v>
      </c>
      <c r="C40" s="3">
        <v>5</v>
      </c>
      <c r="D40" s="3">
        <v>22685</v>
      </c>
      <c r="E40" s="3">
        <v>46931</v>
      </c>
      <c r="F40" s="3" t="str">
        <f t="shared" si="0"/>
        <v>10.000-14.999</v>
      </c>
      <c r="G40" s="3">
        <f>Tabela2[[#This Row],[publico]]/Tabela2[[#This Row],[publico_max]]</f>
        <v>0.48336920159382923</v>
      </c>
      <c r="H40" s="3" t="s">
        <v>51</v>
      </c>
      <c r="I40" s="3" t="s">
        <v>38</v>
      </c>
      <c r="J40" s="3">
        <v>3</v>
      </c>
      <c r="K40" s="3" t="str">
        <f t="shared" si="1"/>
        <v>1-5 (elite)</v>
      </c>
      <c r="L40" s="3">
        <v>2</v>
      </c>
      <c r="M40" s="3">
        <f t="shared" si="2"/>
        <v>-1</v>
      </c>
      <c r="N40" s="3">
        <v>3655</v>
      </c>
      <c r="O40" s="3" t="str">
        <f t="shared" si="3"/>
        <v>3.501–7.000 (intermediário)</v>
      </c>
      <c r="P40" s="3">
        <v>3120</v>
      </c>
      <c r="Q40" s="3" t="s">
        <v>98</v>
      </c>
      <c r="R40" s="3" t="s">
        <v>137</v>
      </c>
      <c r="S40" s="3">
        <v>1</v>
      </c>
      <c r="T40" s="3">
        <v>2</v>
      </c>
      <c r="U40" s="3">
        <v>0</v>
      </c>
      <c r="V40" s="3">
        <v>1</v>
      </c>
      <c r="W40" s="3">
        <v>5</v>
      </c>
      <c r="X40" s="3">
        <v>1</v>
      </c>
      <c r="Y40" s="3">
        <v>10</v>
      </c>
      <c r="Z40" s="3">
        <v>5</v>
      </c>
      <c r="AA40" s="3">
        <v>5</v>
      </c>
      <c r="AB40" s="3">
        <v>8</v>
      </c>
      <c r="AC40" s="3">
        <v>2</v>
      </c>
      <c r="AD40" s="3">
        <v>4</v>
      </c>
      <c r="AE40" s="3">
        <v>6</v>
      </c>
      <c r="AF40" s="3">
        <v>0</v>
      </c>
      <c r="AG40" s="3">
        <v>16</v>
      </c>
      <c r="AH40" s="3">
        <v>10</v>
      </c>
      <c r="AI40" s="3">
        <v>10</v>
      </c>
      <c r="AJ40" s="3">
        <v>5</v>
      </c>
      <c r="AK40" s="3">
        <v>-1</v>
      </c>
      <c r="AL40" s="3">
        <v>0</v>
      </c>
      <c r="AM40" s="3">
        <f>IF(Tabela2[[#This Row],[gols_mandante]]=Tabela2[[#This Row],[gols_visitante]],1,0)</f>
        <v>0</v>
      </c>
      <c r="AN40" s="3">
        <f>IF(Tabela2[[#This Row],[gols_mandante]]&gt;Tabela2[[#This Row],[gols_visitante]],1,0)</f>
        <v>0</v>
      </c>
      <c r="AO40" s="3">
        <f>IF(Tabela2[[#This Row],[gols_mandante]]&lt;Tabela2[[#This Row],[gols_visitante]],1,0)</f>
        <v>1</v>
      </c>
      <c r="AP40" s="3" t="s">
        <v>157</v>
      </c>
      <c r="AQ40" s="3">
        <v>0</v>
      </c>
    </row>
    <row r="41" spans="1:43" x14ac:dyDescent="0.25">
      <c r="A41" s="5">
        <v>2024</v>
      </c>
      <c r="B41" s="4">
        <v>45417</v>
      </c>
      <c r="C41" s="5">
        <v>5</v>
      </c>
      <c r="D41" s="5">
        <v>10781</v>
      </c>
      <c r="E41" s="5">
        <v>42968</v>
      </c>
      <c r="F41" s="5" t="str">
        <f t="shared" si="0"/>
        <v>20.000-29.999</v>
      </c>
      <c r="G41" s="5">
        <f>Tabela2[[#This Row],[publico]]/Tabela2[[#This Row],[publico_max]]</f>
        <v>0.25090765220629307</v>
      </c>
      <c r="H41" s="5" t="s">
        <v>70</v>
      </c>
      <c r="I41" s="5" t="s">
        <v>95</v>
      </c>
      <c r="J41" s="5">
        <v>20</v>
      </c>
      <c r="K41" s="3" t="str">
        <f t="shared" si="1"/>
        <v>16-20 (rebaixamento)</v>
      </c>
      <c r="L41" s="5">
        <v>7</v>
      </c>
      <c r="M41" s="3">
        <f t="shared" si="2"/>
        <v>-13</v>
      </c>
      <c r="N41" s="5">
        <v>1520</v>
      </c>
      <c r="O41" s="3" t="str">
        <f t="shared" si="3"/>
        <v>1.501–3.500 (mediano)</v>
      </c>
      <c r="P41" s="5">
        <v>13670</v>
      </c>
      <c r="Q41" s="5" t="s">
        <v>116</v>
      </c>
      <c r="R41" s="5" t="s">
        <v>122</v>
      </c>
      <c r="S41" s="5">
        <v>0</v>
      </c>
      <c r="T41" s="5">
        <v>2</v>
      </c>
      <c r="U41" s="5">
        <v>0</v>
      </c>
      <c r="V41" s="5">
        <v>1</v>
      </c>
      <c r="W41" s="5">
        <v>6</v>
      </c>
      <c r="X41" s="5">
        <v>6</v>
      </c>
      <c r="Y41" s="5">
        <v>10</v>
      </c>
      <c r="Z41" s="5">
        <v>11</v>
      </c>
      <c r="AA41" s="5">
        <v>9</v>
      </c>
      <c r="AB41" s="5">
        <v>10</v>
      </c>
      <c r="AC41" s="5">
        <v>4</v>
      </c>
      <c r="AD41" s="5">
        <v>1</v>
      </c>
      <c r="AE41" s="5">
        <v>2</v>
      </c>
      <c r="AF41" s="5">
        <v>1</v>
      </c>
      <c r="AG41" s="5">
        <v>9</v>
      </c>
      <c r="AH41" s="5">
        <v>15</v>
      </c>
      <c r="AI41" s="5">
        <v>6</v>
      </c>
      <c r="AJ41" s="5">
        <v>6</v>
      </c>
      <c r="AK41" s="5">
        <v>-2</v>
      </c>
      <c r="AL41" s="5">
        <v>0</v>
      </c>
      <c r="AM41" s="5">
        <f>IF(Tabela2[[#This Row],[gols_mandante]]=Tabela2[[#This Row],[gols_visitante]],1,0)</f>
        <v>0</v>
      </c>
      <c r="AN41" s="5">
        <f>IF(Tabela2[[#This Row],[gols_mandante]]&gt;Tabela2[[#This Row],[gols_visitante]],1,0)</f>
        <v>0</v>
      </c>
      <c r="AO41" s="5">
        <f>IF(Tabela2[[#This Row],[gols_mandante]]&lt;Tabela2[[#This Row],[gols_visitante]],1,0)</f>
        <v>1</v>
      </c>
      <c r="AP41" s="5" t="s">
        <v>159</v>
      </c>
      <c r="AQ41" s="5">
        <v>0</v>
      </c>
    </row>
    <row r="42" spans="1:43" x14ac:dyDescent="0.25">
      <c r="A42" s="3">
        <v>2024</v>
      </c>
      <c r="B42" s="2">
        <v>45417</v>
      </c>
      <c r="C42" s="3">
        <v>5</v>
      </c>
      <c r="D42" s="3">
        <v>25739</v>
      </c>
      <c r="E42" s="3">
        <v>30618</v>
      </c>
      <c r="F42" s="3" t="str">
        <f t="shared" si="0"/>
        <v>10.000-14.999</v>
      </c>
      <c r="G42" s="3">
        <f>Tabela2[[#This Row],[publico]]/Tabela2[[#This Row],[publico_max]]</f>
        <v>0.84064929126657517</v>
      </c>
      <c r="H42" s="3" t="s">
        <v>94</v>
      </c>
      <c r="I42" s="3" t="s">
        <v>62</v>
      </c>
      <c r="J42" s="3">
        <v>18</v>
      </c>
      <c r="K42" s="3" t="str">
        <f t="shared" si="1"/>
        <v>16-20 (rebaixamento)</v>
      </c>
      <c r="L42" s="3">
        <v>12</v>
      </c>
      <c r="M42" s="3">
        <f t="shared" si="2"/>
        <v>-6</v>
      </c>
      <c r="N42" s="3">
        <v>688</v>
      </c>
      <c r="O42" s="3" t="str">
        <f t="shared" si="3"/>
        <v>1–1.500 (rebaixamento)</v>
      </c>
      <c r="P42" s="3">
        <v>3110</v>
      </c>
      <c r="Q42" s="3" t="s">
        <v>100</v>
      </c>
      <c r="R42" s="3" t="s">
        <v>129</v>
      </c>
      <c r="S42" s="3">
        <v>1</v>
      </c>
      <c r="T42" s="3">
        <v>3</v>
      </c>
      <c r="U42" s="3">
        <v>0</v>
      </c>
      <c r="V42" s="3">
        <v>1</v>
      </c>
      <c r="W42" s="3">
        <v>3</v>
      </c>
      <c r="X42" s="3">
        <v>8</v>
      </c>
      <c r="Y42" s="3">
        <v>10</v>
      </c>
      <c r="Z42" s="3">
        <v>13</v>
      </c>
      <c r="AA42" s="3">
        <v>13</v>
      </c>
      <c r="AB42" s="3">
        <v>9</v>
      </c>
      <c r="AC42" s="3">
        <v>3</v>
      </c>
      <c r="AD42" s="3">
        <v>1</v>
      </c>
      <c r="AE42" s="3">
        <v>0</v>
      </c>
      <c r="AF42" s="3">
        <v>2</v>
      </c>
      <c r="AG42" s="3">
        <v>6</v>
      </c>
      <c r="AH42" s="3">
        <v>20</v>
      </c>
      <c r="AI42" s="3">
        <v>1</v>
      </c>
      <c r="AJ42" s="3">
        <v>8</v>
      </c>
      <c r="AK42" s="3">
        <v>-2</v>
      </c>
      <c r="AL42" s="3">
        <v>0</v>
      </c>
      <c r="AM42" s="3">
        <f>IF(Tabela2[[#This Row],[gols_mandante]]=Tabela2[[#This Row],[gols_visitante]],1,0)</f>
        <v>0</v>
      </c>
      <c r="AN42" s="3">
        <f>IF(Tabela2[[#This Row],[gols_mandante]]&gt;Tabela2[[#This Row],[gols_visitante]],1,0)</f>
        <v>0</v>
      </c>
      <c r="AO42" s="3">
        <f>IF(Tabela2[[#This Row],[gols_mandante]]&lt;Tabela2[[#This Row],[gols_visitante]],1,0)</f>
        <v>1</v>
      </c>
      <c r="AP42" s="3" t="s">
        <v>136</v>
      </c>
      <c r="AQ42" s="3">
        <v>1</v>
      </c>
    </row>
    <row r="43" spans="1:43" x14ac:dyDescent="0.25">
      <c r="A43" s="5">
        <v>2024</v>
      </c>
      <c r="B43" s="4">
        <v>45417</v>
      </c>
      <c r="C43" s="5">
        <v>5</v>
      </c>
      <c r="D43" s="5">
        <v>31192</v>
      </c>
      <c r="E43" s="5">
        <v>42372</v>
      </c>
      <c r="F43" s="5" t="str">
        <f t="shared" si="0"/>
        <v>20.000-29.999</v>
      </c>
      <c r="G43" s="5">
        <f>Tabela2[[#This Row],[publico]]/Tabela2[[#This Row],[publico_max]]</f>
        <v>0.73614651184744639</v>
      </c>
      <c r="H43" s="5" t="s">
        <v>69</v>
      </c>
      <c r="I43" s="5" t="s">
        <v>82</v>
      </c>
      <c r="J43" s="5">
        <v>1</v>
      </c>
      <c r="K43" s="3" t="str">
        <f t="shared" si="1"/>
        <v>1-5 (elite)</v>
      </c>
      <c r="L43" s="5">
        <v>17</v>
      </c>
      <c r="M43" s="3">
        <f t="shared" si="2"/>
        <v>16</v>
      </c>
      <c r="N43" s="5">
        <v>4065</v>
      </c>
      <c r="O43" s="3" t="str">
        <f t="shared" si="3"/>
        <v>3.501–7.000 (intermediário)</v>
      </c>
      <c r="P43" s="5">
        <v>2225</v>
      </c>
      <c r="Q43" s="5" t="s">
        <v>104</v>
      </c>
      <c r="R43" s="5" t="s">
        <v>100</v>
      </c>
      <c r="S43" s="5">
        <v>1</v>
      </c>
      <c r="T43" s="5">
        <v>0</v>
      </c>
      <c r="U43" s="5">
        <v>1</v>
      </c>
      <c r="V43" s="5">
        <v>0</v>
      </c>
      <c r="W43" s="5">
        <v>6</v>
      </c>
      <c r="X43" s="5">
        <v>5</v>
      </c>
      <c r="Y43" s="5">
        <v>11</v>
      </c>
      <c r="Z43" s="5">
        <v>9</v>
      </c>
      <c r="AA43" s="5">
        <v>9</v>
      </c>
      <c r="AB43" s="5">
        <v>11</v>
      </c>
      <c r="AC43" s="5">
        <v>2</v>
      </c>
      <c r="AD43" s="5">
        <v>6</v>
      </c>
      <c r="AE43" s="5">
        <v>3</v>
      </c>
      <c r="AF43" s="5">
        <v>3</v>
      </c>
      <c r="AG43" s="5">
        <v>26</v>
      </c>
      <c r="AH43" s="5">
        <v>7</v>
      </c>
      <c r="AI43" s="5">
        <v>13</v>
      </c>
      <c r="AJ43" s="5">
        <v>6</v>
      </c>
      <c r="AK43" s="5">
        <v>1</v>
      </c>
      <c r="AL43" s="5">
        <v>1</v>
      </c>
      <c r="AM43" s="5">
        <f>IF(Tabela2[[#This Row],[gols_mandante]]=Tabela2[[#This Row],[gols_visitante]],1,0)</f>
        <v>0</v>
      </c>
      <c r="AN43" s="5">
        <f>IF(Tabela2[[#This Row],[gols_mandante]]&gt;Tabela2[[#This Row],[gols_visitante]],1,0)</f>
        <v>1</v>
      </c>
      <c r="AO43" s="5">
        <f>IF(Tabela2[[#This Row],[gols_mandante]]&lt;Tabela2[[#This Row],[gols_visitante]],1,0)</f>
        <v>0</v>
      </c>
      <c r="AP43" s="5" t="s">
        <v>161</v>
      </c>
      <c r="AQ43" s="5">
        <v>0</v>
      </c>
    </row>
    <row r="44" spans="1:43" x14ac:dyDescent="0.25">
      <c r="A44" s="3">
        <v>2024</v>
      </c>
      <c r="B44" s="2">
        <v>45449</v>
      </c>
      <c r="C44" s="3">
        <v>5</v>
      </c>
      <c r="D44" s="3">
        <v>5123</v>
      </c>
      <c r="E44" s="3">
        <v>23726</v>
      </c>
      <c r="F44" s="3" t="str">
        <f t="shared" si="0"/>
        <v>&gt;=30.000</v>
      </c>
      <c r="G44" s="3">
        <f>Tabela2[[#This Row],[publico]]/Tabela2[[#This Row],[publico_max]]</f>
        <v>0.21592345949591166</v>
      </c>
      <c r="H44" s="3" t="s">
        <v>44</v>
      </c>
      <c r="I44" s="3" t="s">
        <v>76</v>
      </c>
      <c r="J44" s="3">
        <v>11</v>
      </c>
      <c r="K44" s="3" t="str">
        <f t="shared" si="1"/>
        <v>11-15 (mediano)</v>
      </c>
      <c r="L44" s="3">
        <v>19</v>
      </c>
      <c r="M44" s="3">
        <f t="shared" si="2"/>
        <v>8</v>
      </c>
      <c r="N44" s="3">
        <v>810</v>
      </c>
      <c r="O44" s="3" t="str">
        <f t="shared" si="3"/>
        <v>1–1.500 (rebaixamento)</v>
      </c>
      <c r="P44" s="3">
        <v>750</v>
      </c>
      <c r="Q44" s="3" t="s">
        <v>105</v>
      </c>
      <c r="R44" s="3" t="s">
        <v>128</v>
      </c>
      <c r="S44" s="3">
        <v>1</v>
      </c>
      <c r="T44" s="3">
        <v>0</v>
      </c>
      <c r="U44" s="3">
        <v>1</v>
      </c>
      <c r="V44" s="3">
        <v>0</v>
      </c>
      <c r="W44" s="3">
        <v>4</v>
      </c>
      <c r="X44" s="3">
        <v>7</v>
      </c>
      <c r="Y44" s="3">
        <v>13</v>
      </c>
      <c r="Z44" s="3">
        <v>12</v>
      </c>
      <c r="AA44" s="3">
        <v>11</v>
      </c>
      <c r="AB44" s="3">
        <v>12</v>
      </c>
      <c r="AC44" s="3">
        <v>5</v>
      </c>
      <c r="AD44" s="3">
        <v>1</v>
      </c>
      <c r="AE44" s="3">
        <v>1</v>
      </c>
      <c r="AF44" s="3">
        <v>1</v>
      </c>
      <c r="AG44" s="3">
        <v>8</v>
      </c>
      <c r="AH44" s="3">
        <v>22</v>
      </c>
      <c r="AI44" s="3">
        <v>5</v>
      </c>
      <c r="AJ44" s="3">
        <v>9</v>
      </c>
      <c r="AK44" s="3">
        <v>1</v>
      </c>
      <c r="AL44" s="3">
        <v>1</v>
      </c>
      <c r="AM44" s="3">
        <f>IF(Tabela2[[#This Row],[gols_mandante]]=Tabela2[[#This Row],[gols_visitante]],1,0)</f>
        <v>0</v>
      </c>
      <c r="AN44" s="3">
        <f>IF(Tabela2[[#This Row],[gols_mandante]]&gt;Tabela2[[#This Row],[gols_visitante]],1,0)</f>
        <v>1</v>
      </c>
      <c r="AO44" s="3">
        <f>IF(Tabela2[[#This Row],[gols_mandante]]&lt;Tabela2[[#This Row],[gols_visitante]],1,0)</f>
        <v>0</v>
      </c>
      <c r="AP44" s="3" t="s">
        <v>162</v>
      </c>
      <c r="AQ44" s="3">
        <v>1</v>
      </c>
    </row>
    <row r="45" spans="1:43" x14ac:dyDescent="0.25">
      <c r="A45" s="5">
        <v>2024</v>
      </c>
      <c r="B45" s="4">
        <v>45533</v>
      </c>
      <c r="C45" s="5">
        <v>5</v>
      </c>
      <c r="D45" s="5">
        <v>35238</v>
      </c>
      <c r="E45" s="5">
        <v>61927</v>
      </c>
      <c r="F45" s="5" t="str">
        <f t="shared" si="0"/>
        <v>5.000-9.999</v>
      </c>
      <c r="G45" s="5">
        <f>Tabela2[[#This Row],[publico]]/Tabela2[[#This Row],[publico_max]]</f>
        <v>0.56902481954559403</v>
      </c>
      <c r="H45" s="5" t="s">
        <v>50</v>
      </c>
      <c r="I45" s="5" t="s">
        <v>37</v>
      </c>
      <c r="J45" s="5">
        <v>9</v>
      </c>
      <c r="K45" s="3" t="str">
        <f t="shared" si="1"/>
        <v>6-10 (intermediário)</v>
      </c>
      <c r="L45" s="5">
        <v>8</v>
      </c>
      <c r="M45" s="3">
        <f t="shared" si="2"/>
        <v>-1</v>
      </c>
      <c r="N45" s="5">
        <v>4120</v>
      </c>
      <c r="O45" s="3" t="str">
        <f t="shared" si="3"/>
        <v>3.501–7.000 (intermediário)</v>
      </c>
      <c r="P45" s="5">
        <v>3045</v>
      </c>
      <c r="Q45" s="5">
        <v>28</v>
      </c>
      <c r="R45" s="5" t="s">
        <v>163</v>
      </c>
      <c r="S45" s="5">
        <v>0</v>
      </c>
      <c r="T45" s="5">
        <v>0</v>
      </c>
      <c r="U45" s="5">
        <v>0</v>
      </c>
      <c r="V45" s="5">
        <v>0</v>
      </c>
      <c r="W45" s="5">
        <v>10</v>
      </c>
      <c r="X45" s="5">
        <v>3</v>
      </c>
      <c r="Y45" s="5">
        <v>12</v>
      </c>
      <c r="Z45" s="5">
        <v>13</v>
      </c>
      <c r="AA45" s="5">
        <v>12</v>
      </c>
      <c r="AB45" s="5">
        <v>11</v>
      </c>
      <c r="AC45" s="5">
        <v>0</v>
      </c>
      <c r="AD45" s="5">
        <v>4</v>
      </c>
      <c r="AE45" s="5">
        <v>1</v>
      </c>
      <c r="AF45" s="5">
        <v>1</v>
      </c>
      <c r="AG45" s="5">
        <v>19</v>
      </c>
      <c r="AH45" s="5">
        <v>1</v>
      </c>
      <c r="AI45" s="5">
        <v>12</v>
      </c>
      <c r="AJ45" s="5">
        <v>1</v>
      </c>
      <c r="AK45" s="5">
        <v>0</v>
      </c>
      <c r="AL45" s="5">
        <v>0</v>
      </c>
      <c r="AM45" s="5">
        <f>IF(Tabela2[[#This Row],[gols_mandante]]=Tabela2[[#This Row],[gols_visitante]],1,0)</f>
        <v>1</v>
      </c>
      <c r="AN45" s="5">
        <f>IF(Tabela2[[#This Row],[gols_mandante]]&gt;Tabela2[[#This Row],[gols_visitante]],1,0)</f>
        <v>0</v>
      </c>
      <c r="AO45" s="5">
        <f>IF(Tabela2[[#This Row],[gols_mandante]]&lt;Tabela2[[#This Row],[gols_visitante]],1,0)</f>
        <v>0</v>
      </c>
      <c r="AP45" s="5" t="s">
        <v>162</v>
      </c>
      <c r="AQ45" s="5">
        <v>0</v>
      </c>
    </row>
    <row r="46" spans="1:43" x14ac:dyDescent="0.25">
      <c r="A46" s="3">
        <v>2024</v>
      </c>
      <c r="B46" s="2">
        <v>45561</v>
      </c>
      <c r="C46" s="3">
        <v>5</v>
      </c>
      <c r="D46" s="3">
        <v>18457</v>
      </c>
      <c r="E46" s="3">
        <v>60540</v>
      </c>
      <c r="F46" s="3" t="str">
        <f t="shared" si="0"/>
        <v>&gt;=30.000</v>
      </c>
      <c r="G46" s="3">
        <f>Tabela2[[#This Row],[publico]]/Tabela2[[#This Row],[publico_max]]</f>
        <v>0.30487281136438721</v>
      </c>
      <c r="H46" s="3" t="s">
        <v>83</v>
      </c>
      <c r="I46" s="3" t="s">
        <v>43</v>
      </c>
      <c r="J46" s="3">
        <v>14</v>
      </c>
      <c r="K46" s="3" t="str">
        <f t="shared" si="1"/>
        <v>11-15 (mediano)</v>
      </c>
      <c r="L46" s="3">
        <v>5</v>
      </c>
      <c r="M46" s="3">
        <f t="shared" si="2"/>
        <v>-9</v>
      </c>
      <c r="N46" s="3">
        <v>4120</v>
      </c>
      <c r="O46" s="3" t="str">
        <f t="shared" si="3"/>
        <v>3.501–7.000 (intermediário)</v>
      </c>
      <c r="P46" s="3">
        <v>735</v>
      </c>
      <c r="Q46" s="3" t="s">
        <v>86</v>
      </c>
      <c r="R46" s="3" t="s">
        <v>144</v>
      </c>
      <c r="S46" s="3">
        <v>1</v>
      </c>
      <c r="T46" s="3">
        <v>2</v>
      </c>
      <c r="U46" s="3">
        <v>0</v>
      </c>
      <c r="V46" s="3">
        <v>1</v>
      </c>
      <c r="W46" s="3">
        <v>6</v>
      </c>
      <c r="X46" s="3">
        <v>3</v>
      </c>
      <c r="Y46" s="3">
        <v>8</v>
      </c>
      <c r="Z46" s="3">
        <v>12</v>
      </c>
      <c r="AA46" s="3">
        <v>12</v>
      </c>
      <c r="AB46" s="3">
        <v>6</v>
      </c>
      <c r="AC46" s="3">
        <v>2</v>
      </c>
      <c r="AD46" s="3">
        <v>2</v>
      </c>
      <c r="AE46" s="3">
        <v>0</v>
      </c>
      <c r="AF46" s="3">
        <v>1</v>
      </c>
      <c r="AG46" s="3">
        <v>15</v>
      </c>
      <c r="AH46" s="3">
        <v>11</v>
      </c>
      <c r="AI46" s="3">
        <v>6</v>
      </c>
      <c r="AJ46" s="3">
        <v>5</v>
      </c>
      <c r="AK46" s="3">
        <v>-1</v>
      </c>
      <c r="AL46" s="3">
        <v>0</v>
      </c>
      <c r="AM46" s="3">
        <f>IF(Tabela2[[#This Row],[gols_mandante]]=Tabela2[[#This Row],[gols_visitante]],1,0)</f>
        <v>0</v>
      </c>
      <c r="AN46" s="3">
        <f>IF(Tabela2[[#This Row],[gols_mandante]]&gt;Tabela2[[#This Row],[gols_visitante]],1,0)</f>
        <v>0</v>
      </c>
      <c r="AO46" s="3">
        <f>IF(Tabela2[[#This Row],[gols_mandante]]&lt;Tabela2[[#This Row],[gols_visitante]],1,0)</f>
        <v>1</v>
      </c>
      <c r="AP46" s="3" t="s">
        <v>164</v>
      </c>
      <c r="AQ46" s="3">
        <v>0</v>
      </c>
    </row>
    <row r="47" spans="1:43" x14ac:dyDescent="0.25">
      <c r="A47" s="5">
        <v>2024</v>
      </c>
      <c r="B47" s="4">
        <v>45423</v>
      </c>
      <c r="C47" s="5">
        <v>6</v>
      </c>
      <c r="D47" s="5">
        <v>56829</v>
      </c>
      <c r="E47" s="5">
        <v>78838</v>
      </c>
      <c r="F47" s="5" t="str">
        <f t="shared" si="0"/>
        <v>15.000-19.999</v>
      </c>
      <c r="G47" s="5">
        <f>Tabela2[[#This Row],[publico]]/Tabela2[[#This Row],[publico_max]]</f>
        <v>0.72083259341941708</v>
      </c>
      <c r="H47" s="5" t="s">
        <v>77</v>
      </c>
      <c r="I47" s="5" t="s">
        <v>88</v>
      </c>
      <c r="J47" s="5">
        <v>4</v>
      </c>
      <c r="K47" s="3" t="str">
        <f t="shared" si="1"/>
        <v>1-5 (elite)</v>
      </c>
      <c r="L47" s="5">
        <v>16</v>
      </c>
      <c r="M47" s="3">
        <f t="shared" si="2"/>
        <v>12</v>
      </c>
      <c r="N47" s="5">
        <v>9570</v>
      </c>
      <c r="O47" s="3" t="str">
        <f t="shared" si="3"/>
        <v>7.001+ (elite)</v>
      </c>
      <c r="P47" s="5">
        <v>2590</v>
      </c>
      <c r="Q47" s="5">
        <v>27</v>
      </c>
      <c r="R47" s="5" t="s">
        <v>41</v>
      </c>
      <c r="S47" s="5">
        <v>2</v>
      </c>
      <c r="T47" s="5">
        <v>0</v>
      </c>
      <c r="U47" s="5">
        <v>1</v>
      </c>
      <c r="V47" s="5">
        <v>0</v>
      </c>
      <c r="W47" s="5">
        <v>13</v>
      </c>
      <c r="X47" s="5">
        <v>6</v>
      </c>
      <c r="Y47" s="5">
        <v>12</v>
      </c>
      <c r="Z47" s="5">
        <v>16</v>
      </c>
      <c r="AA47" s="5">
        <v>16</v>
      </c>
      <c r="AB47" s="5">
        <v>11</v>
      </c>
      <c r="AC47" s="5">
        <v>3</v>
      </c>
      <c r="AD47" s="5">
        <v>8</v>
      </c>
      <c r="AE47" s="5">
        <v>1</v>
      </c>
      <c r="AF47" s="5">
        <v>1</v>
      </c>
      <c r="AG47" s="5">
        <v>18</v>
      </c>
      <c r="AH47" s="5">
        <v>13</v>
      </c>
      <c r="AI47" s="5">
        <v>4</v>
      </c>
      <c r="AJ47" s="5">
        <v>5</v>
      </c>
      <c r="AK47" s="5">
        <v>2</v>
      </c>
      <c r="AL47" s="5">
        <v>1</v>
      </c>
      <c r="AM47" s="5">
        <f>IF(Tabela2[[#This Row],[gols_mandante]]=Tabela2[[#This Row],[gols_visitante]],1,0)</f>
        <v>0</v>
      </c>
      <c r="AN47" s="5">
        <f>IF(Tabela2[[#This Row],[gols_mandante]]&gt;Tabela2[[#This Row],[gols_visitante]],1,0)</f>
        <v>1</v>
      </c>
      <c r="AO47" s="5">
        <f>IF(Tabela2[[#This Row],[gols_mandante]]&lt;Tabela2[[#This Row],[gols_visitante]],1,0)</f>
        <v>0</v>
      </c>
      <c r="AP47" s="5" t="s">
        <v>165</v>
      </c>
      <c r="AQ47" s="5">
        <v>0</v>
      </c>
    </row>
    <row r="48" spans="1:43" x14ac:dyDescent="0.25">
      <c r="A48" s="3">
        <v>2024</v>
      </c>
      <c r="B48" s="2">
        <v>45424</v>
      </c>
      <c r="C48" s="3">
        <v>6</v>
      </c>
      <c r="D48" s="3">
        <v>15914</v>
      </c>
      <c r="E48" s="3">
        <v>60326</v>
      </c>
      <c r="F48" s="3" t="str">
        <f t="shared" si="0"/>
        <v>&gt;=30.000</v>
      </c>
      <c r="G48" s="3">
        <f>Tabela2[[#This Row],[publico]]/Tabela2[[#This Row],[publico_max]]</f>
        <v>0.26380001989192059</v>
      </c>
      <c r="H48" s="3" t="s">
        <v>63</v>
      </c>
      <c r="I48" s="3" t="s">
        <v>51</v>
      </c>
      <c r="J48" s="3">
        <v>13</v>
      </c>
      <c r="K48" s="3" t="str">
        <f t="shared" si="1"/>
        <v>11-15 (mediano)</v>
      </c>
      <c r="L48" s="3">
        <v>7</v>
      </c>
      <c r="M48" s="3">
        <f t="shared" si="2"/>
        <v>-6</v>
      </c>
      <c r="N48" s="3">
        <v>1495</v>
      </c>
      <c r="O48" s="3" t="str">
        <f t="shared" si="3"/>
        <v>1–1.500 (rebaixamento)</v>
      </c>
      <c r="P48" s="3">
        <v>3210</v>
      </c>
      <c r="Q48" s="3" t="s">
        <v>166</v>
      </c>
      <c r="R48" s="3" t="s">
        <v>120</v>
      </c>
      <c r="S48" s="3">
        <v>1</v>
      </c>
      <c r="T48" s="3">
        <v>1</v>
      </c>
      <c r="U48" s="3">
        <v>1</v>
      </c>
      <c r="V48" s="3">
        <v>1</v>
      </c>
      <c r="W48" s="3">
        <v>6</v>
      </c>
      <c r="X48" s="3">
        <v>5</v>
      </c>
      <c r="Y48" s="3">
        <v>12</v>
      </c>
      <c r="Z48" s="3">
        <v>19</v>
      </c>
      <c r="AA48" s="3">
        <v>18</v>
      </c>
      <c r="AB48" s="3">
        <v>10</v>
      </c>
      <c r="AC48" s="3">
        <v>4</v>
      </c>
      <c r="AD48" s="3">
        <v>2</v>
      </c>
      <c r="AE48" s="3">
        <v>5</v>
      </c>
      <c r="AF48" s="3">
        <v>0</v>
      </c>
      <c r="AG48" s="3">
        <v>10</v>
      </c>
      <c r="AH48" s="3">
        <v>11</v>
      </c>
      <c r="AI48" s="3">
        <v>5</v>
      </c>
      <c r="AJ48" s="3">
        <v>5</v>
      </c>
      <c r="AK48" s="3">
        <v>0</v>
      </c>
      <c r="AL48" s="3">
        <v>0</v>
      </c>
      <c r="AM48" s="3">
        <f>IF(Tabela2[[#This Row],[gols_mandante]]=Tabela2[[#This Row],[gols_visitante]],1,0)</f>
        <v>1</v>
      </c>
      <c r="AN48" s="3">
        <f>IF(Tabela2[[#This Row],[gols_mandante]]&gt;Tabela2[[#This Row],[gols_visitante]],1,0)</f>
        <v>0</v>
      </c>
      <c r="AO48" s="3">
        <f>IF(Tabela2[[#This Row],[gols_mandante]]&lt;Tabela2[[#This Row],[gols_visitante]],1,0)</f>
        <v>0</v>
      </c>
      <c r="AP48" s="3" t="s">
        <v>167</v>
      </c>
      <c r="AQ48" s="3">
        <v>0</v>
      </c>
    </row>
    <row r="49" spans="1:43" x14ac:dyDescent="0.25">
      <c r="A49" s="5">
        <v>2024</v>
      </c>
      <c r="B49" s="4">
        <v>45424</v>
      </c>
      <c r="C49" s="5">
        <v>6</v>
      </c>
      <c r="D49" s="5">
        <v>11084</v>
      </c>
      <c r="E49" s="5">
        <v>24584</v>
      </c>
      <c r="F49" s="5" t="str">
        <f t="shared" si="0"/>
        <v>15.000-19.999</v>
      </c>
      <c r="G49" s="5">
        <f>Tabela2[[#This Row],[publico]]/Tabela2[[#This Row],[publico_max]]</f>
        <v>0.45086234949560688</v>
      </c>
      <c r="H49" s="5" t="s">
        <v>82</v>
      </c>
      <c r="I49" s="5" t="s">
        <v>94</v>
      </c>
      <c r="J49" s="5">
        <v>15</v>
      </c>
      <c r="K49" s="3" t="str">
        <f t="shared" si="1"/>
        <v>11-15 (mediano)</v>
      </c>
      <c r="L49" s="5">
        <v>19</v>
      </c>
      <c r="M49" s="3">
        <f t="shared" si="2"/>
        <v>4</v>
      </c>
      <c r="N49" s="5">
        <v>3085</v>
      </c>
      <c r="O49" s="3" t="str">
        <f t="shared" si="3"/>
        <v>1.501–3.500 (mediano)</v>
      </c>
      <c r="P49" s="5">
        <v>1250</v>
      </c>
      <c r="Q49" s="5" t="s">
        <v>111</v>
      </c>
      <c r="R49" s="5" t="s">
        <v>151</v>
      </c>
      <c r="S49" s="5">
        <v>2</v>
      </c>
      <c r="T49" s="5">
        <v>1</v>
      </c>
      <c r="U49" s="5">
        <v>0</v>
      </c>
      <c r="V49" s="5">
        <v>0</v>
      </c>
      <c r="W49" s="5">
        <v>4</v>
      </c>
      <c r="X49" s="5">
        <v>4</v>
      </c>
      <c r="Y49" s="5">
        <v>12</v>
      </c>
      <c r="Z49" s="5">
        <v>12</v>
      </c>
      <c r="AA49" s="5">
        <v>12</v>
      </c>
      <c r="AB49" s="5">
        <v>12</v>
      </c>
      <c r="AC49" s="5">
        <v>4</v>
      </c>
      <c r="AD49" s="5">
        <v>6</v>
      </c>
      <c r="AE49" s="5">
        <v>1</v>
      </c>
      <c r="AF49" s="5">
        <v>0</v>
      </c>
      <c r="AG49" s="5">
        <v>17</v>
      </c>
      <c r="AH49" s="5">
        <v>13</v>
      </c>
      <c r="AI49" s="5">
        <v>3</v>
      </c>
      <c r="AJ49" s="5">
        <v>5</v>
      </c>
      <c r="AK49" s="5">
        <v>1</v>
      </c>
      <c r="AL49" s="5">
        <v>1</v>
      </c>
      <c r="AM49" s="5">
        <f>IF(Tabela2[[#This Row],[gols_mandante]]=Tabela2[[#This Row],[gols_visitante]],1,0)</f>
        <v>0</v>
      </c>
      <c r="AN49" s="5">
        <f>IF(Tabela2[[#This Row],[gols_mandante]]&gt;Tabela2[[#This Row],[gols_visitante]],1,0)</f>
        <v>1</v>
      </c>
      <c r="AO49" s="5">
        <f>IF(Tabela2[[#This Row],[gols_mandante]]&lt;Tabela2[[#This Row],[gols_visitante]],1,0)</f>
        <v>0</v>
      </c>
      <c r="AP49" s="5" t="s">
        <v>131</v>
      </c>
      <c r="AQ49" s="5">
        <v>0</v>
      </c>
    </row>
    <row r="50" spans="1:43" x14ac:dyDescent="0.25">
      <c r="A50" s="3">
        <v>2024</v>
      </c>
      <c r="B50" s="2">
        <v>45424</v>
      </c>
      <c r="C50" s="3">
        <v>6</v>
      </c>
      <c r="D50" s="3">
        <v>12108</v>
      </c>
      <c r="E50" s="3">
        <v>32713</v>
      </c>
      <c r="F50" s="3" t="str">
        <f t="shared" si="0"/>
        <v>10.000-14.999</v>
      </c>
      <c r="G50" s="3">
        <f>Tabela2[[#This Row],[publico]]/Tabela2[[#This Row],[publico_max]]</f>
        <v>0.37012808363647481</v>
      </c>
      <c r="H50" s="3" t="s">
        <v>95</v>
      </c>
      <c r="I50" s="3" t="s">
        <v>69</v>
      </c>
      <c r="J50" s="3">
        <v>11</v>
      </c>
      <c r="K50" s="3" t="str">
        <f t="shared" si="1"/>
        <v>11-15 (mediano)</v>
      </c>
      <c r="L50" s="3">
        <v>1</v>
      </c>
      <c r="M50" s="3">
        <f t="shared" si="2"/>
        <v>-10</v>
      </c>
      <c r="N50" s="3">
        <v>13600</v>
      </c>
      <c r="O50" s="3" t="str">
        <f t="shared" si="3"/>
        <v>7.001+ (elite)</v>
      </c>
      <c r="P50" s="3">
        <v>3685</v>
      </c>
      <c r="Q50" s="3" t="s">
        <v>41</v>
      </c>
      <c r="R50" s="3" t="s">
        <v>168</v>
      </c>
      <c r="S50" s="3">
        <v>0</v>
      </c>
      <c r="T50" s="3">
        <v>2</v>
      </c>
      <c r="U50" s="3">
        <v>0</v>
      </c>
      <c r="V50" s="3">
        <v>1</v>
      </c>
      <c r="W50" s="3">
        <v>9</v>
      </c>
      <c r="X50" s="3">
        <v>6</v>
      </c>
      <c r="Y50" s="3">
        <v>11</v>
      </c>
      <c r="Z50" s="3">
        <v>17</v>
      </c>
      <c r="AA50" s="3">
        <v>17</v>
      </c>
      <c r="AB50" s="3">
        <v>9</v>
      </c>
      <c r="AC50" s="3">
        <v>5</v>
      </c>
      <c r="AD50" s="3">
        <v>5</v>
      </c>
      <c r="AE50" s="3">
        <v>1</v>
      </c>
      <c r="AF50" s="3">
        <v>1</v>
      </c>
      <c r="AG50" s="3">
        <v>23</v>
      </c>
      <c r="AH50" s="3">
        <v>11</v>
      </c>
      <c r="AI50" s="3">
        <v>11</v>
      </c>
      <c r="AJ50" s="3">
        <v>2</v>
      </c>
      <c r="AK50" s="3">
        <v>-2</v>
      </c>
      <c r="AL50" s="3">
        <v>0</v>
      </c>
      <c r="AM50" s="3">
        <f>IF(Tabela2[[#This Row],[gols_mandante]]=Tabela2[[#This Row],[gols_visitante]],1,0)</f>
        <v>0</v>
      </c>
      <c r="AN50" s="3">
        <f>IF(Tabela2[[#This Row],[gols_mandante]]&gt;Tabela2[[#This Row],[gols_visitante]],1,0)</f>
        <v>0</v>
      </c>
      <c r="AO50" s="3">
        <f>IF(Tabela2[[#This Row],[gols_mandante]]&lt;Tabela2[[#This Row],[gols_visitante]],1,0)</f>
        <v>1</v>
      </c>
      <c r="AP50" s="3" t="s">
        <v>169</v>
      </c>
      <c r="AQ50" s="3">
        <v>0</v>
      </c>
    </row>
    <row r="51" spans="1:43" x14ac:dyDescent="0.25">
      <c r="A51" s="5">
        <v>2024</v>
      </c>
      <c r="B51" s="4">
        <v>45424</v>
      </c>
      <c r="C51" s="5">
        <v>6</v>
      </c>
      <c r="D51" s="5">
        <v>7576</v>
      </c>
      <c r="E51" s="5">
        <v>13000</v>
      </c>
      <c r="F51" s="5" t="str">
        <f t="shared" si="0"/>
        <v>10.000-14.999</v>
      </c>
      <c r="G51" s="5">
        <f>Tabela2[[#This Row],[publico]]/Tabela2[[#This Row],[publico_max]]</f>
        <v>0.58276923076923082</v>
      </c>
      <c r="H51" s="5" t="s">
        <v>76</v>
      </c>
      <c r="I51" s="5" t="s">
        <v>50</v>
      </c>
      <c r="J51" s="5">
        <v>20</v>
      </c>
      <c r="K51" s="3" t="str">
        <f t="shared" si="1"/>
        <v>16-20 (rebaixamento)</v>
      </c>
      <c r="L51" s="5">
        <v>6</v>
      </c>
      <c r="M51" s="3">
        <f t="shared" si="2"/>
        <v>-14</v>
      </c>
      <c r="N51" s="5">
        <v>840</v>
      </c>
      <c r="O51" s="3" t="str">
        <f t="shared" si="3"/>
        <v>1–1.500 (rebaixamento)</v>
      </c>
      <c r="P51" s="5">
        <v>2865</v>
      </c>
      <c r="Q51" s="5" t="s">
        <v>104</v>
      </c>
      <c r="R51" s="5" t="s">
        <v>73</v>
      </c>
      <c r="S51" s="5">
        <v>0</v>
      </c>
      <c r="T51" s="5">
        <v>1</v>
      </c>
      <c r="U51" s="5">
        <v>0</v>
      </c>
      <c r="V51" s="5">
        <v>0</v>
      </c>
      <c r="W51" s="5">
        <v>5</v>
      </c>
      <c r="X51" s="5">
        <v>5</v>
      </c>
      <c r="Y51" s="5">
        <v>13</v>
      </c>
      <c r="Z51" s="5">
        <v>10</v>
      </c>
      <c r="AA51" s="5">
        <v>9</v>
      </c>
      <c r="AB51" s="5">
        <v>12</v>
      </c>
      <c r="AC51" s="5">
        <v>3</v>
      </c>
      <c r="AD51" s="5">
        <v>5</v>
      </c>
      <c r="AE51" s="5">
        <v>0</v>
      </c>
      <c r="AF51" s="5">
        <v>2</v>
      </c>
      <c r="AG51" s="5">
        <v>17</v>
      </c>
      <c r="AH51" s="5">
        <v>12</v>
      </c>
      <c r="AI51" s="5">
        <v>6</v>
      </c>
      <c r="AJ51" s="5">
        <v>3</v>
      </c>
      <c r="AK51" s="5">
        <v>-1</v>
      </c>
      <c r="AL51" s="5">
        <v>0</v>
      </c>
      <c r="AM51" s="5">
        <f>IF(Tabela2[[#This Row],[gols_mandante]]=Tabela2[[#This Row],[gols_visitante]],1,0)</f>
        <v>0</v>
      </c>
      <c r="AN51" s="5">
        <f>IF(Tabela2[[#This Row],[gols_mandante]]&gt;Tabela2[[#This Row],[gols_visitante]],1,0)</f>
        <v>0</v>
      </c>
      <c r="AO51" s="5">
        <f>IF(Tabela2[[#This Row],[gols_mandante]]&lt;Tabela2[[#This Row],[gols_visitante]],1,0)</f>
        <v>1</v>
      </c>
      <c r="AP51" s="5" t="s">
        <v>170</v>
      </c>
      <c r="AQ51" s="5">
        <v>0</v>
      </c>
    </row>
    <row r="52" spans="1:43" x14ac:dyDescent="0.25">
      <c r="A52" s="3">
        <v>2024</v>
      </c>
      <c r="B52" s="2">
        <v>45424</v>
      </c>
      <c r="C52" s="3">
        <v>6</v>
      </c>
      <c r="D52" s="3">
        <v>36820</v>
      </c>
      <c r="E52" s="3">
        <v>47364</v>
      </c>
      <c r="F52" s="3" t="str">
        <f t="shared" si="0"/>
        <v>5.000-9.999</v>
      </c>
      <c r="G52" s="3">
        <f>Tabela2[[#This Row],[publico]]/Tabela2[[#This Row],[publico_max]]</f>
        <v>0.7773836669200237</v>
      </c>
      <c r="H52" s="3" t="s">
        <v>38</v>
      </c>
      <c r="I52" s="3" t="s">
        <v>56</v>
      </c>
      <c r="J52" s="3">
        <v>2</v>
      </c>
      <c r="K52" s="3" t="str">
        <f t="shared" si="1"/>
        <v>1-5 (elite)</v>
      </c>
      <c r="L52" s="3">
        <v>10</v>
      </c>
      <c r="M52" s="3">
        <f t="shared" si="2"/>
        <v>8</v>
      </c>
      <c r="N52" s="3">
        <v>3120</v>
      </c>
      <c r="O52" s="3" t="str">
        <f t="shared" si="3"/>
        <v>1.501–3.500 (mediano)</v>
      </c>
      <c r="P52" s="3">
        <v>4390</v>
      </c>
      <c r="Q52" s="3" t="s">
        <v>137</v>
      </c>
      <c r="R52" s="3" t="s">
        <v>171</v>
      </c>
      <c r="S52" s="3">
        <v>1</v>
      </c>
      <c r="T52" s="3">
        <v>0</v>
      </c>
      <c r="U52" s="3">
        <v>1</v>
      </c>
      <c r="V52" s="3">
        <v>0</v>
      </c>
      <c r="W52" s="3">
        <v>6</v>
      </c>
      <c r="X52" s="3">
        <v>7</v>
      </c>
      <c r="Y52" s="3">
        <v>12</v>
      </c>
      <c r="Z52" s="3">
        <v>15</v>
      </c>
      <c r="AA52" s="3">
        <v>14</v>
      </c>
      <c r="AB52" s="3">
        <v>10</v>
      </c>
      <c r="AC52" s="3">
        <v>5</v>
      </c>
      <c r="AD52" s="3">
        <v>2</v>
      </c>
      <c r="AE52" s="3">
        <v>4</v>
      </c>
      <c r="AF52" s="3">
        <v>3</v>
      </c>
      <c r="AG52" s="3">
        <v>8</v>
      </c>
      <c r="AH52" s="3">
        <v>15</v>
      </c>
      <c r="AI52" s="3">
        <v>3</v>
      </c>
      <c r="AJ52" s="3">
        <v>6</v>
      </c>
      <c r="AK52" s="3">
        <v>1</v>
      </c>
      <c r="AL52" s="3">
        <v>1</v>
      </c>
      <c r="AM52" s="3">
        <f>IF(Tabela2[[#This Row],[gols_mandante]]=Tabela2[[#This Row],[gols_visitante]],1,0)</f>
        <v>0</v>
      </c>
      <c r="AN52" s="3">
        <f>IF(Tabela2[[#This Row],[gols_mandante]]&gt;Tabela2[[#This Row],[gols_visitante]],1,0)</f>
        <v>1</v>
      </c>
      <c r="AO52" s="3">
        <f>IF(Tabela2[[#This Row],[gols_mandante]]&lt;Tabela2[[#This Row],[gols_visitante]],1,0)</f>
        <v>0</v>
      </c>
      <c r="AP52" s="3" t="s">
        <v>167</v>
      </c>
      <c r="AQ52" s="3">
        <v>0</v>
      </c>
    </row>
    <row r="53" spans="1:43" x14ac:dyDescent="0.25">
      <c r="A53" s="5">
        <v>2024</v>
      </c>
      <c r="B53" s="4">
        <v>45426</v>
      </c>
      <c r="C53" s="5">
        <v>6</v>
      </c>
      <c r="D53" s="5">
        <v>39515</v>
      </c>
      <c r="E53" s="5">
        <v>72039</v>
      </c>
      <c r="F53" s="5" t="str">
        <f t="shared" si="0"/>
        <v>&gt;=30.000</v>
      </c>
      <c r="G53" s="5">
        <f>Tabela2[[#This Row],[publico]]/Tabela2[[#This Row],[publico_max]]</f>
        <v>0.54852232818334512</v>
      </c>
      <c r="H53" s="5" t="s">
        <v>62</v>
      </c>
      <c r="I53" s="5" t="s">
        <v>55</v>
      </c>
      <c r="J53" s="5">
        <v>8</v>
      </c>
      <c r="K53" s="3" t="str">
        <f t="shared" si="1"/>
        <v>6-10 (intermediário)</v>
      </c>
      <c r="L53" s="5">
        <v>17</v>
      </c>
      <c r="M53" s="3">
        <f t="shared" si="2"/>
        <v>9</v>
      </c>
      <c r="N53" s="5">
        <v>2810</v>
      </c>
      <c r="O53" s="3" t="str">
        <f t="shared" si="3"/>
        <v>1.501–3.500 (mediano)</v>
      </c>
      <c r="P53" s="5">
        <v>4595</v>
      </c>
      <c r="Q53" s="5" t="s">
        <v>114</v>
      </c>
      <c r="R53" s="5" t="s">
        <v>137</v>
      </c>
      <c r="S53" s="5">
        <v>2</v>
      </c>
      <c r="T53" s="5">
        <v>1</v>
      </c>
      <c r="U53" s="5">
        <v>1</v>
      </c>
      <c r="V53" s="5">
        <v>1</v>
      </c>
      <c r="W53" s="5">
        <v>7</v>
      </c>
      <c r="X53" s="5">
        <v>4</v>
      </c>
      <c r="Y53" s="5">
        <v>15</v>
      </c>
      <c r="Z53" s="5">
        <v>12</v>
      </c>
      <c r="AA53" s="5">
        <v>11</v>
      </c>
      <c r="AB53" s="5">
        <v>13</v>
      </c>
      <c r="AC53" s="5">
        <v>2</v>
      </c>
      <c r="AD53" s="5">
        <v>6</v>
      </c>
      <c r="AE53" s="5">
        <v>4</v>
      </c>
      <c r="AF53" s="5">
        <v>0</v>
      </c>
      <c r="AG53" s="5">
        <v>15</v>
      </c>
      <c r="AH53" s="5">
        <v>7</v>
      </c>
      <c r="AI53" s="5">
        <v>4</v>
      </c>
      <c r="AJ53" s="5">
        <v>4</v>
      </c>
      <c r="AK53" s="5">
        <v>1</v>
      </c>
      <c r="AL53" s="5">
        <v>1</v>
      </c>
      <c r="AM53" s="5">
        <f>IF(Tabela2[[#This Row],[gols_mandante]]=Tabela2[[#This Row],[gols_visitante]],1,0)</f>
        <v>0</v>
      </c>
      <c r="AN53" s="5">
        <f>IF(Tabela2[[#This Row],[gols_mandante]]&gt;Tabela2[[#This Row],[gols_visitante]],1,0)</f>
        <v>1</v>
      </c>
      <c r="AO53" s="5">
        <f>IF(Tabela2[[#This Row],[gols_mandante]]&lt;Tabela2[[#This Row],[gols_visitante]],1,0)</f>
        <v>0</v>
      </c>
      <c r="AP53" s="5" t="s">
        <v>172</v>
      </c>
      <c r="AQ53" s="5">
        <v>0</v>
      </c>
    </row>
    <row r="54" spans="1:43" x14ac:dyDescent="0.25">
      <c r="A54" s="3">
        <v>2024</v>
      </c>
      <c r="B54" s="2">
        <v>45519</v>
      </c>
      <c r="C54" s="3">
        <v>6</v>
      </c>
      <c r="D54" s="3">
        <v>11920</v>
      </c>
      <c r="E54" s="3">
        <v>50848</v>
      </c>
      <c r="F54" s="3" t="str">
        <f t="shared" si="0"/>
        <v>&gt;=30.000</v>
      </c>
      <c r="G54" s="3">
        <f>Tabela2[[#This Row],[publico]]/Tabela2[[#This Row],[publico_max]]</f>
        <v>0.23442416614222783</v>
      </c>
      <c r="H54" s="3" t="s">
        <v>37</v>
      </c>
      <c r="I54" s="3" t="s">
        <v>44</v>
      </c>
      <c r="J54" s="3">
        <v>5</v>
      </c>
      <c r="K54" s="3" t="str">
        <f t="shared" si="1"/>
        <v>1-5 (elite)</v>
      </c>
      <c r="L54" s="3">
        <v>12</v>
      </c>
      <c r="M54" s="3">
        <f t="shared" si="2"/>
        <v>7</v>
      </c>
      <c r="N54" s="3">
        <v>2655</v>
      </c>
      <c r="O54" s="3" t="str">
        <f t="shared" si="3"/>
        <v>1.501–3.500 (mediano)</v>
      </c>
      <c r="P54" s="3">
        <v>945</v>
      </c>
      <c r="Q54" s="3" t="s">
        <v>168</v>
      </c>
      <c r="R54" s="3" t="s">
        <v>111</v>
      </c>
      <c r="S54" s="3">
        <v>2</v>
      </c>
      <c r="T54" s="3">
        <v>1</v>
      </c>
      <c r="U54" s="3">
        <v>0</v>
      </c>
      <c r="V54" s="3">
        <v>1</v>
      </c>
      <c r="W54" s="3">
        <v>8</v>
      </c>
      <c r="X54" s="3">
        <v>1</v>
      </c>
      <c r="Y54" s="3">
        <v>19</v>
      </c>
      <c r="Z54" s="3">
        <v>17</v>
      </c>
      <c r="AA54" s="3">
        <v>16</v>
      </c>
      <c r="AB54" s="3">
        <v>19</v>
      </c>
      <c r="AC54" s="3">
        <v>2</v>
      </c>
      <c r="AD54" s="3">
        <v>8</v>
      </c>
      <c r="AE54" s="3">
        <v>1</v>
      </c>
      <c r="AF54" s="3">
        <v>0</v>
      </c>
      <c r="AG54" s="3">
        <v>21</v>
      </c>
      <c r="AH54" s="3">
        <v>8</v>
      </c>
      <c r="AI54" s="3">
        <v>7</v>
      </c>
      <c r="AJ54" s="3">
        <v>4</v>
      </c>
      <c r="AK54" s="3">
        <v>1</v>
      </c>
      <c r="AL54" s="3">
        <v>1</v>
      </c>
      <c r="AM54" s="3">
        <f>IF(Tabela2[[#This Row],[gols_mandante]]=Tabela2[[#This Row],[gols_visitante]],1,0)</f>
        <v>0</v>
      </c>
      <c r="AN54" s="3">
        <f>IF(Tabela2[[#This Row],[gols_mandante]]&gt;Tabela2[[#This Row],[gols_visitante]],1,0)</f>
        <v>1</v>
      </c>
      <c r="AO54" s="3">
        <f>IF(Tabela2[[#This Row],[gols_mandante]]&lt;Tabela2[[#This Row],[gols_visitante]],1,0)</f>
        <v>0</v>
      </c>
      <c r="AP54" s="3" t="s">
        <v>173</v>
      </c>
      <c r="AQ54" s="3">
        <v>0</v>
      </c>
    </row>
    <row r="55" spans="1:43" x14ac:dyDescent="0.25">
      <c r="A55" s="5">
        <v>2024</v>
      </c>
      <c r="B55" s="4">
        <v>45575</v>
      </c>
      <c r="C55" s="5">
        <v>6</v>
      </c>
      <c r="D55" s="5">
        <v>22053</v>
      </c>
      <c r="E55" s="5">
        <v>46000</v>
      </c>
      <c r="F55" s="5" t="str">
        <f t="shared" si="0"/>
        <v>10.000-14.999</v>
      </c>
      <c r="G55" s="5">
        <f>Tabela2[[#This Row],[publico]]/Tabela2[[#This Row],[publico_max]]</f>
        <v>0.47941304347826086</v>
      </c>
      <c r="H55" s="5" t="s">
        <v>89</v>
      </c>
      <c r="I55" s="5" t="s">
        <v>83</v>
      </c>
      <c r="J55" s="5">
        <v>3</v>
      </c>
      <c r="K55" s="3" t="str">
        <f t="shared" si="1"/>
        <v>1-5 (elite)</v>
      </c>
      <c r="L55" s="5">
        <v>14</v>
      </c>
      <c r="M55" s="3">
        <f t="shared" si="2"/>
        <v>11</v>
      </c>
      <c r="N55" s="5">
        <v>4760</v>
      </c>
      <c r="O55" s="3" t="str">
        <f t="shared" si="3"/>
        <v>3.501–7.000 (intermediário)</v>
      </c>
      <c r="P55" s="5">
        <v>2910</v>
      </c>
      <c r="Q55" s="5" t="s">
        <v>174</v>
      </c>
      <c r="R55" s="5" t="s">
        <v>166</v>
      </c>
      <c r="S55" s="5">
        <v>2</v>
      </c>
      <c r="T55" s="5">
        <v>1</v>
      </c>
      <c r="U55" s="5">
        <v>2</v>
      </c>
      <c r="V55" s="5">
        <v>1</v>
      </c>
      <c r="W55" s="5">
        <v>4</v>
      </c>
      <c r="X55" s="5">
        <v>10</v>
      </c>
      <c r="Y55" s="5">
        <v>15</v>
      </c>
      <c r="Z55" s="5">
        <v>7</v>
      </c>
      <c r="AA55" s="5">
        <v>6</v>
      </c>
      <c r="AB55" s="5">
        <v>14</v>
      </c>
      <c r="AC55" s="5">
        <v>3</v>
      </c>
      <c r="AD55" s="5">
        <v>3</v>
      </c>
      <c r="AE55" s="5">
        <v>0</v>
      </c>
      <c r="AF55" s="5">
        <v>1</v>
      </c>
      <c r="AG55" s="5">
        <v>14</v>
      </c>
      <c r="AH55" s="5">
        <v>14</v>
      </c>
      <c r="AI55" s="5">
        <v>7</v>
      </c>
      <c r="AJ55" s="5">
        <v>5</v>
      </c>
      <c r="AK55" s="5">
        <v>1</v>
      </c>
      <c r="AL55" s="5">
        <v>1</v>
      </c>
      <c r="AM55" s="5">
        <f>IF(Tabela2[[#This Row],[gols_mandante]]=Tabela2[[#This Row],[gols_visitante]],1,0)</f>
        <v>0</v>
      </c>
      <c r="AN55" s="5">
        <f>IF(Tabela2[[#This Row],[gols_mandante]]&gt;Tabela2[[#This Row],[gols_visitante]],1,0)</f>
        <v>1</v>
      </c>
      <c r="AO55" s="5">
        <f>IF(Tabela2[[#This Row],[gols_mandante]]&lt;Tabela2[[#This Row],[gols_visitante]],1,0)</f>
        <v>0</v>
      </c>
      <c r="AP55" s="5" t="s">
        <v>175</v>
      </c>
      <c r="AQ55" s="5">
        <v>0</v>
      </c>
    </row>
    <row r="56" spans="1:43" x14ac:dyDescent="0.25">
      <c r="A56" s="3">
        <v>2024</v>
      </c>
      <c r="B56" s="2">
        <v>45444</v>
      </c>
      <c r="C56" s="3">
        <v>7</v>
      </c>
      <c r="D56" s="3">
        <v>7563</v>
      </c>
      <c r="E56" s="3">
        <v>60540</v>
      </c>
      <c r="F56" s="3" t="str">
        <f t="shared" si="0"/>
        <v>20.000-29.999</v>
      </c>
      <c r="G56" s="3">
        <f>Tabela2[[#This Row],[publico]]/Tabela2[[#This Row],[publico_max]]</f>
        <v>0.12492566897918732</v>
      </c>
      <c r="H56" s="3" t="s">
        <v>83</v>
      </c>
      <c r="I56" s="3" t="s">
        <v>56</v>
      </c>
      <c r="J56" s="3">
        <v>14</v>
      </c>
      <c r="K56" s="3" t="str">
        <f t="shared" si="1"/>
        <v>11-15 (mediano)</v>
      </c>
      <c r="L56" s="3">
        <v>8</v>
      </c>
      <c r="M56" s="3">
        <f t="shared" si="2"/>
        <v>-6</v>
      </c>
      <c r="N56" s="3">
        <v>2960</v>
      </c>
      <c r="O56" s="3" t="str">
        <f t="shared" si="3"/>
        <v>1.501–3.500 (mediano)</v>
      </c>
      <c r="P56" s="3">
        <v>4550</v>
      </c>
      <c r="Q56" s="3" t="s">
        <v>120</v>
      </c>
      <c r="R56" s="3" t="s">
        <v>176</v>
      </c>
      <c r="S56" s="3">
        <v>0</v>
      </c>
      <c r="T56" s="3">
        <v>2</v>
      </c>
      <c r="U56" s="3">
        <v>0</v>
      </c>
      <c r="V56" s="3">
        <v>1</v>
      </c>
      <c r="W56" s="3">
        <v>6</v>
      </c>
      <c r="X56" s="3">
        <v>0</v>
      </c>
      <c r="Y56" s="3">
        <v>16</v>
      </c>
      <c r="Z56" s="3">
        <v>19</v>
      </c>
      <c r="AA56" s="3">
        <v>19</v>
      </c>
      <c r="AB56" s="3">
        <v>15</v>
      </c>
      <c r="AC56" s="3">
        <v>2</v>
      </c>
      <c r="AD56" s="3">
        <v>1</v>
      </c>
      <c r="AE56" s="3">
        <v>0</v>
      </c>
      <c r="AF56" s="3">
        <v>1</v>
      </c>
      <c r="AG56" s="3">
        <v>9</v>
      </c>
      <c r="AH56" s="3">
        <v>14</v>
      </c>
      <c r="AI56" s="3">
        <v>4</v>
      </c>
      <c r="AJ56" s="3">
        <v>7</v>
      </c>
      <c r="AK56" s="3">
        <v>-2</v>
      </c>
      <c r="AL56" s="3">
        <v>0</v>
      </c>
      <c r="AM56" s="3">
        <f>IF(Tabela2[[#This Row],[gols_mandante]]=Tabela2[[#This Row],[gols_visitante]],1,0)</f>
        <v>0</v>
      </c>
      <c r="AN56" s="3">
        <f>IF(Tabela2[[#This Row],[gols_mandante]]&gt;Tabela2[[#This Row],[gols_visitante]],1,0)</f>
        <v>0</v>
      </c>
      <c r="AO56" s="3">
        <f>IF(Tabela2[[#This Row],[gols_mandante]]&lt;Tabela2[[#This Row],[gols_visitante]],1,0)</f>
        <v>1</v>
      </c>
      <c r="AP56" s="3" t="s">
        <v>141</v>
      </c>
      <c r="AQ56" s="3">
        <v>0</v>
      </c>
    </row>
    <row r="57" spans="1:43" x14ac:dyDescent="0.25">
      <c r="A57" s="5">
        <v>2024</v>
      </c>
      <c r="B57" s="4">
        <v>45444</v>
      </c>
      <c r="C57" s="5">
        <v>7</v>
      </c>
      <c r="D57" s="5">
        <v>5747</v>
      </c>
      <c r="E57" s="5">
        <v>42968</v>
      </c>
      <c r="F57" s="5" t="str">
        <f t="shared" si="0"/>
        <v>5.000-9.999</v>
      </c>
      <c r="G57" s="5">
        <f>Tabela2[[#This Row],[publico]]/Tabela2[[#This Row],[publico_max]]</f>
        <v>0.13375069819400484</v>
      </c>
      <c r="H57" s="5" t="s">
        <v>70</v>
      </c>
      <c r="I57" s="5" t="s">
        <v>37</v>
      </c>
      <c r="J57" s="5">
        <v>19</v>
      </c>
      <c r="K57" s="3" t="str">
        <f t="shared" si="1"/>
        <v>16-20 (rebaixamento)</v>
      </c>
      <c r="L57" s="5">
        <v>3</v>
      </c>
      <c r="M57" s="3">
        <f t="shared" si="2"/>
        <v>-16</v>
      </c>
      <c r="N57" s="5">
        <v>1485</v>
      </c>
      <c r="O57" s="3" t="str">
        <f t="shared" si="3"/>
        <v>1–1.500 (rebaixamento)</v>
      </c>
      <c r="P57" s="5">
        <v>5615</v>
      </c>
      <c r="Q57" s="5">
        <v>28</v>
      </c>
      <c r="R57" s="5" t="s">
        <v>105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2</v>
      </c>
      <c r="Y57" s="5">
        <v>12</v>
      </c>
      <c r="Z57" s="5">
        <v>21</v>
      </c>
      <c r="AA57" s="5">
        <v>21</v>
      </c>
      <c r="AB57" s="5">
        <v>11</v>
      </c>
      <c r="AC57" s="5">
        <v>1</v>
      </c>
      <c r="AD57" s="5">
        <v>3</v>
      </c>
      <c r="AE57" s="5">
        <v>4</v>
      </c>
      <c r="AF57" s="5">
        <v>1</v>
      </c>
      <c r="AG57" s="5">
        <v>8</v>
      </c>
      <c r="AH57" s="5">
        <v>9</v>
      </c>
      <c r="AI57" s="5">
        <v>4</v>
      </c>
      <c r="AJ57" s="5">
        <v>3</v>
      </c>
      <c r="AK57" s="5">
        <v>-1</v>
      </c>
      <c r="AL57" s="5">
        <v>0</v>
      </c>
      <c r="AM57" s="5">
        <f>IF(Tabela2[[#This Row],[gols_mandante]]=Tabela2[[#This Row],[gols_visitante]],1,0)</f>
        <v>0</v>
      </c>
      <c r="AN57" s="5">
        <f>IF(Tabela2[[#This Row],[gols_mandante]]&gt;Tabela2[[#This Row],[gols_visitante]],1,0)</f>
        <v>0</v>
      </c>
      <c r="AO57" s="5">
        <f>IF(Tabela2[[#This Row],[gols_mandante]]&lt;Tabela2[[#This Row],[gols_visitante]],1,0)</f>
        <v>1</v>
      </c>
      <c r="AP57" s="5" t="s">
        <v>177</v>
      </c>
      <c r="AQ57" s="5">
        <v>0</v>
      </c>
    </row>
    <row r="58" spans="1:43" x14ac:dyDescent="0.25">
      <c r="A58" s="3">
        <v>2024</v>
      </c>
      <c r="B58" s="2">
        <v>45444</v>
      </c>
      <c r="C58" s="3">
        <v>7</v>
      </c>
      <c r="D58" s="3">
        <v>16008</v>
      </c>
      <c r="E58" s="3">
        <v>30618</v>
      </c>
      <c r="F58" s="3" t="str">
        <f t="shared" si="0"/>
        <v>5.000-9.999</v>
      </c>
      <c r="G58" s="3">
        <f>Tabela2[[#This Row],[publico]]/Tabela2[[#This Row],[publico_max]]</f>
        <v>0.52282970801489315</v>
      </c>
      <c r="H58" s="3" t="s">
        <v>94</v>
      </c>
      <c r="I58" s="3" t="s">
        <v>76</v>
      </c>
      <c r="J58" s="3">
        <v>20</v>
      </c>
      <c r="K58" s="3" t="str">
        <f t="shared" si="1"/>
        <v>16-20 (rebaixamento)</v>
      </c>
      <c r="L58" s="3">
        <v>18</v>
      </c>
      <c r="M58" s="3">
        <f t="shared" si="2"/>
        <v>-2</v>
      </c>
      <c r="N58" s="3">
        <v>1140</v>
      </c>
      <c r="O58" s="3" t="str">
        <f t="shared" si="3"/>
        <v>1–1.500 (rebaixamento)</v>
      </c>
      <c r="P58" s="3">
        <v>750</v>
      </c>
      <c r="Q58" s="3" t="s">
        <v>117</v>
      </c>
      <c r="R58" s="3" t="s">
        <v>128</v>
      </c>
      <c r="S58" s="3">
        <v>0</v>
      </c>
      <c r="T58" s="3">
        <v>2</v>
      </c>
      <c r="U58" s="3">
        <v>0</v>
      </c>
      <c r="V58" s="3">
        <v>1</v>
      </c>
      <c r="W58" s="3">
        <v>3</v>
      </c>
      <c r="X58" s="3">
        <v>4</v>
      </c>
      <c r="Y58" s="3">
        <v>7</v>
      </c>
      <c r="Z58" s="3">
        <v>9</v>
      </c>
      <c r="AA58" s="3">
        <v>9</v>
      </c>
      <c r="AB58" s="3">
        <v>7</v>
      </c>
      <c r="AC58" s="3">
        <v>3</v>
      </c>
      <c r="AD58" s="3">
        <v>3</v>
      </c>
      <c r="AE58" s="3">
        <v>0</v>
      </c>
      <c r="AF58" s="3">
        <v>1</v>
      </c>
      <c r="AG58" s="3">
        <v>12</v>
      </c>
      <c r="AH58" s="3">
        <v>12</v>
      </c>
      <c r="AI58" s="3">
        <v>4</v>
      </c>
      <c r="AJ58" s="3">
        <v>5</v>
      </c>
      <c r="AK58" s="3">
        <v>-2</v>
      </c>
      <c r="AL58" s="3">
        <v>0</v>
      </c>
      <c r="AM58" s="3">
        <f>IF(Tabela2[[#This Row],[gols_mandante]]=Tabela2[[#This Row],[gols_visitante]],1,0)</f>
        <v>0</v>
      </c>
      <c r="AN58" s="3">
        <f>IF(Tabela2[[#This Row],[gols_mandante]]&gt;Tabela2[[#This Row],[gols_visitante]],1,0)</f>
        <v>0</v>
      </c>
      <c r="AO58" s="3">
        <f>IF(Tabela2[[#This Row],[gols_mandante]]&lt;Tabela2[[#This Row],[gols_visitante]],1,0)</f>
        <v>1</v>
      </c>
      <c r="AP58" s="3" t="s">
        <v>178</v>
      </c>
      <c r="AQ58" s="3">
        <v>1</v>
      </c>
    </row>
    <row r="59" spans="1:43" x14ac:dyDescent="0.25">
      <c r="A59" s="5">
        <v>2024</v>
      </c>
      <c r="B59" s="4">
        <v>45444</v>
      </c>
      <c r="C59" s="5">
        <v>7</v>
      </c>
      <c r="D59" s="5">
        <v>21037</v>
      </c>
      <c r="E59" s="5">
        <v>82238</v>
      </c>
      <c r="F59" s="5" t="str">
        <f t="shared" si="0"/>
        <v>15.000-19.999</v>
      </c>
      <c r="G59" s="5">
        <f>Tabela2[[#This Row],[publico]]/Tabela2[[#This Row],[publico_max]]</f>
        <v>0.25580631824703909</v>
      </c>
      <c r="H59" s="5" t="s">
        <v>55</v>
      </c>
      <c r="I59" s="5" t="s">
        <v>44</v>
      </c>
      <c r="J59" s="5">
        <v>16</v>
      </c>
      <c r="K59" s="3" t="str">
        <f t="shared" si="1"/>
        <v>16-20 (rebaixamento)</v>
      </c>
      <c r="L59" s="5">
        <v>13</v>
      </c>
      <c r="M59" s="3">
        <f t="shared" si="2"/>
        <v>-3</v>
      </c>
      <c r="N59" s="5">
        <v>4505</v>
      </c>
      <c r="O59" s="3" t="str">
        <f t="shared" si="3"/>
        <v>3.501–7.000 (intermediário)</v>
      </c>
      <c r="P59" s="5">
        <v>815</v>
      </c>
      <c r="Q59" s="5" t="s">
        <v>179</v>
      </c>
      <c r="R59" s="5" t="s">
        <v>86</v>
      </c>
      <c r="S59" s="5">
        <v>1</v>
      </c>
      <c r="T59" s="5">
        <v>1</v>
      </c>
      <c r="U59" s="5">
        <v>1</v>
      </c>
      <c r="V59" s="5">
        <v>0</v>
      </c>
      <c r="W59" s="5">
        <v>5</v>
      </c>
      <c r="X59" s="5">
        <v>3</v>
      </c>
      <c r="Y59" s="5">
        <v>13</v>
      </c>
      <c r="Z59" s="5">
        <v>19</v>
      </c>
      <c r="AA59" s="5">
        <v>19</v>
      </c>
      <c r="AB59" s="5">
        <v>13</v>
      </c>
      <c r="AC59" s="5">
        <v>2</v>
      </c>
      <c r="AD59" s="5">
        <v>3</v>
      </c>
      <c r="AE59" s="5">
        <v>1</v>
      </c>
      <c r="AF59" s="5">
        <v>3</v>
      </c>
      <c r="AG59" s="5">
        <v>17</v>
      </c>
      <c r="AH59" s="5">
        <v>12</v>
      </c>
      <c r="AI59" s="5">
        <v>8</v>
      </c>
      <c r="AJ59" s="5">
        <v>5</v>
      </c>
      <c r="AK59" s="5">
        <v>0</v>
      </c>
      <c r="AL59" s="5">
        <v>0</v>
      </c>
      <c r="AM59" s="5">
        <f>IF(Tabela2[[#This Row],[gols_mandante]]=Tabela2[[#This Row],[gols_visitante]],1,0)</f>
        <v>1</v>
      </c>
      <c r="AN59" s="5">
        <f>IF(Tabela2[[#This Row],[gols_mandante]]&gt;Tabela2[[#This Row],[gols_visitante]],1,0)</f>
        <v>0</v>
      </c>
      <c r="AO59" s="5">
        <f>IF(Tabela2[[#This Row],[gols_mandante]]&lt;Tabela2[[#This Row],[gols_visitante]],1,0)</f>
        <v>0</v>
      </c>
      <c r="AP59" s="5" t="s">
        <v>180</v>
      </c>
      <c r="AQ59" s="5">
        <v>0</v>
      </c>
    </row>
    <row r="60" spans="1:43" x14ac:dyDescent="0.25">
      <c r="A60" s="3">
        <v>2024</v>
      </c>
      <c r="B60" s="2">
        <v>45445</v>
      </c>
      <c r="C60" s="3">
        <v>7</v>
      </c>
      <c r="D60" s="3">
        <v>37994</v>
      </c>
      <c r="E60" s="3">
        <v>46000</v>
      </c>
      <c r="F60" s="3" t="str">
        <f t="shared" si="0"/>
        <v>20.000-29.999</v>
      </c>
      <c r="G60" s="3">
        <f>Tabela2[[#This Row],[publico]]/Tabela2[[#This Row],[publico_max]]</f>
        <v>0.82595652173913048</v>
      </c>
      <c r="H60" s="3" t="s">
        <v>89</v>
      </c>
      <c r="I60" s="3" t="s">
        <v>38</v>
      </c>
      <c r="J60" s="3">
        <v>7</v>
      </c>
      <c r="K60" s="3" t="str">
        <f t="shared" si="1"/>
        <v>6-10 (intermediário)</v>
      </c>
      <c r="L60" s="3">
        <v>2</v>
      </c>
      <c r="M60" s="3">
        <f t="shared" si="2"/>
        <v>-5</v>
      </c>
      <c r="N60" s="3">
        <v>5450</v>
      </c>
      <c r="O60" s="3" t="str">
        <f t="shared" si="3"/>
        <v>3.501–7.000 (intermediário)</v>
      </c>
      <c r="P60" s="3">
        <v>3120</v>
      </c>
      <c r="Q60" s="3" t="s">
        <v>129</v>
      </c>
      <c r="R60" s="3" t="s">
        <v>137</v>
      </c>
      <c r="S60" s="3">
        <v>1</v>
      </c>
      <c r="T60" s="3">
        <v>1</v>
      </c>
      <c r="U60" s="3">
        <v>0</v>
      </c>
      <c r="V60" s="3">
        <v>0</v>
      </c>
      <c r="W60" s="3">
        <v>5</v>
      </c>
      <c r="X60" s="3">
        <v>4</v>
      </c>
      <c r="Y60" s="3">
        <v>13</v>
      </c>
      <c r="Z60" s="3">
        <v>9</v>
      </c>
      <c r="AA60" s="3">
        <v>8</v>
      </c>
      <c r="AB60" s="3">
        <v>13</v>
      </c>
      <c r="AC60" s="3">
        <v>1</v>
      </c>
      <c r="AD60" s="3">
        <v>3</v>
      </c>
      <c r="AE60" s="3">
        <v>6</v>
      </c>
      <c r="AF60" s="3">
        <v>0</v>
      </c>
      <c r="AG60" s="3">
        <v>20</v>
      </c>
      <c r="AH60" s="3">
        <v>9</v>
      </c>
      <c r="AI60" s="3">
        <v>11</v>
      </c>
      <c r="AJ60" s="3">
        <v>4</v>
      </c>
      <c r="AK60" s="3">
        <v>0</v>
      </c>
      <c r="AL60" s="3">
        <v>0</v>
      </c>
      <c r="AM60" s="3">
        <f>IF(Tabela2[[#This Row],[gols_mandante]]=Tabela2[[#This Row],[gols_visitante]],1,0)</f>
        <v>1</v>
      </c>
      <c r="AN60" s="3">
        <f>IF(Tabela2[[#This Row],[gols_mandante]]&gt;Tabela2[[#This Row],[gols_visitante]],1,0)</f>
        <v>0</v>
      </c>
      <c r="AO60" s="3">
        <f>IF(Tabela2[[#This Row],[gols_mandante]]&lt;Tabela2[[#This Row],[gols_visitante]],1,0)</f>
        <v>0</v>
      </c>
      <c r="AP60" s="3" t="s">
        <v>181</v>
      </c>
      <c r="AQ60" s="3">
        <v>0</v>
      </c>
    </row>
    <row r="61" spans="1:43" x14ac:dyDescent="0.25">
      <c r="A61" s="5">
        <v>2024</v>
      </c>
      <c r="B61" s="4">
        <v>45445</v>
      </c>
      <c r="C61" s="5">
        <v>7</v>
      </c>
      <c r="D61" s="5">
        <v>44928</v>
      </c>
      <c r="E61" s="5">
        <v>72039</v>
      </c>
      <c r="F61" s="5" t="str">
        <f t="shared" si="0"/>
        <v>&gt;=30.000</v>
      </c>
      <c r="G61" s="5">
        <f>Tabela2[[#This Row],[publico]]/Tabela2[[#This Row],[publico_max]]</f>
        <v>0.62366218298421683</v>
      </c>
      <c r="H61" s="5" t="s">
        <v>62</v>
      </c>
      <c r="I61" s="5" t="s">
        <v>50</v>
      </c>
      <c r="J61" s="5">
        <v>5</v>
      </c>
      <c r="K61" s="3" t="str">
        <f t="shared" si="1"/>
        <v>1-5 (elite)</v>
      </c>
      <c r="L61" s="5">
        <v>10</v>
      </c>
      <c r="M61" s="3">
        <f t="shared" si="2"/>
        <v>5</v>
      </c>
      <c r="N61" s="5">
        <v>3310</v>
      </c>
      <c r="O61" s="3" t="str">
        <f t="shared" si="3"/>
        <v>1.501–3.500 (mediano)</v>
      </c>
      <c r="P61" s="5">
        <v>3365</v>
      </c>
      <c r="Q61" s="5" t="s">
        <v>114</v>
      </c>
      <c r="R61" s="5" t="s">
        <v>114</v>
      </c>
      <c r="S61" s="5">
        <v>2</v>
      </c>
      <c r="T61" s="5">
        <v>0</v>
      </c>
      <c r="U61" s="5">
        <v>1</v>
      </c>
      <c r="V61" s="5">
        <v>0</v>
      </c>
      <c r="W61" s="5">
        <v>4</v>
      </c>
      <c r="X61" s="5">
        <v>2</v>
      </c>
      <c r="Y61" s="5">
        <v>18</v>
      </c>
      <c r="Z61" s="5">
        <v>11</v>
      </c>
      <c r="AA61" s="5">
        <v>11</v>
      </c>
      <c r="AB61" s="5">
        <v>17</v>
      </c>
      <c r="AC61" s="5">
        <v>3</v>
      </c>
      <c r="AD61" s="5">
        <v>2</v>
      </c>
      <c r="AE61" s="5">
        <v>0</v>
      </c>
      <c r="AF61" s="5">
        <v>1</v>
      </c>
      <c r="AG61" s="5">
        <v>11</v>
      </c>
      <c r="AH61" s="5">
        <v>10</v>
      </c>
      <c r="AI61" s="5">
        <v>6</v>
      </c>
      <c r="AJ61" s="5">
        <v>5</v>
      </c>
      <c r="AK61" s="5">
        <v>2</v>
      </c>
      <c r="AL61" s="5">
        <v>1</v>
      </c>
      <c r="AM61" s="5">
        <f>IF(Tabela2[[#This Row],[gols_mandante]]=Tabela2[[#This Row],[gols_visitante]],1,0)</f>
        <v>0</v>
      </c>
      <c r="AN61" s="5">
        <f>IF(Tabela2[[#This Row],[gols_mandante]]&gt;Tabela2[[#This Row],[gols_visitante]],1,0)</f>
        <v>1</v>
      </c>
      <c r="AO61" s="5">
        <f>IF(Tabela2[[#This Row],[gols_mandante]]&lt;Tabela2[[#This Row],[gols_visitante]],1,0)</f>
        <v>0</v>
      </c>
      <c r="AP61" s="5" t="s">
        <v>182</v>
      </c>
      <c r="AQ61" s="5">
        <v>0</v>
      </c>
    </row>
    <row r="62" spans="1:43" x14ac:dyDescent="0.25">
      <c r="A62" s="3">
        <v>2024</v>
      </c>
      <c r="B62" s="2">
        <v>45445</v>
      </c>
      <c r="C62" s="3">
        <v>7</v>
      </c>
      <c r="D62" s="3">
        <v>19027</v>
      </c>
      <c r="E62" s="3">
        <v>19225</v>
      </c>
      <c r="F62" s="3" t="str">
        <f t="shared" si="0"/>
        <v>&gt;=30.000</v>
      </c>
      <c r="G62" s="3">
        <f>Tabela2[[#This Row],[publico]]/Tabela2[[#This Row],[publico_max]]</f>
        <v>0.98970091027308194</v>
      </c>
      <c r="H62" s="3" t="s">
        <v>43</v>
      </c>
      <c r="I62" s="3" t="s">
        <v>95</v>
      </c>
      <c r="J62" s="3">
        <v>12</v>
      </c>
      <c r="K62" s="3" t="str">
        <f t="shared" si="1"/>
        <v>11-15 (mediano)</v>
      </c>
      <c r="L62" s="3">
        <v>9</v>
      </c>
      <c r="M62" s="3">
        <f t="shared" si="2"/>
        <v>-3</v>
      </c>
      <c r="N62" s="3">
        <v>580</v>
      </c>
      <c r="O62" s="3" t="str">
        <f t="shared" si="3"/>
        <v>1–1.500 (rebaixamento)</v>
      </c>
      <c r="P62" s="3">
        <v>8470</v>
      </c>
      <c r="Q62" s="3" t="s">
        <v>138</v>
      </c>
      <c r="R62" s="3" t="s">
        <v>120</v>
      </c>
      <c r="S62" s="3">
        <v>1</v>
      </c>
      <c r="T62" s="3">
        <v>2</v>
      </c>
      <c r="U62" s="3">
        <v>0</v>
      </c>
      <c r="V62" s="3">
        <v>0</v>
      </c>
      <c r="W62" s="3">
        <v>4</v>
      </c>
      <c r="X62" s="3">
        <v>6</v>
      </c>
      <c r="Y62" s="3">
        <v>17</v>
      </c>
      <c r="Z62" s="3">
        <v>9</v>
      </c>
      <c r="AA62" s="3">
        <v>7</v>
      </c>
      <c r="AB62" s="3">
        <v>15</v>
      </c>
      <c r="AC62" s="3">
        <v>3</v>
      </c>
      <c r="AD62" s="3">
        <v>3</v>
      </c>
      <c r="AE62" s="3">
        <v>0</v>
      </c>
      <c r="AF62" s="3">
        <v>1</v>
      </c>
      <c r="AG62" s="3">
        <v>12</v>
      </c>
      <c r="AH62" s="3">
        <v>23</v>
      </c>
      <c r="AI62" s="3">
        <v>4</v>
      </c>
      <c r="AJ62" s="3">
        <v>11</v>
      </c>
      <c r="AK62" s="3">
        <v>-1</v>
      </c>
      <c r="AL62" s="3">
        <v>0</v>
      </c>
      <c r="AM62" s="3">
        <f>IF(Tabela2[[#This Row],[gols_mandante]]=Tabela2[[#This Row],[gols_visitante]],1,0)</f>
        <v>0</v>
      </c>
      <c r="AN62" s="3">
        <f>IF(Tabela2[[#This Row],[gols_mandante]]&gt;Tabela2[[#This Row],[gols_visitante]],1,0)</f>
        <v>0</v>
      </c>
      <c r="AO62" s="3">
        <f>IF(Tabela2[[#This Row],[gols_mandante]]&lt;Tabela2[[#This Row],[gols_visitante]],1,0)</f>
        <v>1</v>
      </c>
      <c r="AP62" s="3" t="s">
        <v>162</v>
      </c>
      <c r="AQ62" s="3">
        <v>0</v>
      </c>
    </row>
    <row r="63" spans="1:43" x14ac:dyDescent="0.25">
      <c r="A63" s="5">
        <v>2024</v>
      </c>
      <c r="B63" s="4">
        <v>45445</v>
      </c>
      <c r="C63" s="5">
        <v>7</v>
      </c>
      <c r="D63" s="5">
        <v>62228</v>
      </c>
      <c r="E63" s="5">
        <v>78584</v>
      </c>
      <c r="F63" s="5" t="str">
        <f t="shared" si="0"/>
        <v>15.000-19.999</v>
      </c>
      <c r="G63" s="5">
        <f>Tabela2[[#This Row],[publico]]/Tabela2[[#This Row],[publico_max]]</f>
        <v>0.79186602870813394</v>
      </c>
      <c r="H63" s="5" t="s">
        <v>82</v>
      </c>
      <c r="I63" s="5" t="s">
        <v>77</v>
      </c>
      <c r="J63" s="5">
        <v>15</v>
      </c>
      <c r="K63" s="3" t="str">
        <f t="shared" si="1"/>
        <v>11-15 (mediano)</v>
      </c>
      <c r="L63" s="5">
        <v>1</v>
      </c>
      <c r="M63" s="3">
        <f t="shared" si="2"/>
        <v>-14</v>
      </c>
      <c r="N63" s="5">
        <v>3545</v>
      </c>
      <c r="O63" s="3" t="str">
        <f t="shared" si="3"/>
        <v>3.501–7.000 (intermediário)</v>
      </c>
      <c r="P63" s="5">
        <v>10110</v>
      </c>
      <c r="Q63" s="5" t="s">
        <v>107</v>
      </c>
      <c r="R63" s="5">
        <v>29</v>
      </c>
      <c r="S63" s="5">
        <v>1</v>
      </c>
      <c r="T63" s="5">
        <v>6</v>
      </c>
      <c r="U63" s="5">
        <v>1</v>
      </c>
      <c r="V63" s="5">
        <v>3</v>
      </c>
      <c r="W63" s="5">
        <v>1</v>
      </c>
      <c r="X63" s="5">
        <v>8</v>
      </c>
      <c r="Y63" s="5">
        <v>18</v>
      </c>
      <c r="Z63" s="5">
        <v>6</v>
      </c>
      <c r="AA63" s="5">
        <v>5</v>
      </c>
      <c r="AB63" s="5">
        <v>18</v>
      </c>
      <c r="AC63" s="5">
        <v>12</v>
      </c>
      <c r="AD63" s="5">
        <v>1</v>
      </c>
      <c r="AE63" s="5">
        <v>1</v>
      </c>
      <c r="AF63" s="5">
        <v>1</v>
      </c>
      <c r="AG63" s="5">
        <v>2</v>
      </c>
      <c r="AH63" s="5">
        <v>30</v>
      </c>
      <c r="AI63" s="5">
        <v>0</v>
      </c>
      <c r="AJ63" s="5">
        <v>4</v>
      </c>
      <c r="AK63" s="5">
        <v>-5</v>
      </c>
      <c r="AL63" s="5">
        <v>0</v>
      </c>
      <c r="AM63" s="5">
        <f>IF(Tabela2[[#This Row],[gols_mandante]]=Tabela2[[#This Row],[gols_visitante]],1,0)</f>
        <v>0</v>
      </c>
      <c r="AN63" s="5">
        <f>IF(Tabela2[[#This Row],[gols_mandante]]&gt;Tabela2[[#This Row],[gols_visitante]],1,0)</f>
        <v>0</v>
      </c>
      <c r="AO63" s="5">
        <f>IF(Tabela2[[#This Row],[gols_mandante]]&lt;Tabela2[[#This Row],[gols_visitante]],1,0)</f>
        <v>1</v>
      </c>
      <c r="AP63" s="5" t="s">
        <v>185</v>
      </c>
      <c r="AQ63" s="5">
        <v>1</v>
      </c>
    </row>
    <row r="64" spans="1:43" x14ac:dyDescent="0.25">
      <c r="A64" s="3">
        <v>2024</v>
      </c>
      <c r="B64" s="2">
        <v>45445</v>
      </c>
      <c r="C64" s="3">
        <v>7</v>
      </c>
      <c r="D64" s="3">
        <v>12191</v>
      </c>
      <c r="E64" s="3">
        <v>20326</v>
      </c>
      <c r="F64" s="3" t="str">
        <f t="shared" si="0"/>
        <v>&gt;=30.000</v>
      </c>
      <c r="G64" s="3">
        <f>Tabela2[[#This Row],[publico]]/Tabela2[[#This Row],[publico_max]]</f>
        <v>0.59977368887139626</v>
      </c>
      <c r="H64" s="3" t="s">
        <v>63</v>
      </c>
      <c r="I64" s="3" t="s">
        <v>69</v>
      </c>
      <c r="J64" s="3">
        <v>11</v>
      </c>
      <c r="K64" s="3" t="str">
        <f t="shared" si="1"/>
        <v>11-15 (mediano)</v>
      </c>
      <c r="L64" s="3">
        <v>6</v>
      </c>
      <c r="M64" s="3">
        <f t="shared" si="2"/>
        <v>-5</v>
      </c>
      <c r="N64" s="3">
        <v>1755</v>
      </c>
      <c r="O64" s="3" t="str">
        <f t="shared" si="3"/>
        <v>1.501–3.500 (mediano)</v>
      </c>
      <c r="P64" s="3">
        <v>3445</v>
      </c>
      <c r="Q64" s="3" t="s">
        <v>66</v>
      </c>
      <c r="R64" s="3" t="s">
        <v>41</v>
      </c>
      <c r="S64" s="3">
        <v>1</v>
      </c>
      <c r="T64" s="3">
        <v>0</v>
      </c>
      <c r="U64" s="3">
        <v>1</v>
      </c>
      <c r="V64" s="3">
        <v>0</v>
      </c>
      <c r="W64" s="3">
        <v>2</v>
      </c>
      <c r="X64" s="3">
        <v>4</v>
      </c>
      <c r="Y64" s="3">
        <v>12</v>
      </c>
      <c r="Z64" s="3">
        <v>17</v>
      </c>
      <c r="AA64" s="3">
        <v>15</v>
      </c>
      <c r="AB64" s="3">
        <v>11</v>
      </c>
      <c r="AC64" s="3">
        <v>2</v>
      </c>
      <c r="AD64" s="3">
        <v>3</v>
      </c>
      <c r="AE64" s="3">
        <v>0</v>
      </c>
      <c r="AF64" s="3">
        <v>2</v>
      </c>
      <c r="AG64" s="3">
        <v>11</v>
      </c>
      <c r="AH64" s="3">
        <v>14</v>
      </c>
      <c r="AI64" s="3">
        <v>4</v>
      </c>
      <c r="AJ64" s="3">
        <v>8</v>
      </c>
      <c r="AK64" s="3">
        <v>1</v>
      </c>
      <c r="AL64" s="3">
        <v>1</v>
      </c>
      <c r="AM64" s="3">
        <f>IF(Tabela2[[#This Row],[gols_mandante]]=Tabela2[[#This Row],[gols_visitante]],1,0)</f>
        <v>0</v>
      </c>
      <c r="AN64" s="3">
        <f>IF(Tabela2[[#This Row],[gols_mandante]]&gt;Tabela2[[#This Row],[gols_visitante]],1,0)</f>
        <v>1</v>
      </c>
      <c r="AO64" s="3">
        <f>IF(Tabela2[[#This Row],[gols_mandante]]&lt;Tabela2[[#This Row],[gols_visitante]],1,0)</f>
        <v>0</v>
      </c>
      <c r="AP64" s="3" t="s">
        <v>186</v>
      </c>
      <c r="AQ64" s="3">
        <v>0</v>
      </c>
    </row>
    <row r="65" spans="1:43" x14ac:dyDescent="0.25">
      <c r="A65" s="5">
        <v>2024</v>
      </c>
      <c r="B65" s="4">
        <v>45445</v>
      </c>
      <c r="C65" s="5">
        <v>7</v>
      </c>
      <c r="D65" s="5">
        <v>40937</v>
      </c>
      <c r="E65" s="5">
        <v>49205</v>
      </c>
      <c r="F65" s="5" t="str">
        <f t="shared" si="0"/>
        <v>10.000-14.999</v>
      </c>
      <c r="G65" s="5">
        <f>Tabela2[[#This Row],[publico]]/Tabela2[[#This Row],[publico_max]]</f>
        <v>0.83196829590488774</v>
      </c>
      <c r="H65" s="5" t="s">
        <v>88</v>
      </c>
      <c r="I65" s="5" t="s">
        <v>51</v>
      </c>
      <c r="J65" s="5">
        <v>17</v>
      </c>
      <c r="K65" s="3" t="str">
        <f t="shared" si="1"/>
        <v>16-20 (rebaixamento)</v>
      </c>
      <c r="L65" s="5">
        <v>4</v>
      </c>
      <c r="M65" s="3">
        <f t="shared" si="2"/>
        <v>-13</v>
      </c>
      <c r="N65" s="5">
        <v>4770</v>
      </c>
      <c r="O65" s="3" t="str">
        <f t="shared" si="3"/>
        <v>3.501–7.000 (intermediário)</v>
      </c>
      <c r="P65" s="5">
        <v>3285</v>
      </c>
      <c r="Q65" s="5" t="s">
        <v>176</v>
      </c>
      <c r="R65" s="5" t="s">
        <v>129</v>
      </c>
      <c r="S65" s="5">
        <v>0</v>
      </c>
      <c r="T65" s="5">
        <v>1</v>
      </c>
      <c r="U65" s="5">
        <v>0</v>
      </c>
      <c r="V65" s="5">
        <v>0</v>
      </c>
      <c r="W65" s="5">
        <v>2</v>
      </c>
      <c r="X65" s="5">
        <v>5</v>
      </c>
      <c r="Y65" s="5">
        <v>7</v>
      </c>
      <c r="Z65" s="5">
        <v>16</v>
      </c>
      <c r="AA65" s="5">
        <v>15</v>
      </c>
      <c r="AB65" s="5">
        <v>7</v>
      </c>
      <c r="AC65" s="5">
        <v>1</v>
      </c>
      <c r="AD65" s="5">
        <v>7</v>
      </c>
      <c r="AE65" s="5">
        <v>3</v>
      </c>
      <c r="AF65" s="5">
        <v>2</v>
      </c>
      <c r="AG65" s="5">
        <v>16</v>
      </c>
      <c r="AH65" s="5">
        <v>9</v>
      </c>
      <c r="AI65" s="5">
        <v>7</v>
      </c>
      <c r="AJ65" s="5">
        <v>3</v>
      </c>
      <c r="AK65" s="5">
        <v>-1</v>
      </c>
      <c r="AL65" s="5">
        <v>0</v>
      </c>
      <c r="AM65" s="5">
        <f>IF(Tabela2[[#This Row],[gols_mandante]]=Tabela2[[#This Row],[gols_visitante]],1,0)</f>
        <v>0</v>
      </c>
      <c r="AN65" s="5">
        <f>IF(Tabela2[[#This Row],[gols_mandante]]&gt;Tabela2[[#This Row],[gols_visitante]],1,0)</f>
        <v>0</v>
      </c>
      <c r="AO65" s="5">
        <f>IF(Tabela2[[#This Row],[gols_mandante]]&lt;Tabela2[[#This Row],[gols_visitante]],1,0)</f>
        <v>1</v>
      </c>
      <c r="AP65" s="5" t="s">
        <v>187</v>
      </c>
      <c r="AQ65" s="5">
        <v>0</v>
      </c>
    </row>
    <row r="66" spans="1:43" x14ac:dyDescent="0.25">
      <c r="A66" s="3">
        <v>2024</v>
      </c>
      <c r="B66" s="2">
        <v>45455</v>
      </c>
      <c r="C66" s="3">
        <v>8</v>
      </c>
      <c r="D66" s="3">
        <v>27239</v>
      </c>
      <c r="E66" s="3">
        <v>46931</v>
      </c>
      <c r="F66" s="3" t="str">
        <f t="shared" ref="F66:F129" si="4">IF(D65="","",IF(D65&lt;5000,"0-4.999",
  IF(D65&lt;10000,"5.000-9.999",
    IF(D65&lt;15000,"10.000-14.999",
      IF(D65&lt;20000,"15.000-19.999",
        IF(D65&lt;30000,"20.000-29.999","&gt;=30.000"))))))</f>
        <v>&gt;=30.000</v>
      </c>
      <c r="G66" s="3">
        <f>Tabela2[[#This Row],[publico]]/Tabela2[[#This Row],[publico_max]]</f>
        <v>0.58040527583047452</v>
      </c>
      <c r="H66" s="3" t="s">
        <v>51</v>
      </c>
      <c r="I66" s="3" t="s">
        <v>55</v>
      </c>
      <c r="J66" s="3">
        <v>3</v>
      </c>
      <c r="K66" s="3" t="str">
        <f t="shared" si="1"/>
        <v>1-5 (elite)</v>
      </c>
      <c r="L66" s="3">
        <v>17</v>
      </c>
      <c r="M66" s="3">
        <f t="shared" si="2"/>
        <v>14</v>
      </c>
      <c r="N66" s="3">
        <v>3185</v>
      </c>
      <c r="O66" s="3" t="str">
        <f t="shared" si="3"/>
        <v>1.501–3.500 (mediano)</v>
      </c>
      <c r="P66" s="3">
        <v>3470</v>
      </c>
      <c r="Q66" s="3" t="s">
        <v>92</v>
      </c>
      <c r="R66" s="3" t="s">
        <v>47</v>
      </c>
      <c r="S66" s="3">
        <v>1</v>
      </c>
      <c r="T66" s="3">
        <v>0</v>
      </c>
      <c r="U66" s="3">
        <v>0</v>
      </c>
      <c r="V66" s="3">
        <v>0</v>
      </c>
      <c r="W66" s="3">
        <v>14</v>
      </c>
      <c r="X66" s="3">
        <v>2</v>
      </c>
      <c r="Y66" s="3">
        <v>22</v>
      </c>
      <c r="Z66" s="3">
        <v>14</v>
      </c>
      <c r="AA66" s="3">
        <v>14</v>
      </c>
      <c r="AB66" s="3">
        <v>22</v>
      </c>
      <c r="AC66" s="3">
        <v>0</v>
      </c>
      <c r="AD66" s="3">
        <v>5</v>
      </c>
      <c r="AE66" s="3">
        <v>4</v>
      </c>
      <c r="AF66" s="3">
        <v>0</v>
      </c>
      <c r="AG66" s="3">
        <v>19</v>
      </c>
      <c r="AH66" s="3">
        <v>6</v>
      </c>
      <c r="AI66" s="3">
        <v>9</v>
      </c>
      <c r="AJ66" s="3">
        <v>5</v>
      </c>
      <c r="AK66" s="3">
        <v>1</v>
      </c>
      <c r="AL66" s="3">
        <v>1</v>
      </c>
      <c r="AM66" s="3">
        <f>IF(Tabela2[[#This Row],[gols_mandante]]=Tabela2[[#This Row],[gols_visitante]],1,0)</f>
        <v>0</v>
      </c>
      <c r="AN66" s="3">
        <f>IF(Tabela2[[#This Row],[gols_mandante]]&gt;Tabela2[[#This Row],[gols_visitante]],1,0)</f>
        <v>1</v>
      </c>
      <c r="AO66" s="3">
        <f>IF(Tabela2[[#This Row],[gols_mandante]]&lt;Tabela2[[#This Row],[gols_visitante]],1,0)</f>
        <v>0</v>
      </c>
      <c r="AP66" s="3" t="s">
        <v>188</v>
      </c>
      <c r="AQ66" s="3">
        <v>0</v>
      </c>
    </row>
    <row r="67" spans="1:43" x14ac:dyDescent="0.25">
      <c r="A67" s="5">
        <v>2024</v>
      </c>
      <c r="B67" s="4">
        <v>45455</v>
      </c>
      <c r="C67" s="5">
        <v>8</v>
      </c>
      <c r="D67" s="5">
        <v>12089</v>
      </c>
      <c r="E67" s="5">
        <v>13000</v>
      </c>
      <c r="F67" s="5" t="str">
        <f t="shared" si="4"/>
        <v>20.000-29.999</v>
      </c>
      <c r="G67" s="5">
        <f>Tabela2[[#This Row],[publico]]/Tabela2[[#This Row],[publico_max]]</f>
        <v>0.92992307692307696</v>
      </c>
      <c r="H67" s="5" t="s">
        <v>76</v>
      </c>
      <c r="I67" s="5" t="s">
        <v>88</v>
      </c>
      <c r="J67" s="5">
        <v>18</v>
      </c>
      <c r="K67" s="3" t="str">
        <f t="shared" ref="K67:K130" si="5">IF(J67="", "", IF(J67&lt;=5, "1-5 (elite)", IF(J67&lt;=10, "6-10 (intermediário)", IF(J67&lt;=15, "11-15 (mediano)", "16-20 (rebaixamento)"))))</f>
        <v>16-20 (rebaixamento)</v>
      </c>
      <c r="L67" s="5">
        <v>16</v>
      </c>
      <c r="M67" s="3">
        <f t="shared" ref="M67:M130" si="6">L67-J67</f>
        <v>-2</v>
      </c>
      <c r="N67" s="5">
        <v>860</v>
      </c>
      <c r="O67" s="3" t="str">
        <f t="shared" ref="O67:O130" si="7">IF(N67="", "",
   IF(N67&lt;=1500, "1–1.500 (rebaixamento)",
   IF(N67&lt;=3500, "1.501–3.500 (mediano)",
   IF(N67&lt;=7000, "3.501–7.000 (intermediário)",
   "7.001+ (elite)"))))</f>
        <v>1–1.500 (rebaixamento)</v>
      </c>
      <c r="P67" s="5">
        <v>4290</v>
      </c>
      <c r="Q67" s="5" t="s">
        <v>151</v>
      </c>
      <c r="R67" s="5" t="s">
        <v>189</v>
      </c>
      <c r="S67" s="5">
        <v>2</v>
      </c>
      <c r="T67" s="5">
        <v>2</v>
      </c>
      <c r="U67" s="5">
        <v>0</v>
      </c>
      <c r="V67" s="5">
        <v>1</v>
      </c>
      <c r="W67" s="5">
        <v>3</v>
      </c>
      <c r="X67" s="5">
        <v>4</v>
      </c>
      <c r="Y67" s="5">
        <v>12</v>
      </c>
      <c r="Z67" s="5">
        <v>13</v>
      </c>
      <c r="AA67" s="5">
        <v>12</v>
      </c>
      <c r="AB67" s="5">
        <v>12</v>
      </c>
      <c r="AC67" s="5">
        <v>1</v>
      </c>
      <c r="AD67" s="5">
        <v>6</v>
      </c>
      <c r="AE67" s="5">
        <v>1</v>
      </c>
      <c r="AF67" s="5">
        <v>0</v>
      </c>
      <c r="AG67" s="5">
        <v>22</v>
      </c>
      <c r="AH67" s="5">
        <v>7</v>
      </c>
      <c r="AI67" s="5">
        <v>8</v>
      </c>
      <c r="AJ67" s="5">
        <v>3</v>
      </c>
      <c r="AK67" s="5">
        <v>0</v>
      </c>
      <c r="AL67" s="5">
        <v>0</v>
      </c>
      <c r="AM67" s="5">
        <f>IF(Tabela2[[#This Row],[gols_mandante]]=Tabela2[[#This Row],[gols_visitante]],1,0)</f>
        <v>1</v>
      </c>
      <c r="AN67" s="5">
        <f>IF(Tabela2[[#This Row],[gols_mandante]]&gt;Tabela2[[#This Row],[gols_visitante]],1,0)</f>
        <v>0</v>
      </c>
      <c r="AO67" s="5">
        <f>IF(Tabela2[[#This Row],[gols_mandante]]&lt;Tabela2[[#This Row],[gols_visitante]],1,0)</f>
        <v>0</v>
      </c>
      <c r="AP67" s="5" t="s">
        <v>190</v>
      </c>
      <c r="AQ67" s="5">
        <v>0</v>
      </c>
    </row>
    <row r="68" spans="1:43" x14ac:dyDescent="0.25">
      <c r="A68" s="3">
        <v>2024</v>
      </c>
      <c r="B68" s="2">
        <v>45455</v>
      </c>
      <c r="C68" s="3">
        <v>8</v>
      </c>
      <c r="D68" s="3">
        <v>6186</v>
      </c>
      <c r="E68" s="3">
        <v>23726</v>
      </c>
      <c r="F68" s="3" t="str">
        <f t="shared" si="4"/>
        <v>10.000-14.999</v>
      </c>
      <c r="G68" s="3">
        <f>Tabela2[[#This Row],[publico]]/Tabela2[[#This Row],[publico_max]]</f>
        <v>0.26072662901458316</v>
      </c>
      <c r="H68" s="3" t="s">
        <v>44</v>
      </c>
      <c r="I68" s="3" t="s">
        <v>94</v>
      </c>
      <c r="J68" s="3">
        <v>12</v>
      </c>
      <c r="K68" s="3" t="str">
        <f t="shared" si="5"/>
        <v>11-15 (mediano)</v>
      </c>
      <c r="L68" s="3">
        <v>20</v>
      </c>
      <c r="M68" s="3">
        <f t="shared" si="6"/>
        <v>8</v>
      </c>
      <c r="N68" s="3">
        <v>690</v>
      </c>
      <c r="O68" s="3" t="str">
        <f t="shared" si="7"/>
        <v>1–1.500 (rebaixamento)</v>
      </c>
      <c r="P68" s="3">
        <v>1433</v>
      </c>
      <c r="Q68" s="3" t="s">
        <v>105</v>
      </c>
      <c r="R68" s="3" t="s">
        <v>120</v>
      </c>
      <c r="S68" s="3">
        <v>1</v>
      </c>
      <c r="T68" s="3">
        <v>1</v>
      </c>
      <c r="U68" s="3">
        <v>1</v>
      </c>
      <c r="V68" s="3">
        <v>1</v>
      </c>
      <c r="W68" s="3">
        <v>5</v>
      </c>
      <c r="X68" s="3">
        <v>4</v>
      </c>
      <c r="Y68" s="3">
        <v>16</v>
      </c>
      <c r="Z68" s="3">
        <v>8</v>
      </c>
      <c r="AA68" s="3">
        <v>7</v>
      </c>
      <c r="AB68" s="3">
        <v>16</v>
      </c>
      <c r="AC68" s="3">
        <v>3</v>
      </c>
      <c r="AD68" s="3">
        <v>1</v>
      </c>
      <c r="AE68" s="3">
        <v>1</v>
      </c>
      <c r="AF68" s="3">
        <v>1</v>
      </c>
      <c r="AG68" s="3">
        <v>12</v>
      </c>
      <c r="AH68" s="3">
        <v>18</v>
      </c>
      <c r="AI68" s="3">
        <v>8</v>
      </c>
      <c r="AJ68" s="3">
        <v>9</v>
      </c>
      <c r="AK68" s="3">
        <v>0</v>
      </c>
      <c r="AL68" s="3">
        <v>0</v>
      </c>
      <c r="AM68" s="3">
        <f>IF(Tabela2[[#This Row],[gols_mandante]]=Tabela2[[#This Row],[gols_visitante]],1,0)</f>
        <v>1</v>
      </c>
      <c r="AN68" s="3">
        <f>IF(Tabela2[[#This Row],[gols_mandante]]&gt;Tabela2[[#This Row],[gols_visitante]],1,0)</f>
        <v>0</v>
      </c>
      <c r="AO68" s="3">
        <f>IF(Tabela2[[#This Row],[gols_mandante]]&lt;Tabela2[[#This Row],[gols_visitante]],1,0)</f>
        <v>0</v>
      </c>
      <c r="AP68" s="3" t="s">
        <v>191</v>
      </c>
      <c r="AQ68" s="3">
        <v>0</v>
      </c>
    </row>
    <row r="69" spans="1:43" x14ac:dyDescent="0.25">
      <c r="A69" s="5">
        <v>2024</v>
      </c>
      <c r="B69" s="4">
        <v>45455</v>
      </c>
      <c r="C69" s="5">
        <v>8</v>
      </c>
      <c r="D69" s="5">
        <v>4516</v>
      </c>
      <c r="E69" s="5">
        <v>15010</v>
      </c>
      <c r="F69" s="5" t="str">
        <f t="shared" si="4"/>
        <v>5.000-9.999</v>
      </c>
      <c r="G69" s="5">
        <f>Tabela2[[#This Row],[publico]]/Tabela2[[#This Row],[publico_max]]</f>
        <v>0.30086608927381747</v>
      </c>
      <c r="H69" s="5" t="s">
        <v>56</v>
      </c>
      <c r="I69" s="5" t="s">
        <v>89</v>
      </c>
      <c r="J69" s="5">
        <v>10</v>
      </c>
      <c r="K69" s="3" t="str">
        <f t="shared" si="5"/>
        <v>6-10 (intermediário)</v>
      </c>
      <c r="L69" s="5">
        <v>5</v>
      </c>
      <c r="M69" s="3">
        <f t="shared" si="6"/>
        <v>-5</v>
      </c>
      <c r="N69" s="5">
        <v>4340</v>
      </c>
      <c r="O69" s="3" t="str">
        <f t="shared" si="7"/>
        <v>3.501–7.000 (intermediário)</v>
      </c>
      <c r="P69" s="5">
        <v>4465</v>
      </c>
      <c r="Q69" s="5">
        <v>25</v>
      </c>
      <c r="R69" s="5" t="s">
        <v>80</v>
      </c>
      <c r="S69" s="5">
        <v>1</v>
      </c>
      <c r="T69" s="5">
        <v>2</v>
      </c>
      <c r="U69" s="5">
        <v>1</v>
      </c>
      <c r="V69" s="5">
        <v>2</v>
      </c>
      <c r="W69" s="5">
        <v>8</v>
      </c>
      <c r="X69" s="5">
        <v>5</v>
      </c>
      <c r="Y69" s="5">
        <v>17</v>
      </c>
      <c r="Z69" s="5">
        <v>18</v>
      </c>
      <c r="AA69" s="5">
        <v>17</v>
      </c>
      <c r="AB69" s="5">
        <v>17</v>
      </c>
      <c r="AC69" s="5">
        <v>2</v>
      </c>
      <c r="AD69" s="5">
        <v>4</v>
      </c>
      <c r="AE69" s="5">
        <v>1</v>
      </c>
      <c r="AF69" s="5">
        <v>2</v>
      </c>
      <c r="AG69" s="5">
        <v>15</v>
      </c>
      <c r="AH69" s="5">
        <v>10</v>
      </c>
      <c r="AI69" s="5">
        <v>7</v>
      </c>
      <c r="AJ69" s="5">
        <v>2</v>
      </c>
      <c r="AK69" s="5">
        <v>-1</v>
      </c>
      <c r="AL69" s="5">
        <v>0</v>
      </c>
      <c r="AM69" s="5">
        <f>IF(Tabela2[[#This Row],[gols_mandante]]=Tabela2[[#This Row],[gols_visitante]],1,0)</f>
        <v>0</v>
      </c>
      <c r="AN69" s="5">
        <f>IF(Tabela2[[#This Row],[gols_mandante]]&gt;Tabela2[[#This Row],[gols_visitante]],1,0)</f>
        <v>0</v>
      </c>
      <c r="AO69" s="5">
        <f>IF(Tabela2[[#This Row],[gols_mandante]]&lt;Tabela2[[#This Row],[gols_visitante]],1,0)</f>
        <v>1</v>
      </c>
      <c r="AP69" s="5" t="s">
        <v>192</v>
      </c>
      <c r="AQ69" s="5">
        <v>1</v>
      </c>
    </row>
    <row r="70" spans="1:43" x14ac:dyDescent="0.25">
      <c r="A70" s="3">
        <v>2024</v>
      </c>
      <c r="B70" s="2">
        <v>45457</v>
      </c>
      <c r="C70" s="3">
        <v>8</v>
      </c>
      <c r="D70" s="3">
        <v>51785</v>
      </c>
      <c r="E70" s="3">
        <v>78838</v>
      </c>
      <c r="F70" s="3" t="str">
        <f t="shared" si="4"/>
        <v>0-4.999</v>
      </c>
      <c r="G70" s="3">
        <f>Tabela2[[#This Row],[publico]]/Tabela2[[#This Row],[publico_max]]</f>
        <v>0.65685329409675541</v>
      </c>
      <c r="H70" s="3" t="s">
        <v>77</v>
      </c>
      <c r="I70" s="3" t="s">
        <v>83</v>
      </c>
      <c r="J70" s="3">
        <v>1</v>
      </c>
      <c r="K70" s="3" t="str">
        <f t="shared" si="5"/>
        <v>1-5 (elite)</v>
      </c>
      <c r="L70" s="3">
        <v>14</v>
      </c>
      <c r="M70" s="3">
        <f t="shared" si="6"/>
        <v>13</v>
      </c>
      <c r="N70" s="3">
        <v>7990</v>
      </c>
      <c r="O70" s="3" t="str">
        <f t="shared" si="7"/>
        <v>7.001+ (elite)</v>
      </c>
      <c r="P70" s="3">
        <v>3030</v>
      </c>
      <c r="Q70" s="3" t="s">
        <v>151</v>
      </c>
      <c r="R70" s="3" t="s">
        <v>193</v>
      </c>
      <c r="S70" s="3">
        <v>2</v>
      </c>
      <c r="T70" s="3">
        <v>1</v>
      </c>
      <c r="U70" s="3">
        <v>1</v>
      </c>
      <c r="V70" s="3">
        <v>0</v>
      </c>
      <c r="W70" s="3">
        <v>4</v>
      </c>
      <c r="X70" s="3">
        <v>6</v>
      </c>
      <c r="Y70" s="3">
        <v>9</v>
      </c>
      <c r="Z70" s="3">
        <v>10</v>
      </c>
      <c r="AA70" s="3">
        <v>10</v>
      </c>
      <c r="AB70" s="3">
        <v>7</v>
      </c>
      <c r="AC70" s="3">
        <v>4</v>
      </c>
      <c r="AD70" s="3">
        <v>4</v>
      </c>
      <c r="AE70" s="3">
        <v>0</v>
      </c>
      <c r="AF70" s="3">
        <v>0</v>
      </c>
      <c r="AG70" s="3">
        <v>16</v>
      </c>
      <c r="AH70" s="3">
        <v>15</v>
      </c>
      <c r="AI70" s="3">
        <v>8</v>
      </c>
      <c r="AJ70" s="3">
        <v>6</v>
      </c>
      <c r="AK70" s="3">
        <v>1</v>
      </c>
      <c r="AL70" s="3">
        <v>1</v>
      </c>
      <c r="AM70" s="3">
        <f>IF(Tabela2[[#This Row],[gols_mandante]]=Tabela2[[#This Row],[gols_visitante]],1,0)</f>
        <v>0</v>
      </c>
      <c r="AN70" s="3">
        <f>IF(Tabela2[[#This Row],[gols_mandante]]&gt;Tabela2[[#This Row],[gols_visitante]],1,0)</f>
        <v>1</v>
      </c>
      <c r="AO70" s="3">
        <f>IF(Tabela2[[#This Row],[gols_mandante]]&lt;Tabela2[[#This Row],[gols_visitante]],1,0)</f>
        <v>0</v>
      </c>
      <c r="AP70" s="3" t="s">
        <v>194</v>
      </c>
      <c r="AQ70" s="3">
        <v>0</v>
      </c>
    </row>
    <row r="71" spans="1:43" x14ac:dyDescent="0.25">
      <c r="A71" s="5">
        <v>2024</v>
      </c>
      <c r="B71" s="4">
        <v>45457</v>
      </c>
      <c r="C71" s="5">
        <v>8</v>
      </c>
      <c r="D71" s="5">
        <v>26595</v>
      </c>
      <c r="E71" s="5">
        <v>61927</v>
      </c>
      <c r="F71" s="5" t="str">
        <f t="shared" si="4"/>
        <v>&gt;=30.000</v>
      </c>
      <c r="G71" s="5">
        <f>Tabela2[[#This Row],[publico]]/Tabela2[[#This Row],[publico_max]]</f>
        <v>0.42945726419816882</v>
      </c>
      <c r="H71" s="5" t="s">
        <v>50</v>
      </c>
      <c r="I71" s="5" t="s">
        <v>70</v>
      </c>
      <c r="J71" s="5">
        <v>9</v>
      </c>
      <c r="K71" s="3" t="str">
        <f t="shared" si="5"/>
        <v>6-10 (intermediário)</v>
      </c>
      <c r="L71" s="5">
        <v>19</v>
      </c>
      <c r="M71" s="3">
        <f t="shared" si="6"/>
        <v>10</v>
      </c>
      <c r="N71" s="5">
        <v>3015</v>
      </c>
      <c r="O71" s="3" t="str">
        <f t="shared" si="7"/>
        <v>1.501–3.500 (mediano)</v>
      </c>
      <c r="P71" s="5">
        <v>1185</v>
      </c>
      <c r="Q71" s="5" t="s">
        <v>116</v>
      </c>
      <c r="R71" s="5">
        <v>28</v>
      </c>
      <c r="S71" s="5">
        <v>2</v>
      </c>
      <c r="T71" s="5">
        <v>1</v>
      </c>
      <c r="U71" s="5">
        <v>1</v>
      </c>
      <c r="V71" s="5">
        <v>0</v>
      </c>
      <c r="W71" s="5">
        <v>6</v>
      </c>
      <c r="X71" s="5">
        <v>4</v>
      </c>
      <c r="Y71" s="5">
        <v>9</v>
      </c>
      <c r="Z71" s="5">
        <v>12</v>
      </c>
      <c r="AA71" s="5">
        <v>12</v>
      </c>
      <c r="AB71" s="5">
        <v>9</v>
      </c>
      <c r="AC71" s="5">
        <v>4</v>
      </c>
      <c r="AD71" s="5">
        <v>4</v>
      </c>
      <c r="AE71" s="5">
        <v>0</v>
      </c>
      <c r="AF71" s="5">
        <v>1</v>
      </c>
      <c r="AG71" s="5">
        <v>12</v>
      </c>
      <c r="AH71" s="5">
        <v>16</v>
      </c>
      <c r="AI71" s="5">
        <v>5</v>
      </c>
      <c r="AJ71" s="5">
        <v>5</v>
      </c>
      <c r="AK71" s="5">
        <v>1</v>
      </c>
      <c r="AL71" s="5">
        <v>1</v>
      </c>
      <c r="AM71" s="5">
        <f>IF(Tabela2[[#This Row],[gols_mandante]]=Tabela2[[#This Row],[gols_visitante]],1,0)</f>
        <v>0</v>
      </c>
      <c r="AN71" s="5">
        <f>IF(Tabela2[[#This Row],[gols_mandante]]&gt;Tabela2[[#This Row],[gols_visitante]],1,0)</f>
        <v>1</v>
      </c>
      <c r="AO71" s="5">
        <f>IF(Tabela2[[#This Row],[gols_mandante]]&lt;Tabela2[[#This Row],[gols_visitante]],1,0)</f>
        <v>0</v>
      </c>
      <c r="AP71" s="5" t="s">
        <v>195</v>
      </c>
      <c r="AQ71" s="5">
        <v>0</v>
      </c>
    </row>
    <row r="72" spans="1:43" x14ac:dyDescent="0.25">
      <c r="A72" s="3">
        <v>2024</v>
      </c>
      <c r="B72" s="2">
        <v>45457</v>
      </c>
      <c r="C72" s="3">
        <v>8</v>
      </c>
      <c r="D72" s="3">
        <v>37641</v>
      </c>
      <c r="E72" s="3">
        <v>43713</v>
      </c>
      <c r="F72" s="3" t="str">
        <f t="shared" si="4"/>
        <v>20.000-29.999</v>
      </c>
      <c r="G72" s="3">
        <f>Tabela2[[#This Row],[publico]]/Tabela2[[#This Row],[publico_max]]</f>
        <v>0.86109395374373754</v>
      </c>
      <c r="H72" s="3" t="s">
        <v>95</v>
      </c>
      <c r="I72" s="3" t="s">
        <v>82</v>
      </c>
      <c r="J72" s="3">
        <v>8</v>
      </c>
      <c r="K72" s="3" t="str">
        <f t="shared" si="5"/>
        <v>6-10 (intermediário)</v>
      </c>
      <c r="L72" s="3">
        <v>15</v>
      </c>
      <c r="M72" s="3">
        <f t="shared" si="6"/>
        <v>7</v>
      </c>
      <c r="N72" s="3">
        <v>8070</v>
      </c>
      <c r="O72" s="3" t="str">
        <f t="shared" si="7"/>
        <v>7.001+ (elite)</v>
      </c>
      <c r="P72" s="3">
        <v>2695</v>
      </c>
      <c r="Q72" s="3" t="s">
        <v>114</v>
      </c>
      <c r="R72" s="3" t="s">
        <v>74</v>
      </c>
      <c r="S72" s="3">
        <v>2</v>
      </c>
      <c r="T72" s="3">
        <v>0</v>
      </c>
      <c r="U72" s="3">
        <v>1</v>
      </c>
      <c r="V72" s="3">
        <v>0</v>
      </c>
      <c r="W72" s="3">
        <v>10</v>
      </c>
      <c r="X72" s="3">
        <v>6</v>
      </c>
      <c r="Y72" s="3">
        <v>10</v>
      </c>
      <c r="Z72" s="3">
        <v>14</v>
      </c>
      <c r="AA72" s="3">
        <v>13</v>
      </c>
      <c r="AB72" s="3">
        <v>10</v>
      </c>
      <c r="AC72" s="3">
        <v>2</v>
      </c>
      <c r="AD72" s="3">
        <v>4</v>
      </c>
      <c r="AE72" s="3">
        <v>1</v>
      </c>
      <c r="AF72" s="3">
        <v>1</v>
      </c>
      <c r="AG72" s="3">
        <v>28</v>
      </c>
      <c r="AH72" s="3">
        <v>9</v>
      </c>
      <c r="AI72" s="3">
        <v>13</v>
      </c>
      <c r="AJ72" s="3">
        <v>6</v>
      </c>
      <c r="AK72" s="3">
        <v>2</v>
      </c>
      <c r="AL72" s="3">
        <v>1</v>
      </c>
      <c r="AM72" s="3">
        <f>IF(Tabela2[[#This Row],[gols_mandante]]=Tabela2[[#This Row],[gols_visitante]],1,0)</f>
        <v>0</v>
      </c>
      <c r="AN72" s="3">
        <f>IF(Tabela2[[#This Row],[gols_mandante]]&gt;Tabela2[[#This Row],[gols_visitante]],1,0)</f>
        <v>1</v>
      </c>
      <c r="AO72" s="3">
        <f>IF(Tabela2[[#This Row],[gols_mandante]]&lt;Tabela2[[#This Row],[gols_visitante]],1,0)</f>
        <v>0</v>
      </c>
      <c r="AP72" s="3" t="s">
        <v>196</v>
      </c>
      <c r="AQ72" s="3">
        <v>0</v>
      </c>
    </row>
    <row r="73" spans="1:43" x14ac:dyDescent="0.25">
      <c r="A73" s="5">
        <v>2024</v>
      </c>
      <c r="B73" s="4">
        <v>45457</v>
      </c>
      <c r="C73" s="5">
        <v>8</v>
      </c>
      <c r="D73" s="5">
        <v>23424</v>
      </c>
      <c r="E73" s="5">
        <v>42372</v>
      </c>
      <c r="F73" s="5" t="str">
        <f t="shared" si="4"/>
        <v>&gt;=30.000</v>
      </c>
      <c r="G73" s="5">
        <f>Tabela2[[#This Row],[publico]]/Tabela2[[#This Row],[publico_max]]</f>
        <v>0.55281789861229114</v>
      </c>
      <c r="H73" s="5" t="s">
        <v>69</v>
      </c>
      <c r="I73" s="5" t="s">
        <v>43</v>
      </c>
      <c r="J73" s="5">
        <v>4</v>
      </c>
      <c r="K73" s="3" t="str">
        <f t="shared" si="5"/>
        <v>1-5 (elite)</v>
      </c>
      <c r="L73" s="5">
        <v>13</v>
      </c>
      <c r="M73" s="3">
        <f t="shared" si="6"/>
        <v>9</v>
      </c>
      <c r="N73" s="5">
        <v>2845</v>
      </c>
      <c r="O73" s="3" t="str">
        <f t="shared" si="7"/>
        <v>1.501–3.500 (mediano)</v>
      </c>
      <c r="P73" s="5">
        <v>688</v>
      </c>
      <c r="Q73" s="5" t="s">
        <v>128</v>
      </c>
      <c r="R73" s="5" t="s">
        <v>197</v>
      </c>
      <c r="S73" s="5">
        <v>3</v>
      </c>
      <c r="T73" s="5">
        <v>1</v>
      </c>
      <c r="U73" s="5">
        <v>1</v>
      </c>
      <c r="V73" s="5">
        <v>1</v>
      </c>
      <c r="W73" s="5">
        <v>5</v>
      </c>
      <c r="X73" s="5">
        <v>3</v>
      </c>
      <c r="Y73" s="5">
        <v>9</v>
      </c>
      <c r="Z73" s="5">
        <v>12</v>
      </c>
      <c r="AA73" s="5">
        <v>10</v>
      </c>
      <c r="AB73" s="5">
        <v>9</v>
      </c>
      <c r="AC73" s="5">
        <v>3</v>
      </c>
      <c r="AD73" s="5">
        <v>4</v>
      </c>
      <c r="AE73" s="5">
        <v>2</v>
      </c>
      <c r="AF73" s="5">
        <v>3</v>
      </c>
      <c r="AG73" s="5">
        <v>23</v>
      </c>
      <c r="AH73" s="5">
        <v>12</v>
      </c>
      <c r="AI73" s="5">
        <v>10</v>
      </c>
      <c r="AJ73" s="5">
        <v>5</v>
      </c>
      <c r="AK73" s="5">
        <v>2</v>
      </c>
      <c r="AL73" s="5">
        <v>1</v>
      </c>
      <c r="AM73" s="5">
        <f>IF(Tabela2[[#This Row],[gols_mandante]]=Tabela2[[#This Row],[gols_visitante]],1,0)</f>
        <v>0</v>
      </c>
      <c r="AN73" s="5">
        <f>IF(Tabela2[[#This Row],[gols_mandante]]&gt;Tabela2[[#This Row],[gols_visitante]],1,0)</f>
        <v>1</v>
      </c>
      <c r="AO73" s="5">
        <f>IF(Tabela2[[#This Row],[gols_mandante]]&lt;Tabela2[[#This Row],[gols_visitante]],1,0)</f>
        <v>0</v>
      </c>
      <c r="AP73" s="5" t="s">
        <v>198</v>
      </c>
      <c r="AQ73" s="5">
        <v>0</v>
      </c>
    </row>
    <row r="74" spans="1:43" x14ac:dyDescent="0.25">
      <c r="A74" s="3">
        <v>2024</v>
      </c>
      <c r="B74" s="2">
        <v>45457</v>
      </c>
      <c r="C74" s="3">
        <v>8</v>
      </c>
      <c r="D74" s="3">
        <v>17987</v>
      </c>
      <c r="E74" s="3">
        <v>19848</v>
      </c>
      <c r="F74" s="3" t="str">
        <f t="shared" si="4"/>
        <v>20.000-29.999</v>
      </c>
      <c r="G74" s="3">
        <f>Tabela2[[#This Row],[publico]]/Tabela2[[#This Row],[publico_max]]</f>
        <v>0.90623740427247079</v>
      </c>
      <c r="H74" s="3" t="s">
        <v>37</v>
      </c>
      <c r="I74" s="3" t="s">
        <v>62</v>
      </c>
      <c r="J74" s="3">
        <v>6</v>
      </c>
      <c r="K74" s="3" t="str">
        <f t="shared" si="5"/>
        <v>6-10 (intermediário)</v>
      </c>
      <c r="L74" s="3">
        <v>7</v>
      </c>
      <c r="M74" s="3">
        <f t="shared" si="6"/>
        <v>1</v>
      </c>
      <c r="N74" s="3">
        <v>3580</v>
      </c>
      <c r="O74" s="3" t="str">
        <f t="shared" si="7"/>
        <v>3.501–7.000 (intermediário)</v>
      </c>
      <c r="P74" s="3">
        <v>3485</v>
      </c>
      <c r="Q74" s="3" t="s">
        <v>109</v>
      </c>
      <c r="R74" s="3" t="s">
        <v>105</v>
      </c>
      <c r="S74" s="3">
        <v>0</v>
      </c>
      <c r="T74" s="3">
        <v>0</v>
      </c>
      <c r="U74" s="3">
        <v>0</v>
      </c>
      <c r="V74" s="3">
        <v>0</v>
      </c>
      <c r="W74" s="3">
        <v>5</v>
      </c>
      <c r="X74" s="3">
        <v>3</v>
      </c>
      <c r="Y74" s="3">
        <v>15</v>
      </c>
      <c r="Z74" s="3">
        <v>18</v>
      </c>
      <c r="AA74" s="3">
        <v>16</v>
      </c>
      <c r="AB74" s="3">
        <v>15</v>
      </c>
      <c r="AC74" s="3">
        <v>5</v>
      </c>
      <c r="AD74" s="3">
        <v>0</v>
      </c>
      <c r="AE74" s="3">
        <v>1</v>
      </c>
      <c r="AF74" s="3">
        <v>3</v>
      </c>
      <c r="AG74" s="3">
        <v>7</v>
      </c>
      <c r="AH74" s="3">
        <v>9</v>
      </c>
      <c r="AI74" s="3">
        <v>6</v>
      </c>
      <c r="AJ74" s="3">
        <v>3</v>
      </c>
      <c r="AK74" s="3">
        <v>0</v>
      </c>
      <c r="AL74" s="3">
        <v>0</v>
      </c>
      <c r="AM74" s="3">
        <f>IF(Tabela2[[#This Row],[gols_mandante]]=Tabela2[[#This Row],[gols_visitante]],1,0)</f>
        <v>1</v>
      </c>
      <c r="AN74" s="3">
        <f>IF(Tabela2[[#This Row],[gols_mandante]]&gt;Tabela2[[#This Row],[gols_visitante]],1,0)</f>
        <v>0</v>
      </c>
      <c r="AO74" s="3">
        <f>IF(Tabela2[[#This Row],[gols_mandante]]&lt;Tabela2[[#This Row],[gols_visitante]],1,0)</f>
        <v>0</v>
      </c>
      <c r="AP74" s="3" t="s">
        <v>199</v>
      </c>
      <c r="AQ74" s="3">
        <v>0</v>
      </c>
    </row>
    <row r="75" spans="1:43" x14ac:dyDescent="0.25">
      <c r="A75" s="5">
        <v>2024</v>
      </c>
      <c r="B75" s="4">
        <v>45457</v>
      </c>
      <c r="C75" s="5">
        <v>8</v>
      </c>
      <c r="D75" s="5">
        <v>30048</v>
      </c>
      <c r="E75" s="5">
        <v>47364</v>
      </c>
      <c r="F75" s="5" t="str">
        <f t="shared" si="4"/>
        <v>15.000-19.999</v>
      </c>
      <c r="G75" s="5">
        <f>Tabela2[[#This Row],[publico]]/Tabela2[[#This Row],[publico_max]]</f>
        <v>0.6344058778819357</v>
      </c>
      <c r="H75" s="5" t="s">
        <v>38</v>
      </c>
      <c r="I75" s="5" t="s">
        <v>63</v>
      </c>
      <c r="J75" s="5">
        <v>2</v>
      </c>
      <c r="K75" s="3" t="str">
        <f t="shared" si="5"/>
        <v>1-5 (elite)</v>
      </c>
      <c r="L75" s="5">
        <v>11</v>
      </c>
      <c r="M75" s="3">
        <f t="shared" si="6"/>
        <v>9</v>
      </c>
      <c r="N75" s="5">
        <v>3000</v>
      </c>
      <c r="O75" s="3" t="str">
        <f t="shared" si="7"/>
        <v>1.501–3.500 (mediano)</v>
      </c>
      <c r="P75" s="5">
        <v>1565</v>
      </c>
      <c r="Q75" s="5" t="s">
        <v>134</v>
      </c>
      <c r="R75" s="5" t="s">
        <v>200</v>
      </c>
      <c r="S75" s="5">
        <v>1</v>
      </c>
      <c r="T75" s="5">
        <v>0</v>
      </c>
      <c r="U75" s="5">
        <v>0</v>
      </c>
      <c r="V75" s="5">
        <v>0</v>
      </c>
      <c r="W75" s="5">
        <v>5</v>
      </c>
      <c r="X75" s="5">
        <v>9</v>
      </c>
      <c r="Y75" s="5">
        <v>14</v>
      </c>
      <c r="Z75" s="5">
        <v>9</v>
      </c>
      <c r="AA75" s="5">
        <v>9</v>
      </c>
      <c r="AB75" s="5">
        <v>12</v>
      </c>
      <c r="AC75" s="5">
        <v>6</v>
      </c>
      <c r="AD75" s="5">
        <v>2</v>
      </c>
      <c r="AE75" s="5">
        <v>0</v>
      </c>
      <c r="AF75" s="5">
        <v>6</v>
      </c>
      <c r="AG75" s="5">
        <v>12</v>
      </c>
      <c r="AH75" s="5">
        <v>21</v>
      </c>
      <c r="AI75" s="5">
        <v>6</v>
      </c>
      <c r="AJ75" s="5">
        <v>8</v>
      </c>
      <c r="AK75" s="5">
        <v>1</v>
      </c>
      <c r="AL75" s="5">
        <v>1</v>
      </c>
      <c r="AM75" s="5">
        <f>IF(Tabela2[[#This Row],[gols_mandante]]=Tabela2[[#This Row],[gols_visitante]],1,0)</f>
        <v>0</v>
      </c>
      <c r="AN75" s="5">
        <f>IF(Tabela2[[#This Row],[gols_mandante]]&gt;Tabela2[[#This Row],[gols_visitante]],1,0)</f>
        <v>1</v>
      </c>
      <c r="AO75" s="5">
        <f>IF(Tabela2[[#This Row],[gols_mandante]]&lt;Tabela2[[#This Row],[gols_visitante]],1,0)</f>
        <v>0</v>
      </c>
      <c r="AP75" s="5" t="s">
        <v>201</v>
      </c>
      <c r="AQ75" s="5">
        <v>0</v>
      </c>
    </row>
    <row r="76" spans="1:43" x14ac:dyDescent="0.25">
      <c r="A76" s="3">
        <v>2024</v>
      </c>
      <c r="B76" s="2">
        <v>45458</v>
      </c>
      <c r="C76" s="3">
        <v>9</v>
      </c>
      <c r="D76" s="3">
        <v>3338</v>
      </c>
      <c r="E76" s="3">
        <v>15010</v>
      </c>
      <c r="F76" s="3" t="str">
        <f t="shared" si="4"/>
        <v>&gt;=30.000</v>
      </c>
      <c r="G76" s="3">
        <f>Tabela2[[#This Row],[publico]]/Tabela2[[#This Row],[publico_max]]</f>
        <v>0.22238507661558959</v>
      </c>
      <c r="H76" s="3" t="s">
        <v>56</v>
      </c>
      <c r="I76" s="3" t="s">
        <v>44</v>
      </c>
      <c r="J76" s="3">
        <v>8</v>
      </c>
      <c r="K76" s="3" t="str">
        <f t="shared" si="5"/>
        <v>6-10 (intermediário)</v>
      </c>
      <c r="L76" s="3">
        <v>13</v>
      </c>
      <c r="M76" s="3">
        <f t="shared" si="6"/>
        <v>5</v>
      </c>
      <c r="N76" s="3">
        <v>4190</v>
      </c>
      <c r="O76" s="3" t="str">
        <f t="shared" si="7"/>
        <v>3.501–7.000 (intermediário)</v>
      </c>
      <c r="P76" s="3">
        <v>765</v>
      </c>
      <c r="Q76" s="3" t="s">
        <v>202</v>
      </c>
      <c r="R76" s="3" t="s">
        <v>135</v>
      </c>
      <c r="S76" s="3">
        <v>2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12</v>
      </c>
      <c r="Z76" s="3">
        <v>12</v>
      </c>
      <c r="AA76" s="3">
        <v>12</v>
      </c>
      <c r="AB76" s="3">
        <v>12</v>
      </c>
      <c r="AC76" s="3">
        <v>5</v>
      </c>
      <c r="AD76" s="3">
        <v>0</v>
      </c>
      <c r="AE76" s="3">
        <v>0</v>
      </c>
      <c r="AF76" s="3">
        <v>5</v>
      </c>
      <c r="AG76" s="3">
        <v>6</v>
      </c>
      <c r="AH76" s="3">
        <v>14</v>
      </c>
      <c r="AI76" s="3">
        <v>1</v>
      </c>
      <c r="AJ76" s="3">
        <v>5</v>
      </c>
      <c r="AK76" s="3">
        <v>1</v>
      </c>
      <c r="AL76" s="3">
        <v>1</v>
      </c>
      <c r="AM76" s="3">
        <f>IF(Tabela2[[#This Row],[gols_mandante]]=Tabela2[[#This Row],[gols_visitante]],1,0)</f>
        <v>0</v>
      </c>
      <c r="AN76" s="3">
        <f>IF(Tabela2[[#This Row],[gols_mandante]]&gt;Tabela2[[#This Row],[gols_visitante]],1,0)</f>
        <v>1</v>
      </c>
      <c r="AO76" s="3">
        <f>IF(Tabela2[[#This Row],[gols_mandante]]&lt;Tabela2[[#This Row],[gols_visitante]],1,0)</f>
        <v>0</v>
      </c>
      <c r="AP76" s="3" t="s">
        <v>203</v>
      </c>
      <c r="AQ76" s="3">
        <v>1</v>
      </c>
    </row>
    <row r="77" spans="1:43" x14ac:dyDescent="0.25">
      <c r="A77" s="5">
        <v>2024</v>
      </c>
      <c r="B77" s="4">
        <v>45459</v>
      </c>
      <c r="C77" s="5">
        <v>9</v>
      </c>
      <c r="D77" s="5">
        <v>15811</v>
      </c>
      <c r="E77" s="5">
        <v>21540</v>
      </c>
      <c r="F77" s="5" t="str">
        <f t="shared" si="4"/>
        <v>0-4.999</v>
      </c>
      <c r="G77" s="5">
        <f>Tabela2[[#This Row],[publico]]/Tabela2[[#This Row],[publico_max]]</f>
        <v>0.73402971216341695</v>
      </c>
      <c r="H77" s="5" t="s">
        <v>83</v>
      </c>
      <c r="I77" s="5" t="s">
        <v>51</v>
      </c>
      <c r="J77" s="5">
        <v>18</v>
      </c>
      <c r="K77" s="3" t="str">
        <f t="shared" si="5"/>
        <v>16-20 (rebaixamento)</v>
      </c>
      <c r="L77" s="5">
        <v>1</v>
      </c>
      <c r="M77" s="3">
        <f t="shared" si="6"/>
        <v>-17</v>
      </c>
      <c r="N77" s="5">
        <v>2910</v>
      </c>
      <c r="O77" s="3" t="str">
        <f t="shared" si="7"/>
        <v>1.501–3.500 (mediano)</v>
      </c>
      <c r="P77" s="5">
        <v>3135</v>
      </c>
      <c r="Q77" s="5" t="s">
        <v>128</v>
      </c>
      <c r="R77" s="5" t="s">
        <v>105</v>
      </c>
      <c r="S77" s="5">
        <v>1</v>
      </c>
      <c r="T77" s="5">
        <v>2</v>
      </c>
      <c r="U77" s="5">
        <v>1</v>
      </c>
      <c r="V77" s="5">
        <v>1</v>
      </c>
      <c r="W77" s="5">
        <v>7</v>
      </c>
      <c r="X77" s="5">
        <v>4</v>
      </c>
      <c r="Y77" s="5">
        <v>12</v>
      </c>
      <c r="Z77" s="5">
        <v>11</v>
      </c>
      <c r="AA77" s="5">
        <v>11</v>
      </c>
      <c r="AB77" s="5">
        <v>12</v>
      </c>
      <c r="AC77" s="5">
        <v>3</v>
      </c>
      <c r="AD77" s="5">
        <v>2</v>
      </c>
      <c r="AE77" s="5">
        <v>0</v>
      </c>
      <c r="AF77" s="5">
        <v>0</v>
      </c>
      <c r="AG77" s="5">
        <v>15</v>
      </c>
      <c r="AH77" s="5">
        <v>14</v>
      </c>
      <c r="AI77" s="5">
        <v>5</v>
      </c>
      <c r="AJ77" s="5">
        <v>5</v>
      </c>
      <c r="AK77" s="5">
        <v>-1</v>
      </c>
      <c r="AL77" s="5">
        <v>0</v>
      </c>
      <c r="AM77" s="5">
        <f>IF(Tabela2[[#This Row],[gols_mandante]]=Tabela2[[#This Row],[gols_visitante]],1,0)</f>
        <v>0</v>
      </c>
      <c r="AN77" s="5">
        <f>IF(Tabela2[[#This Row],[gols_mandante]]&gt;Tabela2[[#This Row],[gols_visitante]],1,0)</f>
        <v>0</v>
      </c>
      <c r="AO77" s="5">
        <f>IF(Tabela2[[#This Row],[gols_mandante]]&lt;Tabela2[[#This Row],[gols_visitante]],1,0)</f>
        <v>1</v>
      </c>
      <c r="AP77" s="5" t="s">
        <v>204</v>
      </c>
      <c r="AQ77" s="5">
        <v>0</v>
      </c>
    </row>
    <row r="78" spans="1:43" x14ac:dyDescent="0.25">
      <c r="A78" s="3">
        <v>2024</v>
      </c>
      <c r="B78" s="2">
        <v>45459</v>
      </c>
      <c r="C78" s="3">
        <v>9</v>
      </c>
      <c r="D78" s="3">
        <v>4474</v>
      </c>
      <c r="E78" s="3">
        <v>42968</v>
      </c>
      <c r="F78" s="3" t="str">
        <f t="shared" si="4"/>
        <v>15.000-19.999</v>
      </c>
      <c r="G78" s="3">
        <f>Tabela2[[#This Row],[publico]]/Tabela2[[#This Row],[publico_max]]</f>
        <v>0.10412399925525972</v>
      </c>
      <c r="H78" s="3" t="s">
        <v>70</v>
      </c>
      <c r="I78" s="3" t="s">
        <v>63</v>
      </c>
      <c r="J78" s="3">
        <v>15</v>
      </c>
      <c r="K78" s="3" t="str">
        <f t="shared" si="5"/>
        <v>11-15 (mediano)</v>
      </c>
      <c r="L78" s="3">
        <v>11</v>
      </c>
      <c r="M78" s="3">
        <f t="shared" si="6"/>
        <v>-4</v>
      </c>
      <c r="N78" s="3">
        <v>1340</v>
      </c>
      <c r="O78" s="3" t="str">
        <f t="shared" si="7"/>
        <v>1–1.500 (rebaixamento)</v>
      </c>
      <c r="P78" s="3">
        <v>1425</v>
      </c>
      <c r="Q78" s="3" t="s">
        <v>107</v>
      </c>
      <c r="R78" s="3" t="s">
        <v>205</v>
      </c>
      <c r="S78" s="3">
        <v>5</v>
      </c>
      <c r="T78" s="3">
        <v>0</v>
      </c>
      <c r="U78" s="3">
        <v>4</v>
      </c>
      <c r="V78" s="3">
        <v>0</v>
      </c>
      <c r="W78" s="3">
        <v>5</v>
      </c>
      <c r="X78" s="3">
        <v>1</v>
      </c>
      <c r="Y78" s="3">
        <v>9</v>
      </c>
      <c r="Z78" s="3">
        <v>6</v>
      </c>
      <c r="AA78" s="3">
        <v>4</v>
      </c>
      <c r="AB78" s="3">
        <v>9</v>
      </c>
      <c r="AC78" s="3">
        <v>0</v>
      </c>
      <c r="AD78" s="3">
        <v>8</v>
      </c>
      <c r="AE78" s="3">
        <v>1</v>
      </c>
      <c r="AF78" s="3">
        <v>1</v>
      </c>
      <c r="AG78" s="3">
        <v>21</v>
      </c>
      <c r="AH78" s="3">
        <v>2</v>
      </c>
      <c r="AI78" s="3">
        <v>5</v>
      </c>
      <c r="AJ78" s="3">
        <v>2</v>
      </c>
      <c r="AK78" s="3">
        <v>5</v>
      </c>
      <c r="AL78" s="3">
        <v>1</v>
      </c>
      <c r="AM78" s="3">
        <f>IF(Tabela2[[#This Row],[gols_mandante]]=Tabela2[[#This Row],[gols_visitante]],1,0)</f>
        <v>0</v>
      </c>
      <c r="AN78" s="3">
        <f>IF(Tabela2[[#This Row],[gols_mandante]]&gt;Tabela2[[#This Row],[gols_visitante]],1,0)</f>
        <v>1</v>
      </c>
      <c r="AO78" s="3">
        <f>IF(Tabela2[[#This Row],[gols_mandante]]&lt;Tabela2[[#This Row],[gols_visitante]],1,0)</f>
        <v>0</v>
      </c>
      <c r="AP78" s="3" t="s">
        <v>206</v>
      </c>
      <c r="AQ78" s="3">
        <v>0</v>
      </c>
    </row>
    <row r="79" spans="1:43" x14ac:dyDescent="0.25">
      <c r="A79" s="5">
        <v>2024</v>
      </c>
      <c r="B79" s="4">
        <v>45459</v>
      </c>
      <c r="C79" s="5">
        <v>9</v>
      </c>
      <c r="D79" s="5">
        <v>14485</v>
      </c>
      <c r="E79" s="5">
        <v>82238</v>
      </c>
      <c r="F79" s="5" t="str">
        <f t="shared" si="4"/>
        <v>0-4.999</v>
      </c>
      <c r="G79" s="5">
        <f>Tabela2[[#This Row],[publico]]/Tabela2[[#This Row],[publico_max]]</f>
        <v>0.17613512001751017</v>
      </c>
      <c r="H79" s="5" t="s">
        <v>55</v>
      </c>
      <c r="I79" s="5" t="s">
        <v>76</v>
      </c>
      <c r="J79" s="5">
        <v>19</v>
      </c>
      <c r="K79" s="3" t="str">
        <f t="shared" si="5"/>
        <v>16-20 (rebaixamento)</v>
      </c>
      <c r="L79" s="5">
        <v>14</v>
      </c>
      <c r="M79" s="3">
        <f t="shared" si="6"/>
        <v>-5</v>
      </c>
      <c r="N79" s="5">
        <v>2845</v>
      </c>
      <c r="O79" s="3" t="str">
        <f t="shared" si="7"/>
        <v>1.501–3.500 (mediano)</v>
      </c>
      <c r="P79" s="5">
        <v>960</v>
      </c>
      <c r="Q79" s="5" t="s">
        <v>207</v>
      </c>
      <c r="R79" s="5" t="s">
        <v>163</v>
      </c>
      <c r="S79" s="5">
        <v>1</v>
      </c>
      <c r="T79" s="5">
        <v>2</v>
      </c>
      <c r="U79" s="5">
        <v>1</v>
      </c>
      <c r="V79" s="5">
        <v>0</v>
      </c>
      <c r="W79" s="5">
        <v>3</v>
      </c>
      <c r="X79" s="5">
        <v>3</v>
      </c>
      <c r="Y79" s="5">
        <v>10</v>
      </c>
      <c r="Z79" s="5">
        <v>12</v>
      </c>
      <c r="AA79" s="5">
        <v>11</v>
      </c>
      <c r="AB79" s="5">
        <v>10</v>
      </c>
      <c r="AC79" s="5">
        <v>5</v>
      </c>
      <c r="AD79" s="5">
        <v>4</v>
      </c>
      <c r="AE79" s="5">
        <v>1</v>
      </c>
      <c r="AF79" s="5">
        <v>1</v>
      </c>
      <c r="AG79" s="5">
        <v>9</v>
      </c>
      <c r="AH79" s="5">
        <v>17</v>
      </c>
      <c r="AI79" s="5">
        <v>4</v>
      </c>
      <c r="AJ79" s="5">
        <v>7</v>
      </c>
      <c r="AK79" s="5">
        <v>-1</v>
      </c>
      <c r="AL79" s="5">
        <v>0</v>
      </c>
      <c r="AM79" s="5">
        <f>IF(Tabela2[[#This Row],[gols_mandante]]=Tabela2[[#This Row],[gols_visitante]],1,0)</f>
        <v>0</v>
      </c>
      <c r="AN79" s="5">
        <f>IF(Tabela2[[#This Row],[gols_mandante]]&gt;Tabela2[[#This Row],[gols_visitante]],1,0)</f>
        <v>0</v>
      </c>
      <c r="AO79" s="5">
        <f>IF(Tabela2[[#This Row],[gols_mandante]]&lt;Tabela2[[#This Row],[gols_visitante]],1,0)</f>
        <v>1</v>
      </c>
      <c r="AP79" s="5" t="s">
        <v>182</v>
      </c>
      <c r="AQ79" s="5">
        <v>0</v>
      </c>
    </row>
    <row r="80" spans="1:43" x14ac:dyDescent="0.25">
      <c r="A80" s="3">
        <v>2024</v>
      </c>
      <c r="B80" s="2">
        <v>45459</v>
      </c>
      <c r="C80" s="3">
        <v>9</v>
      </c>
      <c r="D80" s="3">
        <v>46129</v>
      </c>
      <c r="E80" s="3">
        <v>49205</v>
      </c>
      <c r="F80" s="3" t="str">
        <f t="shared" si="4"/>
        <v>10.000-14.999</v>
      </c>
      <c r="G80" s="3">
        <f>Tabela2[[#This Row],[publico]]/Tabela2[[#This Row],[publico_max]]</f>
        <v>0.93748602784269897</v>
      </c>
      <c r="H80" s="3" t="s">
        <v>88</v>
      </c>
      <c r="I80" s="3" t="s">
        <v>62</v>
      </c>
      <c r="J80" s="3">
        <v>17</v>
      </c>
      <c r="K80" s="3" t="str">
        <f t="shared" si="5"/>
        <v>16-20 (rebaixamento)</v>
      </c>
      <c r="L80" s="3">
        <v>7</v>
      </c>
      <c r="M80" s="3">
        <f t="shared" si="6"/>
        <v>-10</v>
      </c>
      <c r="N80" s="3">
        <v>5300</v>
      </c>
      <c r="O80" s="3" t="str">
        <f t="shared" si="7"/>
        <v>3.501–7.000 (intermediário)</v>
      </c>
      <c r="P80" s="3">
        <v>3435</v>
      </c>
      <c r="Q80" s="3" t="s">
        <v>145</v>
      </c>
      <c r="R80" s="3" t="s">
        <v>111</v>
      </c>
      <c r="S80" s="3">
        <v>2</v>
      </c>
      <c r="T80" s="3">
        <v>2</v>
      </c>
      <c r="U80" s="3">
        <v>2</v>
      </c>
      <c r="V80" s="3">
        <v>2</v>
      </c>
      <c r="W80" s="3">
        <v>9</v>
      </c>
      <c r="X80" s="3">
        <v>5</v>
      </c>
      <c r="Y80" s="3">
        <v>15</v>
      </c>
      <c r="Z80" s="3">
        <v>10</v>
      </c>
      <c r="AA80" s="3">
        <v>10</v>
      </c>
      <c r="AB80" s="3">
        <v>15</v>
      </c>
      <c r="AC80" s="3">
        <v>6</v>
      </c>
      <c r="AD80" s="3">
        <v>6</v>
      </c>
      <c r="AE80" s="3">
        <v>1</v>
      </c>
      <c r="AF80" s="3">
        <v>1</v>
      </c>
      <c r="AG80" s="3">
        <v>16</v>
      </c>
      <c r="AH80" s="3">
        <v>12</v>
      </c>
      <c r="AI80" s="3">
        <v>4</v>
      </c>
      <c r="AJ80" s="3">
        <v>2</v>
      </c>
      <c r="AK80" s="3">
        <v>0</v>
      </c>
      <c r="AL80" s="3">
        <v>0</v>
      </c>
      <c r="AM80" s="3">
        <f>IF(Tabela2[[#This Row],[gols_mandante]]=Tabela2[[#This Row],[gols_visitante]],1,0)</f>
        <v>1</v>
      </c>
      <c r="AN80" s="3">
        <f>IF(Tabela2[[#This Row],[gols_mandante]]&gt;Tabela2[[#This Row],[gols_visitante]],1,0)</f>
        <v>0</v>
      </c>
      <c r="AO80" s="3">
        <f>IF(Tabela2[[#This Row],[gols_mandante]]&lt;Tabela2[[#This Row],[gols_visitante]],1,0)</f>
        <v>0</v>
      </c>
      <c r="AP80" s="3" t="s">
        <v>181</v>
      </c>
      <c r="AQ80" s="3">
        <v>1</v>
      </c>
    </row>
    <row r="81" spans="1:43" x14ac:dyDescent="0.25">
      <c r="A81" s="5">
        <v>2024</v>
      </c>
      <c r="B81" s="4">
        <v>45459</v>
      </c>
      <c r="C81" s="5">
        <v>9</v>
      </c>
      <c r="D81" s="5">
        <v>8661</v>
      </c>
      <c r="E81" s="5">
        <v>19225</v>
      </c>
      <c r="F81" s="5" t="str">
        <f t="shared" si="4"/>
        <v>&gt;=30.000</v>
      </c>
      <c r="G81" s="5">
        <f>Tabela2[[#This Row],[publico]]/Tabela2[[#This Row],[publico_max]]</f>
        <v>0.45050715214564369</v>
      </c>
      <c r="H81" s="5" t="s">
        <v>43</v>
      </c>
      <c r="I81" s="5" t="s">
        <v>38</v>
      </c>
      <c r="J81" s="5">
        <v>12</v>
      </c>
      <c r="K81" s="3" t="str">
        <f t="shared" si="5"/>
        <v>11-15 (mediano)</v>
      </c>
      <c r="L81" s="5">
        <v>3</v>
      </c>
      <c r="M81" s="3">
        <f t="shared" si="6"/>
        <v>-9</v>
      </c>
      <c r="N81" s="5">
        <v>645</v>
      </c>
      <c r="O81" s="3" t="str">
        <f t="shared" si="7"/>
        <v>1–1.500 (rebaixamento)</v>
      </c>
      <c r="P81" s="5">
        <v>2880</v>
      </c>
      <c r="Q81" s="5" t="s">
        <v>208</v>
      </c>
      <c r="R81" s="5" t="s">
        <v>105</v>
      </c>
      <c r="S81" s="5">
        <v>2</v>
      </c>
      <c r="T81" s="5">
        <v>2</v>
      </c>
      <c r="U81" s="5">
        <v>1</v>
      </c>
      <c r="V81" s="5">
        <v>0</v>
      </c>
      <c r="W81" s="5">
        <v>6</v>
      </c>
      <c r="X81" s="5">
        <v>7</v>
      </c>
      <c r="Y81" s="5">
        <v>14</v>
      </c>
      <c r="Z81" s="5">
        <v>13</v>
      </c>
      <c r="AA81" s="5">
        <v>11</v>
      </c>
      <c r="AB81" s="5">
        <v>14</v>
      </c>
      <c r="AC81" s="5">
        <v>4</v>
      </c>
      <c r="AD81" s="5">
        <v>3</v>
      </c>
      <c r="AE81" s="5">
        <v>4</v>
      </c>
      <c r="AF81" s="5">
        <v>1</v>
      </c>
      <c r="AG81" s="5">
        <v>17</v>
      </c>
      <c r="AH81" s="5">
        <v>22</v>
      </c>
      <c r="AI81" s="5">
        <v>6</v>
      </c>
      <c r="AJ81" s="5">
        <v>10</v>
      </c>
      <c r="AK81" s="5">
        <v>0</v>
      </c>
      <c r="AL81" s="5">
        <v>0</v>
      </c>
      <c r="AM81" s="5">
        <f>IF(Tabela2[[#This Row],[gols_mandante]]=Tabela2[[#This Row],[gols_visitante]],1,0)</f>
        <v>1</v>
      </c>
      <c r="AN81" s="5">
        <f>IF(Tabela2[[#This Row],[gols_mandante]]&gt;Tabela2[[#This Row],[gols_visitante]],1,0)</f>
        <v>0</v>
      </c>
      <c r="AO81" s="5">
        <f>IF(Tabela2[[#This Row],[gols_mandante]]&lt;Tabela2[[#This Row],[gols_visitante]],1,0)</f>
        <v>0</v>
      </c>
      <c r="AP81" s="5" t="s">
        <v>152</v>
      </c>
      <c r="AQ81" s="5">
        <v>1</v>
      </c>
    </row>
    <row r="82" spans="1:43" x14ac:dyDescent="0.25">
      <c r="A82" s="3">
        <v>2024</v>
      </c>
      <c r="B82" s="2">
        <v>45459</v>
      </c>
      <c r="C82" s="3">
        <v>9</v>
      </c>
      <c r="D82" s="3">
        <v>14251</v>
      </c>
      <c r="E82" s="3">
        <v>30618</v>
      </c>
      <c r="F82" s="3" t="str">
        <f t="shared" si="4"/>
        <v>5.000-9.999</v>
      </c>
      <c r="G82" s="3">
        <f>Tabela2[[#This Row],[publico]]/Tabela2[[#This Row],[publico_max]]</f>
        <v>0.46544516297602717</v>
      </c>
      <c r="H82" s="3" t="s">
        <v>94</v>
      </c>
      <c r="I82" s="3" t="s">
        <v>37</v>
      </c>
      <c r="J82" s="3">
        <v>20</v>
      </c>
      <c r="K82" s="3" t="str">
        <f t="shared" si="5"/>
        <v>16-20 (rebaixamento)</v>
      </c>
      <c r="L82" s="3">
        <v>9</v>
      </c>
      <c r="M82" s="3">
        <f t="shared" si="6"/>
        <v>-11</v>
      </c>
      <c r="N82" s="3">
        <v>1323</v>
      </c>
      <c r="O82" s="3" t="str">
        <f t="shared" si="7"/>
        <v>1–1.500 (rebaixamento)</v>
      </c>
      <c r="P82" s="3">
        <v>3965</v>
      </c>
      <c r="Q82" s="3" t="s">
        <v>209</v>
      </c>
      <c r="R82" s="3" t="s">
        <v>193</v>
      </c>
      <c r="S82" s="3">
        <v>2</v>
      </c>
      <c r="T82" s="3">
        <v>1</v>
      </c>
      <c r="U82" s="3">
        <v>1</v>
      </c>
      <c r="V82" s="3">
        <v>0</v>
      </c>
      <c r="W82" s="3">
        <v>4</v>
      </c>
      <c r="X82" s="3">
        <v>2</v>
      </c>
      <c r="Y82" s="3">
        <v>6</v>
      </c>
      <c r="Z82" s="3">
        <v>16</v>
      </c>
      <c r="AA82" s="3">
        <v>16</v>
      </c>
      <c r="AB82" s="3">
        <v>5</v>
      </c>
      <c r="AC82" s="3">
        <v>4</v>
      </c>
      <c r="AD82" s="3">
        <v>2</v>
      </c>
      <c r="AE82" s="3">
        <v>3</v>
      </c>
      <c r="AF82" s="3">
        <v>2</v>
      </c>
      <c r="AG82" s="3">
        <v>11</v>
      </c>
      <c r="AH82" s="3">
        <v>15</v>
      </c>
      <c r="AI82" s="3">
        <v>5</v>
      </c>
      <c r="AJ82" s="3">
        <v>8</v>
      </c>
      <c r="AK82" s="3">
        <v>1</v>
      </c>
      <c r="AL82" s="3">
        <v>1</v>
      </c>
      <c r="AM82" s="3">
        <f>IF(Tabela2[[#This Row],[gols_mandante]]=Tabela2[[#This Row],[gols_visitante]],1,0)</f>
        <v>0</v>
      </c>
      <c r="AN82" s="3">
        <f>IF(Tabela2[[#This Row],[gols_mandante]]&gt;Tabela2[[#This Row],[gols_visitante]],1,0)</f>
        <v>1</v>
      </c>
      <c r="AO82" s="3">
        <f>IF(Tabela2[[#This Row],[gols_mandante]]&lt;Tabela2[[#This Row],[gols_visitante]],1,0)</f>
        <v>0</v>
      </c>
      <c r="AP82" s="3" t="s">
        <v>170</v>
      </c>
      <c r="AQ82" s="3">
        <v>0</v>
      </c>
    </row>
    <row r="83" spans="1:43" x14ac:dyDescent="0.25">
      <c r="A83" s="5">
        <v>2024</v>
      </c>
      <c r="B83" s="4">
        <v>45459</v>
      </c>
      <c r="C83" s="5">
        <v>9</v>
      </c>
      <c r="D83" s="5">
        <v>38641</v>
      </c>
      <c r="E83" s="5">
        <v>42372</v>
      </c>
      <c r="F83" s="5" t="str">
        <f t="shared" si="4"/>
        <v>10.000-14.999</v>
      </c>
      <c r="G83" s="5">
        <f>Tabela2[[#This Row],[publico]]/Tabela2[[#This Row],[publico_max]]</f>
        <v>0.91194656848862454</v>
      </c>
      <c r="H83" s="5" t="s">
        <v>69</v>
      </c>
      <c r="I83" s="5" t="s">
        <v>77</v>
      </c>
      <c r="J83" s="5">
        <v>4</v>
      </c>
      <c r="K83" s="3" t="str">
        <f t="shared" si="5"/>
        <v>1-5 (elite)</v>
      </c>
      <c r="L83" s="5">
        <v>2</v>
      </c>
      <c r="M83" s="3">
        <f t="shared" si="6"/>
        <v>-2</v>
      </c>
      <c r="N83" s="5">
        <v>2005</v>
      </c>
      <c r="O83" s="3" t="str">
        <f t="shared" si="7"/>
        <v>1.501–3.500 (mediano)</v>
      </c>
      <c r="P83" s="5">
        <v>7390</v>
      </c>
      <c r="Q83" s="5" t="s">
        <v>137</v>
      </c>
      <c r="R83" s="5" t="s">
        <v>98</v>
      </c>
      <c r="S83" s="5">
        <v>1</v>
      </c>
      <c r="T83" s="5">
        <v>1</v>
      </c>
      <c r="U83" s="5">
        <v>0</v>
      </c>
      <c r="V83" s="5">
        <v>0</v>
      </c>
      <c r="W83" s="5">
        <v>5</v>
      </c>
      <c r="X83" s="5">
        <v>9</v>
      </c>
      <c r="Y83" s="5">
        <v>11</v>
      </c>
      <c r="Z83" s="5">
        <v>11</v>
      </c>
      <c r="AA83" s="5">
        <v>10</v>
      </c>
      <c r="AB83" s="5">
        <v>11</v>
      </c>
      <c r="AC83" s="5">
        <v>5</v>
      </c>
      <c r="AD83" s="5">
        <v>2</v>
      </c>
      <c r="AE83" s="5">
        <v>0</v>
      </c>
      <c r="AF83" s="5">
        <v>2</v>
      </c>
      <c r="AG83" s="5">
        <v>14</v>
      </c>
      <c r="AH83" s="5">
        <v>9</v>
      </c>
      <c r="AI83" s="5">
        <v>6</v>
      </c>
      <c r="AJ83" s="5">
        <v>1</v>
      </c>
      <c r="AK83" s="5">
        <v>0</v>
      </c>
      <c r="AL83" s="5">
        <v>0</v>
      </c>
      <c r="AM83" s="5">
        <f>IF(Tabela2[[#This Row],[gols_mandante]]=Tabela2[[#This Row],[gols_visitante]],1,0)</f>
        <v>1</v>
      </c>
      <c r="AN83" s="5">
        <f>IF(Tabela2[[#This Row],[gols_mandante]]&gt;Tabela2[[#This Row],[gols_visitante]],1,0)</f>
        <v>0</v>
      </c>
      <c r="AO83" s="5">
        <f>IF(Tabela2[[#This Row],[gols_mandante]]&lt;Tabela2[[#This Row],[gols_visitante]],1,0)</f>
        <v>0</v>
      </c>
      <c r="AP83" s="5" t="s">
        <v>210</v>
      </c>
      <c r="AQ83" s="5">
        <v>0</v>
      </c>
    </row>
    <row r="84" spans="1:43" x14ac:dyDescent="0.25">
      <c r="A84" s="3">
        <v>2024</v>
      </c>
      <c r="B84" s="2">
        <v>45459</v>
      </c>
      <c r="C84" s="3">
        <v>9</v>
      </c>
      <c r="D84" s="3">
        <v>11275</v>
      </c>
      <c r="E84" s="3">
        <v>24584</v>
      </c>
      <c r="F84" s="3" t="str">
        <f t="shared" si="4"/>
        <v>&gt;=30.000</v>
      </c>
      <c r="G84" s="3">
        <f>Tabela2[[#This Row],[publico]]/Tabela2[[#This Row],[publico_max]]</f>
        <v>0.45863163032866905</v>
      </c>
      <c r="H84" s="3" t="s">
        <v>82</v>
      </c>
      <c r="I84" s="3" t="s">
        <v>50</v>
      </c>
      <c r="J84" s="3">
        <v>16</v>
      </c>
      <c r="K84" s="3" t="str">
        <f t="shared" si="5"/>
        <v>16-20 (rebaixamento)</v>
      </c>
      <c r="L84" s="3">
        <v>10</v>
      </c>
      <c r="M84" s="3">
        <f t="shared" si="6"/>
        <v>-6</v>
      </c>
      <c r="N84" s="3">
        <v>1915</v>
      </c>
      <c r="O84" s="3" t="str">
        <f t="shared" si="7"/>
        <v>1.501–3.500 (mediano)</v>
      </c>
      <c r="P84" s="3">
        <v>2565</v>
      </c>
      <c r="Q84" s="3" t="s">
        <v>134</v>
      </c>
      <c r="R84" s="3" t="s">
        <v>209</v>
      </c>
      <c r="S84" s="3">
        <v>0</v>
      </c>
      <c r="T84" s="3">
        <v>0</v>
      </c>
      <c r="U84" s="3">
        <v>0</v>
      </c>
      <c r="V84" s="3">
        <v>0</v>
      </c>
      <c r="W84" s="3">
        <v>5</v>
      </c>
      <c r="X84" s="3">
        <v>5</v>
      </c>
      <c r="Y84" s="3">
        <v>11</v>
      </c>
      <c r="Z84" s="3">
        <v>11</v>
      </c>
      <c r="AA84" s="3">
        <v>10</v>
      </c>
      <c r="AB84" s="3">
        <v>11</v>
      </c>
      <c r="AC84" s="3">
        <v>2</v>
      </c>
      <c r="AD84" s="3">
        <v>4</v>
      </c>
      <c r="AE84" s="3">
        <v>0</v>
      </c>
      <c r="AF84" s="3">
        <v>3</v>
      </c>
      <c r="AG84" s="3">
        <v>14</v>
      </c>
      <c r="AH84" s="3">
        <v>8</v>
      </c>
      <c r="AI84" s="3">
        <v>7</v>
      </c>
      <c r="AJ84" s="3">
        <v>3</v>
      </c>
      <c r="AK84" s="3">
        <v>0</v>
      </c>
      <c r="AL84" s="3">
        <v>0</v>
      </c>
      <c r="AM84" s="3">
        <f>IF(Tabela2[[#This Row],[gols_mandante]]=Tabela2[[#This Row],[gols_visitante]],1,0)</f>
        <v>1</v>
      </c>
      <c r="AN84" s="3">
        <f>IF(Tabela2[[#This Row],[gols_mandante]]&gt;Tabela2[[#This Row],[gols_visitante]],1,0)</f>
        <v>0</v>
      </c>
      <c r="AO84" s="3">
        <f>IF(Tabela2[[#This Row],[gols_mandante]]&lt;Tabela2[[#This Row],[gols_visitante]],1,0)</f>
        <v>0</v>
      </c>
      <c r="AP84" s="3" t="s">
        <v>211</v>
      </c>
      <c r="AQ84" s="3">
        <v>0</v>
      </c>
    </row>
    <row r="85" spans="1:43" x14ac:dyDescent="0.25">
      <c r="A85" s="5">
        <v>2024</v>
      </c>
      <c r="B85" s="4">
        <v>45461</v>
      </c>
      <c r="C85" s="5">
        <v>9</v>
      </c>
      <c r="D85" s="5">
        <v>31448</v>
      </c>
      <c r="E85" s="5">
        <v>46000</v>
      </c>
      <c r="F85" s="5" t="str">
        <f t="shared" si="4"/>
        <v>10.000-14.999</v>
      </c>
      <c r="G85" s="5">
        <f>Tabela2[[#This Row],[publico]]/Tabela2[[#This Row],[publico_max]]</f>
        <v>0.68365217391304345</v>
      </c>
      <c r="H85" s="5" t="s">
        <v>89</v>
      </c>
      <c r="I85" s="5" t="s">
        <v>95</v>
      </c>
      <c r="J85" s="5">
        <v>6</v>
      </c>
      <c r="K85" s="3" t="str">
        <f t="shared" si="5"/>
        <v>6-10 (intermediário)</v>
      </c>
      <c r="L85" s="5">
        <v>5</v>
      </c>
      <c r="M85" s="3">
        <f t="shared" si="6"/>
        <v>-1</v>
      </c>
      <c r="N85" s="5">
        <v>4760</v>
      </c>
      <c r="O85" s="3" t="str">
        <f t="shared" si="7"/>
        <v>3.501–7.000 (intermediário)</v>
      </c>
      <c r="P85" s="5">
        <v>10060</v>
      </c>
      <c r="Q85" s="5" t="s">
        <v>117</v>
      </c>
      <c r="R85" s="5" t="s">
        <v>114</v>
      </c>
      <c r="S85" s="5">
        <v>0</v>
      </c>
      <c r="T85" s="5">
        <v>4</v>
      </c>
      <c r="U85" s="5">
        <v>0</v>
      </c>
      <c r="V85" s="5">
        <v>1</v>
      </c>
      <c r="W85" s="5">
        <v>3</v>
      </c>
      <c r="X85" s="5">
        <v>6</v>
      </c>
      <c r="Y85" s="5">
        <v>16</v>
      </c>
      <c r="Z85" s="5">
        <v>16</v>
      </c>
      <c r="AA85" s="5">
        <v>16</v>
      </c>
      <c r="AB85" s="5">
        <v>15</v>
      </c>
      <c r="AC85" s="5">
        <v>5</v>
      </c>
      <c r="AD85" s="5">
        <v>3</v>
      </c>
      <c r="AE85" s="5">
        <v>1</v>
      </c>
      <c r="AF85" s="5">
        <v>2</v>
      </c>
      <c r="AG85" s="5">
        <v>11</v>
      </c>
      <c r="AH85" s="5">
        <v>22</v>
      </c>
      <c r="AI85" s="5">
        <v>5</v>
      </c>
      <c r="AJ85" s="5">
        <v>8</v>
      </c>
      <c r="AK85" s="5">
        <v>-4</v>
      </c>
      <c r="AL85" s="5">
        <v>0</v>
      </c>
      <c r="AM85" s="5">
        <f>IF(Tabela2[[#This Row],[gols_mandante]]=Tabela2[[#This Row],[gols_visitante]],1,0)</f>
        <v>0</v>
      </c>
      <c r="AN85" s="5">
        <f>IF(Tabela2[[#This Row],[gols_mandante]]&gt;Tabela2[[#This Row],[gols_visitante]],1,0)</f>
        <v>0</v>
      </c>
      <c r="AO85" s="5">
        <f>IF(Tabela2[[#This Row],[gols_mandante]]&lt;Tabela2[[#This Row],[gols_visitante]],1,0)</f>
        <v>1</v>
      </c>
      <c r="AP85" s="5" t="s">
        <v>212</v>
      </c>
      <c r="AQ85" s="5">
        <v>1</v>
      </c>
    </row>
    <row r="86" spans="1:43" x14ac:dyDescent="0.25">
      <c r="A86" s="3">
        <v>2024</v>
      </c>
      <c r="B86" s="2">
        <v>45470</v>
      </c>
      <c r="C86" s="3">
        <v>12</v>
      </c>
      <c r="D86" s="3">
        <v>26465</v>
      </c>
      <c r="E86" s="3">
        <v>61927</v>
      </c>
      <c r="F86" s="3" t="str">
        <f t="shared" si="4"/>
        <v>&gt;=30.000</v>
      </c>
      <c r="G86" s="3">
        <f>Tabela2[[#This Row],[publico]]/Tabela2[[#This Row],[publico_max]]</f>
        <v>0.42735801831188336</v>
      </c>
      <c r="H86" s="3" t="s">
        <v>50</v>
      </c>
      <c r="I86" s="3" t="s">
        <v>69</v>
      </c>
      <c r="J86" s="3">
        <v>6</v>
      </c>
      <c r="K86" s="3" t="str">
        <f t="shared" si="5"/>
        <v>6-10 (intermediário)</v>
      </c>
      <c r="L86" s="3">
        <v>8</v>
      </c>
      <c r="M86" s="3">
        <f t="shared" si="6"/>
        <v>2</v>
      </c>
      <c r="N86" s="3">
        <v>3150</v>
      </c>
      <c r="O86" s="3" t="str">
        <f t="shared" si="7"/>
        <v>1.501–3.500 (mediano)</v>
      </c>
      <c r="P86" s="3">
        <v>2600</v>
      </c>
      <c r="Q86" s="3">
        <v>27</v>
      </c>
      <c r="R86" s="3" t="s">
        <v>107</v>
      </c>
      <c r="S86" s="3">
        <v>2</v>
      </c>
      <c r="T86" s="3">
        <v>0</v>
      </c>
      <c r="U86" s="3">
        <v>1</v>
      </c>
      <c r="V86" s="3">
        <v>0</v>
      </c>
      <c r="W86" s="3">
        <v>7</v>
      </c>
      <c r="X86" s="3">
        <v>12</v>
      </c>
      <c r="Y86" s="3">
        <v>8</v>
      </c>
      <c r="Z86" s="3">
        <v>6</v>
      </c>
      <c r="AA86" s="3">
        <v>6</v>
      </c>
      <c r="AB86" s="3">
        <v>7</v>
      </c>
      <c r="AC86" s="3">
        <v>3</v>
      </c>
      <c r="AD86" s="3">
        <v>5</v>
      </c>
      <c r="AE86" s="3">
        <v>1</v>
      </c>
      <c r="AF86" s="3">
        <v>0</v>
      </c>
      <c r="AG86" s="3">
        <v>22</v>
      </c>
      <c r="AH86" s="3">
        <v>14</v>
      </c>
      <c r="AI86" s="3">
        <v>8</v>
      </c>
      <c r="AJ86" s="3">
        <v>6</v>
      </c>
      <c r="AK86" s="3">
        <v>2</v>
      </c>
      <c r="AL86" s="3">
        <v>1</v>
      </c>
      <c r="AM86" s="3">
        <f>IF(Tabela2[[#This Row],[gols_mandante]]=Tabela2[[#This Row],[gols_visitante]],1,0)</f>
        <v>0</v>
      </c>
      <c r="AN86" s="3">
        <f>IF(Tabela2[[#This Row],[gols_mandante]]&gt;Tabela2[[#This Row],[gols_visitante]],1,0)</f>
        <v>1</v>
      </c>
      <c r="AO86" s="3">
        <f>IF(Tabela2[[#This Row],[gols_mandante]]&lt;Tabela2[[#This Row],[gols_visitante]],1,0)</f>
        <v>0</v>
      </c>
      <c r="AP86" s="3" t="s">
        <v>214</v>
      </c>
      <c r="AQ86" s="3">
        <v>0</v>
      </c>
    </row>
    <row r="87" spans="1:43" x14ac:dyDescent="0.25">
      <c r="A87" s="5">
        <v>2024</v>
      </c>
      <c r="B87" s="4">
        <v>45470</v>
      </c>
      <c r="C87" s="5">
        <v>12</v>
      </c>
      <c r="D87" s="5">
        <v>8838</v>
      </c>
      <c r="E87" s="5">
        <v>13000</v>
      </c>
      <c r="F87" s="5" t="str">
        <f t="shared" si="4"/>
        <v>20.000-29.999</v>
      </c>
      <c r="G87" s="5">
        <f>Tabela2[[#This Row],[publico]]/Tabela2[[#This Row],[publico_max]]</f>
        <v>0.67984615384615388</v>
      </c>
      <c r="H87" s="5" t="s">
        <v>76</v>
      </c>
      <c r="I87" s="5" t="s">
        <v>83</v>
      </c>
      <c r="J87" s="5">
        <v>17</v>
      </c>
      <c r="K87" s="3" t="str">
        <f t="shared" si="5"/>
        <v>16-20 (rebaixamento)</v>
      </c>
      <c r="L87" s="5">
        <v>19</v>
      </c>
      <c r="M87" s="3">
        <f t="shared" si="6"/>
        <v>2</v>
      </c>
      <c r="N87" s="5">
        <v>1120</v>
      </c>
      <c r="O87" s="3" t="str">
        <f t="shared" si="7"/>
        <v>1–1.500 (rebaixamento)</v>
      </c>
      <c r="P87" s="5">
        <v>3230</v>
      </c>
      <c r="Q87" s="5" t="s">
        <v>209</v>
      </c>
      <c r="R87" s="5" t="s">
        <v>111</v>
      </c>
      <c r="S87" s="5">
        <v>1</v>
      </c>
      <c r="T87" s="5">
        <v>1</v>
      </c>
      <c r="U87" s="5">
        <v>0</v>
      </c>
      <c r="V87" s="5">
        <v>0</v>
      </c>
      <c r="W87" s="5">
        <v>5</v>
      </c>
      <c r="X87" s="5">
        <v>8</v>
      </c>
      <c r="Y87" s="5">
        <v>13</v>
      </c>
      <c r="Z87" s="5">
        <v>11</v>
      </c>
      <c r="AA87" s="5">
        <v>10</v>
      </c>
      <c r="AB87" s="5">
        <v>12</v>
      </c>
      <c r="AC87" s="5">
        <v>3</v>
      </c>
      <c r="AD87" s="5">
        <v>4</v>
      </c>
      <c r="AE87" s="5">
        <v>2</v>
      </c>
      <c r="AF87" s="5">
        <v>0</v>
      </c>
      <c r="AG87" s="5">
        <v>16</v>
      </c>
      <c r="AH87" s="5">
        <v>11</v>
      </c>
      <c r="AI87" s="5">
        <v>8</v>
      </c>
      <c r="AJ87" s="5">
        <v>5</v>
      </c>
      <c r="AK87" s="5">
        <v>0</v>
      </c>
      <c r="AL87" s="5">
        <v>0</v>
      </c>
      <c r="AM87" s="5">
        <f>IF(Tabela2[[#This Row],[gols_mandante]]=Tabela2[[#This Row],[gols_visitante]],1,0)</f>
        <v>1</v>
      </c>
      <c r="AN87" s="5">
        <f>IF(Tabela2[[#This Row],[gols_mandante]]&gt;Tabela2[[#This Row],[gols_visitante]],1,0)</f>
        <v>0</v>
      </c>
      <c r="AO87" s="5">
        <f>IF(Tabela2[[#This Row],[gols_mandante]]&lt;Tabela2[[#This Row],[gols_visitante]],1,0)</f>
        <v>0</v>
      </c>
      <c r="AP87" s="5" t="s">
        <v>131</v>
      </c>
      <c r="AQ87" s="5">
        <v>0</v>
      </c>
    </row>
    <row r="88" spans="1:43" x14ac:dyDescent="0.25">
      <c r="A88" s="3">
        <v>2024</v>
      </c>
      <c r="B88" s="2">
        <v>45470</v>
      </c>
      <c r="C88" s="3">
        <v>12</v>
      </c>
      <c r="D88" s="3">
        <v>9978</v>
      </c>
      <c r="E88" s="3">
        <v>19848</v>
      </c>
      <c r="F88" s="3" t="str">
        <f t="shared" si="4"/>
        <v>5.000-9.999</v>
      </c>
      <c r="G88" s="3">
        <f>Tabela2[[#This Row],[publico]]/Tabela2[[#This Row],[publico_max]]</f>
        <v>0.50272067714631197</v>
      </c>
      <c r="H88" s="3" t="s">
        <v>37</v>
      </c>
      <c r="I88" s="3" t="s">
        <v>89</v>
      </c>
      <c r="J88" s="3">
        <v>5</v>
      </c>
      <c r="K88" s="3" t="str">
        <f t="shared" si="5"/>
        <v>1-5 (elite)</v>
      </c>
      <c r="L88" s="3">
        <v>7</v>
      </c>
      <c r="M88" s="3">
        <f t="shared" si="6"/>
        <v>2</v>
      </c>
      <c r="N88" s="3">
        <v>4450</v>
      </c>
      <c r="O88" s="3" t="str">
        <f t="shared" si="7"/>
        <v>3.501–7.000 (intermediário)</v>
      </c>
      <c r="P88" s="3">
        <v>4355</v>
      </c>
      <c r="Q88" s="3" t="s">
        <v>174</v>
      </c>
      <c r="R88" s="3" t="s">
        <v>66</v>
      </c>
      <c r="S88" s="3">
        <v>1</v>
      </c>
      <c r="T88" s="3">
        <v>2</v>
      </c>
      <c r="U88" s="3">
        <v>0</v>
      </c>
      <c r="V88" s="3">
        <v>0</v>
      </c>
      <c r="W88" s="3">
        <v>5</v>
      </c>
      <c r="X88" s="3">
        <v>9</v>
      </c>
      <c r="Y88" s="3">
        <v>17</v>
      </c>
      <c r="Z88" s="3">
        <v>10</v>
      </c>
      <c r="AA88" s="3">
        <v>10</v>
      </c>
      <c r="AB88" s="3">
        <v>16</v>
      </c>
      <c r="AC88" s="3">
        <v>3</v>
      </c>
      <c r="AD88" s="3">
        <v>6</v>
      </c>
      <c r="AE88" s="3">
        <v>3</v>
      </c>
      <c r="AF88" s="3">
        <v>0</v>
      </c>
      <c r="AG88" s="3">
        <v>13</v>
      </c>
      <c r="AH88" s="3">
        <v>16</v>
      </c>
      <c r="AI88" s="3">
        <v>3</v>
      </c>
      <c r="AJ88" s="3">
        <v>5</v>
      </c>
      <c r="AK88" s="3">
        <v>-1</v>
      </c>
      <c r="AL88" s="3">
        <v>0</v>
      </c>
      <c r="AM88" s="3">
        <f>IF(Tabela2[[#This Row],[gols_mandante]]=Tabela2[[#This Row],[gols_visitante]],1,0)</f>
        <v>0</v>
      </c>
      <c r="AN88" s="3">
        <f>IF(Tabela2[[#This Row],[gols_mandante]]&gt;Tabela2[[#This Row],[gols_visitante]],1,0)</f>
        <v>0</v>
      </c>
      <c r="AO88" s="3">
        <f>IF(Tabela2[[#This Row],[gols_mandante]]&lt;Tabela2[[#This Row],[gols_visitante]],1,0)</f>
        <v>1</v>
      </c>
      <c r="AP88" s="3" t="s">
        <v>216</v>
      </c>
      <c r="AQ88" s="3">
        <v>0</v>
      </c>
    </row>
    <row r="89" spans="1:43" x14ac:dyDescent="0.25">
      <c r="A89" s="5">
        <v>2024</v>
      </c>
      <c r="B89" s="4">
        <v>45470</v>
      </c>
      <c r="C89" s="5">
        <v>12</v>
      </c>
      <c r="D89" s="5">
        <v>13333</v>
      </c>
      <c r="E89" s="5">
        <v>46931</v>
      </c>
      <c r="F89" s="5" t="str">
        <f t="shared" si="4"/>
        <v>5.000-9.999</v>
      </c>
      <c r="G89" s="5">
        <f>Tabela2[[#This Row],[publico]]/Tabela2[[#This Row],[publico_max]]</f>
        <v>0.28409793100509256</v>
      </c>
      <c r="H89" s="5" t="s">
        <v>51</v>
      </c>
      <c r="I89" s="5" t="s">
        <v>56</v>
      </c>
      <c r="J89" s="5">
        <v>3</v>
      </c>
      <c r="K89" s="3" t="str">
        <f t="shared" si="5"/>
        <v>1-5 (elite)</v>
      </c>
      <c r="L89" s="5">
        <v>10</v>
      </c>
      <c r="M89" s="3">
        <f t="shared" si="6"/>
        <v>7</v>
      </c>
      <c r="N89" s="5">
        <v>3005</v>
      </c>
      <c r="O89" s="3" t="str">
        <f t="shared" si="7"/>
        <v>1.501–3.500 (mediano)</v>
      </c>
      <c r="P89" s="5">
        <v>4640</v>
      </c>
      <c r="Q89" s="5" t="s">
        <v>205</v>
      </c>
      <c r="R89" s="5" t="s">
        <v>217</v>
      </c>
      <c r="S89" s="5">
        <v>2</v>
      </c>
      <c r="T89" s="5">
        <v>1</v>
      </c>
      <c r="U89" s="5">
        <v>1</v>
      </c>
      <c r="V89" s="5">
        <v>1</v>
      </c>
      <c r="W89" s="5">
        <v>7</v>
      </c>
      <c r="X89" s="5">
        <v>4</v>
      </c>
      <c r="Y89" s="5">
        <v>13</v>
      </c>
      <c r="Z89" s="5">
        <v>12</v>
      </c>
      <c r="AA89" s="5">
        <v>12</v>
      </c>
      <c r="AB89" s="5">
        <v>12</v>
      </c>
      <c r="AC89" s="5">
        <v>5</v>
      </c>
      <c r="AD89" s="5">
        <v>2</v>
      </c>
      <c r="AE89" s="5">
        <v>1</v>
      </c>
      <c r="AF89" s="5">
        <v>1</v>
      </c>
      <c r="AG89" s="5">
        <v>12</v>
      </c>
      <c r="AH89" s="5">
        <v>13</v>
      </c>
      <c r="AI89" s="5">
        <v>7</v>
      </c>
      <c r="AJ89" s="5">
        <v>4</v>
      </c>
      <c r="AK89" s="5">
        <v>1</v>
      </c>
      <c r="AL89" s="5">
        <v>1</v>
      </c>
      <c r="AM89" s="5">
        <f>IF(Tabela2[[#This Row],[gols_mandante]]=Tabela2[[#This Row],[gols_visitante]],1,0)</f>
        <v>0</v>
      </c>
      <c r="AN89" s="5">
        <f>IF(Tabela2[[#This Row],[gols_mandante]]&gt;Tabela2[[#This Row],[gols_visitante]],1,0)</f>
        <v>1</v>
      </c>
      <c r="AO89" s="5">
        <f>IF(Tabela2[[#This Row],[gols_mandante]]&lt;Tabela2[[#This Row],[gols_visitante]],1,0)</f>
        <v>0</v>
      </c>
      <c r="AP89" s="5" t="s">
        <v>218</v>
      </c>
      <c r="AQ89" s="5">
        <v>0</v>
      </c>
    </row>
    <row r="90" spans="1:43" x14ac:dyDescent="0.25">
      <c r="A90" s="3">
        <v>2024</v>
      </c>
      <c r="B90" s="2">
        <v>45470</v>
      </c>
      <c r="C90" s="3">
        <v>12</v>
      </c>
      <c r="D90" s="3">
        <v>38318</v>
      </c>
      <c r="E90" s="3">
        <v>47364</v>
      </c>
      <c r="F90" s="3" t="str">
        <f t="shared" si="4"/>
        <v>10.000-14.999</v>
      </c>
      <c r="G90" s="3">
        <f>Tabela2[[#This Row],[publico]]/Tabela2[[#This Row],[publico_max]]</f>
        <v>0.80901106325479266</v>
      </c>
      <c r="H90" s="3" t="s">
        <v>38</v>
      </c>
      <c r="I90" s="3" t="s">
        <v>82</v>
      </c>
      <c r="J90" s="3">
        <v>2</v>
      </c>
      <c r="K90" s="3" t="str">
        <f t="shared" si="5"/>
        <v>1-5 (elite)</v>
      </c>
      <c r="L90" s="3">
        <v>16</v>
      </c>
      <c r="M90" s="3">
        <f t="shared" si="6"/>
        <v>14</v>
      </c>
      <c r="N90" s="3">
        <v>3795</v>
      </c>
      <c r="O90" s="3" t="str">
        <f t="shared" si="7"/>
        <v>3.501–7.000 (intermediário)</v>
      </c>
      <c r="P90" s="3">
        <v>2830</v>
      </c>
      <c r="Q90" s="3" t="s">
        <v>137</v>
      </c>
      <c r="R90" s="3" t="s">
        <v>168</v>
      </c>
      <c r="S90" s="3">
        <v>2</v>
      </c>
      <c r="T90" s="3">
        <v>1</v>
      </c>
      <c r="U90" s="3">
        <v>1</v>
      </c>
      <c r="V90" s="3">
        <v>1</v>
      </c>
      <c r="W90" s="3">
        <v>7</v>
      </c>
      <c r="X90" s="3">
        <v>0</v>
      </c>
      <c r="Y90" s="3">
        <v>14</v>
      </c>
      <c r="Z90" s="3">
        <v>15</v>
      </c>
      <c r="AA90" s="3">
        <v>13</v>
      </c>
      <c r="AB90" s="3">
        <v>14</v>
      </c>
      <c r="AC90" s="3">
        <v>2</v>
      </c>
      <c r="AD90" s="3">
        <v>6</v>
      </c>
      <c r="AE90" s="3">
        <v>4</v>
      </c>
      <c r="AF90" s="3">
        <v>1</v>
      </c>
      <c r="AG90" s="3">
        <v>17</v>
      </c>
      <c r="AH90" s="3">
        <v>9</v>
      </c>
      <c r="AI90" s="3">
        <v>6</v>
      </c>
      <c r="AJ90" s="3">
        <v>6</v>
      </c>
      <c r="AK90" s="3">
        <v>1</v>
      </c>
      <c r="AL90" s="3">
        <v>1</v>
      </c>
      <c r="AM90" s="3">
        <f>IF(Tabela2[[#This Row],[gols_mandante]]=Tabela2[[#This Row],[gols_visitante]],1,0)</f>
        <v>0</v>
      </c>
      <c r="AN90" s="3">
        <f>IF(Tabela2[[#This Row],[gols_mandante]]&gt;Tabela2[[#This Row],[gols_visitante]],1,0)</f>
        <v>1</v>
      </c>
      <c r="AO90" s="3">
        <f>IF(Tabela2[[#This Row],[gols_mandante]]&lt;Tabela2[[#This Row],[gols_visitante]],1,0)</f>
        <v>0</v>
      </c>
      <c r="AP90" s="3" t="s">
        <v>219</v>
      </c>
      <c r="AQ90" s="3">
        <v>0</v>
      </c>
    </row>
    <row r="91" spans="1:43" x14ac:dyDescent="0.25">
      <c r="A91" s="5">
        <v>2024</v>
      </c>
      <c r="B91" s="4">
        <v>45470</v>
      </c>
      <c r="C91" s="5">
        <v>12</v>
      </c>
      <c r="D91" s="5">
        <v>38475</v>
      </c>
      <c r="E91" s="5">
        <v>49205</v>
      </c>
      <c r="F91" s="5" t="str">
        <f t="shared" si="4"/>
        <v>&gt;=30.000</v>
      </c>
      <c r="G91" s="5">
        <f>Tabela2[[#This Row],[publico]]/Tabela2[[#This Row],[publico_max]]</f>
        <v>0.7819327304135758</v>
      </c>
      <c r="H91" s="5" t="s">
        <v>88</v>
      </c>
      <c r="I91" s="5" t="s">
        <v>70</v>
      </c>
      <c r="J91" s="5">
        <v>18</v>
      </c>
      <c r="K91" s="3" t="str">
        <f t="shared" si="5"/>
        <v>16-20 (rebaixamento)</v>
      </c>
      <c r="L91" s="5">
        <v>14</v>
      </c>
      <c r="M91" s="3">
        <f t="shared" si="6"/>
        <v>-4</v>
      </c>
      <c r="N91" s="5">
        <v>4980</v>
      </c>
      <c r="O91" s="3" t="str">
        <f t="shared" si="7"/>
        <v>3.501–7.000 (intermediário)</v>
      </c>
      <c r="P91" s="5">
        <v>1490</v>
      </c>
      <c r="Q91" s="5" t="s">
        <v>220</v>
      </c>
      <c r="R91" s="5" t="s">
        <v>86</v>
      </c>
      <c r="S91" s="5">
        <v>1</v>
      </c>
      <c r="T91" s="5">
        <v>1</v>
      </c>
      <c r="U91" s="5">
        <v>0</v>
      </c>
      <c r="V91" s="5">
        <v>1</v>
      </c>
      <c r="W91" s="5">
        <v>13</v>
      </c>
      <c r="X91" s="5">
        <v>1</v>
      </c>
      <c r="Y91" s="5">
        <v>10</v>
      </c>
      <c r="Z91" s="5">
        <v>13</v>
      </c>
      <c r="AA91" s="5">
        <v>12</v>
      </c>
      <c r="AB91" s="5">
        <v>10</v>
      </c>
      <c r="AC91" s="5">
        <v>3</v>
      </c>
      <c r="AD91" s="5">
        <v>6</v>
      </c>
      <c r="AE91" s="5">
        <v>2</v>
      </c>
      <c r="AF91" s="5">
        <v>1</v>
      </c>
      <c r="AG91" s="5">
        <v>24</v>
      </c>
      <c r="AH91" s="5">
        <v>13</v>
      </c>
      <c r="AI91" s="5">
        <v>9</v>
      </c>
      <c r="AJ91" s="5">
        <v>3</v>
      </c>
      <c r="AK91" s="5">
        <v>0</v>
      </c>
      <c r="AL91" s="5">
        <v>0</v>
      </c>
      <c r="AM91" s="5">
        <f>IF(Tabela2[[#This Row],[gols_mandante]]=Tabela2[[#This Row],[gols_visitante]],1,0)</f>
        <v>1</v>
      </c>
      <c r="AN91" s="5">
        <f>IF(Tabela2[[#This Row],[gols_mandante]]&gt;Tabela2[[#This Row],[gols_visitante]],1,0)</f>
        <v>0</v>
      </c>
      <c r="AO91" s="5">
        <f>IF(Tabela2[[#This Row],[gols_mandante]]&lt;Tabela2[[#This Row],[gols_visitante]],1,0)</f>
        <v>0</v>
      </c>
      <c r="AP91" s="5" t="s">
        <v>103</v>
      </c>
      <c r="AQ91" s="5">
        <v>0</v>
      </c>
    </row>
    <row r="92" spans="1:43" x14ac:dyDescent="0.25">
      <c r="A92" s="3">
        <v>2024</v>
      </c>
      <c r="B92" s="2">
        <v>45470</v>
      </c>
      <c r="C92" s="3">
        <v>12</v>
      </c>
      <c r="D92" s="3">
        <v>28631</v>
      </c>
      <c r="E92" s="3">
        <v>60326</v>
      </c>
      <c r="F92" s="3" t="str">
        <f t="shared" si="4"/>
        <v>&gt;=30.000</v>
      </c>
      <c r="G92" s="3">
        <f>Tabela2[[#This Row],[publico]]/Tabela2[[#This Row],[publico_max]]</f>
        <v>0.47460464807877201</v>
      </c>
      <c r="H92" s="3" t="s">
        <v>63</v>
      </c>
      <c r="I92" s="3" t="s">
        <v>95</v>
      </c>
      <c r="J92" s="3">
        <v>11</v>
      </c>
      <c r="K92" s="3" t="str">
        <f t="shared" si="5"/>
        <v>11-15 (mediano)</v>
      </c>
      <c r="L92" s="3">
        <v>4</v>
      </c>
      <c r="M92" s="3">
        <f t="shared" si="6"/>
        <v>-7</v>
      </c>
      <c r="N92" s="3">
        <v>1650</v>
      </c>
      <c r="O92" s="3" t="str">
        <f t="shared" si="7"/>
        <v>1.501–3.500 (mediano)</v>
      </c>
      <c r="P92" s="3">
        <v>6660</v>
      </c>
      <c r="Q92" s="3">
        <v>30</v>
      </c>
      <c r="R92" s="3" t="s">
        <v>134</v>
      </c>
      <c r="S92" s="3">
        <v>3</v>
      </c>
      <c r="T92" s="3">
        <v>0</v>
      </c>
      <c r="U92" s="3">
        <v>1</v>
      </c>
      <c r="V92" s="3">
        <v>0</v>
      </c>
      <c r="W92" s="3">
        <v>3</v>
      </c>
      <c r="X92" s="3">
        <v>8</v>
      </c>
      <c r="Y92" s="3">
        <v>17</v>
      </c>
      <c r="Z92" s="3">
        <v>11</v>
      </c>
      <c r="AA92" s="3">
        <v>8</v>
      </c>
      <c r="AB92" s="3">
        <v>17</v>
      </c>
      <c r="AC92" s="3">
        <v>7</v>
      </c>
      <c r="AD92" s="3">
        <v>3</v>
      </c>
      <c r="AE92" s="3">
        <v>0</v>
      </c>
      <c r="AF92" s="3">
        <v>2</v>
      </c>
      <c r="AG92" s="3">
        <v>12</v>
      </c>
      <c r="AH92" s="3">
        <v>17</v>
      </c>
      <c r="AI92" s="3">
        <v>2</v>
      </c>
      <c r="AJ92" s="3">
        <v>6</v>
      </c>
      <c r="AK92" s="3">
        <v>3</v>
      </c>
      <c r="AL92" s="3">
        <v>1</v>
      </c>
      <c r="AM92" s="3">
        <f>IF(Tabela2[[#This Row],[gols_mandante]]=Tabela2[[#This Row],[gols_visitante]],1,0)</f>
        <v>0</v>
      </c>
      <c r="AN92" s="3">
        <f>IF(Tabela2[[#This Row],[gols_mandante]]&gt;Tabela2[[#This Row],[gols_visitante]],1,0)</f>
        <v>1</v>
      </c>
      <c r="AO92" s="3">
        <f>IF(Tabela2[[#This Row],[gols_mandante]]&lt;Tabela2[[#This Row],[gols_visitante]],1,0)</f>
        <v>0</v>
      </c>
      <c r="AP92" s="3" t="s">
        <v>181</v>
      </c>
      <c r="AQ92" s="3">
        <v>0</v>
      </c>
    </row>
    <row r="93" spans="1:43" x14ac:dyDescent="0.25">
      <c r="A93" s="5">
        <v>2024</v>
      </c>
      <c r="B93" s="4">
        <v>45470</v>
      </c>
      <c r="C93" s="5">
        <v>12</v>
      </c>
      <c r="D93" s="5">
        <v>12675</v>
      </c>
      <c r="E93" s="5">
        <v>23726</v>
      </c>
      <c r="F93" s="5" t="str">
        <f t="shared" si="4"/>
        <v>20.000-29.999</v>
      </c>
      <c r="G93" s="5">
        <f>Tabela2[[#This Row],[publico]]/Tabela2[[#This Row],[publico_max]]</f>
        <v>0.53422405799544803</v>
      </c>
      <c r="H93" s="5" t="s">
        <v>44</v>
      </c>
      <c r="I93" s="5" t="s">
        <v>77</v>
      </c>
      <c r="J93" s="5">
        <v>13</v>
      </c>
      <c r="K93" s="3" t="str">
        <f t="shared" si="5"/>
        <v>11-15 (mediano)</v>
      </c>
      <c r="L93" s="5">
        <v>1</v>
      </c>
      <c r="M93" s="3">
        <f t="shared" si="6"/>
        <v>-12</v>
      </c>
      <c r="N93" s="5">
        <v>965</v>
      </c>
      <c r="O93" s="3" t="str">
        <f t="shared" si="7"/>
        <v>1–1.500 (rebaixamento)</v>
      </c>
      <c r="P93" s="5">
        <v>9900</v>
      </c>
      <c r="Q93" s="5" t="s">
        <v>74</v>
      </c>
      <c r="R93" s="5" t="s">
        <v>221</v>
      </c>
      <c r="S93" s="5">
        <v>2</v>
      </c>
      <c r="T93" s="5">
        <v>1</v>
      </c>
      <c r="U93" s="5">
        <v>1</v>
      </c>
      <c r="V93" s="5">
        <v>1</v>
      </c>
      <c r="W93" s="5">
        <v>7</v>
      </c>
      <c r="X93" s="5">
        <v>8</v>
      </c>
      <c r="Y93" s="5">
        <v>9</v>
      </c>
      <c r="Z93" s="5">
        <v>10</v>
      </c>
      <c r="AA93" s="5">
        <v>10</v>
      </c>
      <c r="AB93" s="5">
        <v>9</v>
      </c>
      <c r="AC93" s="5">
        <v>3</v>
      </c>
      <c r="AD93" s="5">
        <v>7</v>
      </c>
      <c r="AE93" s="5">
        <v>4</v>
      </c>
      <c r="AF93" s="5">
        <v>2</v>
      </c>
      <c r="AG93" s="5">
        <v>15</v>
      </c>
      <c r="AH93" s="5">
        <v>9</v>
      </c>
      <c r="AI93" s="5">
        <v>6</v>
      </c>
      <c r="AJ93" s="5">
        <v>2</v>
      </c>
      <c r="AK93" s="5">
        <v>1</v>
      </c>
      <c r="AL93" s="5">
        <v>1</v>
      </c>
      <c r="AM93" s="5">
        <f>IF(Tabela2[[#This Row],[gols_mandante]]=Tabela2[[#This Row],[gols_visitante]],1,0)</f>
        <v>0</v>
      </c>
      <c r="AN93" s="5">
        <f>IF(Tabela2[[#This Row],[gols_mandante]]&gt;Tabela2[[#This Row],[gols_visitante]],1,0)</f>
        <v>1</v>
      </c>
      <c r="AO93" s="5">
        <f>IF(Tabela2[[#This Row],[gols_mandante]]&lt;Tabela2[[#This Row],[gols_visitante]],1,0)</f>
        <v>0</v>
      </c>
      <c r="AP93" s="5" t="s">
        <v>222</v>
      </c>
      <c r="AQ93" s="5">
        <v>0</v>
      </c>
    </row>
    <row r="94" spans="1:43" x14ac:dyDescent="0.25">
      <c r="A94" s="3">
        <v>2024</v>
      </c>
      <c r="B94" s="2">
        <v>45471</v>
      </c>
      <c r="C94" s="3">
        <v>12</v>
      </c>
      <c r="D94" s="3">
        <v>26569</v>
      </c>
      <c r="E94" s="3">
        <v>82238</v>
      </c>
      <c r="F94" s="3" t="str">
        <f t="shared" si="4"/>
        <v>10.000-14.999</v>
      </c>
      <c r="G94" s="3">
        <f>Tabela2[[#This Row],[publico]]/Tabela2[[#This Row],[publico_max]]</f>
        <v>0.32307449111116515</v>
      </c>
      <c r="H94" s="3" t="s">
        <v>55</v>
      </c>
      <c r="I94" s="3" t="s">
        <v>94</v>
      </c>
      <c r="J94" s="3">
        <v>20</v>
      </c>
      <c r="K94" s="3" t="str">
        <f t="shared" si="5"/>
        <v>16-20 (rebaixamento)</v>
      </c>
      <c r="L94" s="3">
        <v>15</v>
      </c>
      <c r="M94" s="3">
        <f t="shared" si="6"/>
        <v>-5</v>
      </c>
      <c r="N94" s="3">
        <v>2225</v>
      </c>
      <c r="O94" s="3" t="str">
        <f t="shared" si="7"/>
        <v>1.501–3.500 (mediano)</v>
      </c>
      <c r="P94" s="3">
        <v>1233</v>
      </c>
      <c r="Q94" s="3" t="s">
        <v>224</v>
      </c>
      <c r="R94" s="3" t="s">
        <v>114</v>
      </c>
      <c r="S94" s="3">
        <v>0</v>
      </c>
      <c r="T94" s="3">
        <v>1</v>
      </c>
      <c r="U94" s="3">
        <v>0</v>
      </c>
      <c r="V94" s="3">
        <v>0</v>
      </c>
      <c r="W94" s="3">
        <v>6</v>
      </c>
      <c r="X94" s="3">
        <v>2</v>
      </c>
      <c r="Y94" s="3">
        <v>14</v>
      </c>
      <c r="Z94" s="3">
        <v>12</v>
      </c>
      <c r="AA94" s="3">
        <v>11</v>
      </c>
      <c r="AB94" s="3">
        <v>14</v>
      </c>
      <c r="AC94" s="3">
        <v>5</v>
      </c>
      <c r="AD94" s="3">
        <v>5</v>
      </c>
      <c r="AE94" s="3">
        <v>2</v>
      </c>
      <c r="AF94" s="3">
        <v>0</v>
      </c>
      <c r="AG94" s="3">
        <v>12</v>
      </c>
      <c r="AH94" s="3">
        <v>9</v>
      </c>
      <c r="AI94" s="3">
        <v>4</v>
      </c>
      <c r="AJ94" s="3">
        <v>1</v>
      </c>
      <c r="AK94" s="3">
        <v>-1</v>
      </c>
      <c r="AL94" s="3">
        <v>0</v>
      </c>
      <c r="AM94" s="3">
        <f>IF(Tabela2[[#This Row],[gols_mandante]]=Tabela2[[#This Row],[gols_visitante]],1,0)</f>
        <v>0</v>
      </c>
      <c r="AN94" s="3">
        <f>IF(Tabela2[[#This Row],[gols_mandante]]&gt;Tabela2[[#This Row],[gols_visitante]],1,0)</f>
        <v>0</v>
      </c>
      <c r="AO94" s="3">
        <f>IF(Tabela2[[#This Row],[gols_mandante]]&lt;Tabela2[[#This Row],[gols_visitante]],1,0)</f>
        <v>1</v>
      </c>
      <c r="AP94" s="3" t="s">
        <v>225</v>
      </c>
      <c r="AQ94" s="3">
        <v>0</v>
      </c>
    </row>
    <row r="95" spans="1:43" x14ac:dyDescent="0.25">
      <c r="A95" s="5">
        <v>2024</v>
      </c>
      <c r="B95" s="4">
        <v>45471</v>
      </c>
      <c r="C95" s="5">
        <v>12</v>
      </c>
      <c r="D95" s="5">
        <v>28008</v>
      </c>
      <c r="E95" s="5">
        <v>72039</v>
      </c>
      <c r="F95" s="5" t="str">
        <f t="shared" si="4"/>
        <v>20.000-29.999</v>
      </c>
      <c r="G95" s="5">
        <f>Tabela2[[#This Row],[publico]]/Tabela2[[#This Row],[publico_max]]</f>
        <v>0.3887894057385583</v>
      </c>
      <c r="H95" s="5" t="s">
        <v>62</v>
      </c>
      <c r="I95" s="5" t="s">
        <v>43</v>
      </c>
      <c r="J95" s="5">
        <v>9</v>
      </c>
      <c r="K95" s="3" t="str">
        <f t="shared" si="5"/>
        <v>6-10 (intermediário)</v>
      </c>
      <c r="L95" s="5">
        <v>12</v>
      </c>
      <c r="M95" s="3">
        <f t="shared" si="6"/>
        <v>3</v>
      </c>
      <c r="N95" s="5">
        <v>2895</v>
      </c>
      <c r="O95" s="3" t="str">
        <f t="shared" si="7"/>
        <v>1.501–3.500 (mediano)</v>
      </c>
      <c r="P95" s="5">
        <v>443</v>
      </c>
      <c r="Q95" s="5" t="s">
        <v>193</v>
      </c>
      <c r="R95" s="5" t="s">
        <v>179</v>
      </c>
      <c r="S95" s="5">
        <v>2</v>
      </c>
      <c r="T95" s="5">
        <v>1</v>
      </c>
      <c r="U95" s="5">
        <v>2</v>
      </c>
      <c r="V95" s="5">
        <v>0</v>
      </c>
      <c r="W95" s="5">
        <v>2</v>
      </c>
      <c r="X95" s="5">
        <v>2</v>
      </c>
      <c r="Y95" s="5">
        <v>10</v>
      </c>
      <c r="Z95" s="5">
        <v>22</v>
      </c>
      <c r="AA95" s="5">
        <v>21</v>
      </c>
      <c r="AB95" s="5">
        <v>9</v>
      </c>
      <c r="AC95" s="5">
        <v>0</v>
      </c>
      <c r="AD95" s="5">
        <v>4</v>
      </c>
      <c r="AE95" s="5">
        <v>1</v>
      </c>
      <c r="AF95" s="5">
        <v>0</v>
      </c>
      <c r="AG95" s="5">
        <v>13</v>
      </c>
      <c r="AH95" s="5">
        <v>10</v>
      </c>
      <c r="AI95" s="5">
        <v>4</v>
      </c>
      <c r="AJ95" s="5">
        <v>6</v>
      </c>
      <c r="AK95" s="5">
        <v>1</v>
      </c>
      <c r="AL95" s="5">
        <v>1</v>
      </c>
      <c r="AM95" s="5">
        <f>IF(Tabela2[[#This Row],[gols_mandante]]=Tabela2[[#This Row],[gols_visitante]],1,0)</f>
        <v>0</v>
      </c>
      <c r="AN95" s="5">
        <f>IF(Tabela2[[#This Row],[gols_mandante]]&gt;Tabela2[[#This Row],[gols_visitante]],1,0)</f>
        <v>1</v>
      </c>
      <c r="AO95" s="5">
        <f>IF(Tabela2[[#This Row],[gols_mandante]]&lt;Tabela2[[#This Row],[gols_visitante]],1,0)</f>
        <v>0</v>
      </c>
      <c r="AP95" s="5" t="s">
        <v>226</v>
      </c>
      <c r="AQ95" s="5">
        <v>0</v>
      </c>
    </row>
    <row r="96" spans="1:43" x14ac:dyDescent="0.25">
      <c r="A96" s="3">
        <v>2024</v>
      </c>
      <c r="B96" s="2">
        <v>45472</v>
      </c>
      <c r="C96" s="3">
        <v>13</v>
      </c>
      <c r="D96" s="3">
        <v>16121</v>
      </c>
      <c r="E96" s="3">
        <v>24584</v>
      </c>
      <c r="F96" s="3" t="str">
        <f t="shared" si="4"/>
        <v>20.000-29.999</v>
      </c>
      <c r="G96" s="3">
        <f>Tabela2[[#This Row],[publico]]/Tabela2[[#This Row],[publico_max]]</f>
        <v>0.65575170842824604</v>
      </c>
      <c r="H96" s="3" t="s">
        <v>82</v>
      </c>
      <c r="I96" s="3" t="s">
        <v>51</v>
      </c>
      <c r="J96" s="3">
        <v>16</v>
      </c>
      <c r="K96" s="3" t="str">
        <f t="shared" si="5"/>
        <v>16-20 (rebaixamento)</v>
      </c>
      <c r="L96" s="3">
        <v>3</v>
      </c>
      <c r="M96" s="3">
        <f t="shared" si="6"/>
        <v>-13</v>
      </c>
      <c r="N96" s="3">
        <v>2660</v>
      </c>
      <c r="O96" s="3" t="str">
        <f t="shared" si="7"/>
        <v>1.501–3.500 (mediano)</v>
      </c>
      <c r="P96" s="3">
        <v>3145</v>
      </c>
      <c r="Q96" s="3" t="s">
        <v>163</v>
      </c>
      <c r="R96" s="3" t="s">
        <v>92</v>
      </c>
      <c r="S96" s="3">
        <v>1</v>
      </c>
      <c r="T96" s="3">
        <v>1</v>
      </c>
      <c r="U96" s="3">
        <v>0</v>
      </c>
      <c r="V96" s="3">
        <v>0</v>
      </c>
      <c r="W96" s="3">
        <v>0</v>
      </c>
      <c r="X96" s="3">
        <v>5</v>
      </c>
      <c r="Y96" s="3">
        <v>13</v>
      </c>
      <c r="Z96" s="3">
        <v>23</v>
      </c>
      <c r="AA96" s="3">
        <v>20</v>
      </c>
      <c r="AB96" s="3">
        <v>12</v>
      </c>
      <c r="AC96" s="3">
        <v>5</v>
      </c>
      <c r="AD96" s="3">
        <v>1</v>
      </c>
      <c r="AE96" s="3">
        <v>0</v>
      </c>
      <c r="AF96" s="3">
        <v>0</v>
      </c>
      <c r="AG96" s="3">
        <v>10</v>
      </c>
      <c r="AH96" s="3">
        <v>13</v>
      </c>
      <c r="AI96" s="3">
        <v>6</v>
      </c>
      <c r="AJ96" s="3">
        <v>4</v>
      </c>
      <c r="AK96" s="3">
        <v>0</v>
      </c>
      <c r="AL96" s="3">
        <v>0</v>
      </c>
      <c r="AM96" s="3">
        <f>IF(Tabela2[[#This Row],[gols_mandante]]=Tabela2[[#This Row],[gols_visitante]],1,0)</f>
        <v>1</v>
      </c>
      <c r="AN96" s="3">
        <f>IF(Tabela2[[#This Row],[gols_mandante]]&gt;Tabela2[[#This Row],[gols_visitante]],1,0)</f>
        <v>0</v>
      </c>
      <c r="AO96" s="3">
        <f>IF(Tabela2[[#This Row],[gols_mandante]]&lt;Tabela2[[#This Row],[gols_visitante]],1,0)</f>
        <v>0</v>
      </c>
      <c r="AP96" s="3" t="s">
        <v>227</v>
      </c>
      <c r="AQ96" s="3">
        <v>0</v>
      </c>
    </row>
    <row r="97" spans="1:43" x14ac:dyDescent="0.25">
      <c r="A97" s="5">
        <v>2024</v>
      </c>
      <c r="B97" s="4">
        <v>45472</v>
      </c>
      <c r="C97" s="5">
        <v>13</v>
      </c>
      <c r="D97" s="5">
        <v>5024</v>
      </c>
      <c r="E97" s="5">
        <v>42968</v>
      </c>
      <c r="F97" s="5" t="str">
        <f t="shared" si="4"/>
        <v>15.000-19.999</v>
      </c>
      <c r="G97" s="5">
        <f>Tabela2[[#This Row],[publico]]/Tabela2[[#This Row],[publico_max]]</f>
        <v>0.11692422267734127</v>
      </c>
      <c r="H97" s="5" t="s">
        <v>70</v>
      </c>
      <c r="I97" s="5" t="s">
        <v>56</v>
      </c>
      <c r="J97" s="5">
        <v>14</v>
      </c>
      <c r="K97" s="3" t="str">
        <f t="shared" si="5"/>
        <v>11-15 (mediano)</v>
      </c>
      <c r="L97" s="5">
        <v>11</v>
      </c>
      <c r="M97" s="3">
        <f t="shared" si="6"/>
        <v>-3</v>
      </c>
      <c r="N97" s="5">
        <v>1410</v>
      </c>
      <c r="O97" s="3" t="str">
        <f t="shared" si="7"/>
        <v>1–1.500 (rebaixamento)</v>
      </c>
      <c r="P97" s="5">
        <v>4470</v>
      </c>
      <c r="Q97" s="5" t="s">
        <v>135</v>
      </c>
      <c r="R97" s="5" t="s">
        <v>228</v>
      </c>
      <c r="S97" s="5">
        <v>1</v>
      </c>
      <c r="T97" s="5">
        <v>1</v>
      </c>
      <c r="U97" s="5">
        <v>1</v>
      </c>
      <c r="V97" s="5">
        <v>1</v>
      </c>
      <c r="W97" s="5">
        <v>3</v>
      </c>
      <c r="X97" s="5">
        <v>11</v>
      </c>
      <c r="Y97" s="5">
        <v>13</v>
      </c>
      <c r="Z97" s="5">
        <v>16</v>
      </c>
      <c r="AA97" s="5">
        <v>16</v>
      </c>
      <c r="AB97" s="5">
        <v>12</v>
      </c>
      <c r="AC97" s="5">
        <v>4</v>
      </c>
      <c r="AD97" s="5">
        <v>1</v>
      </c>
      <c r="AE97" s="5">
        <v>2</v>
      </c>
      <c r="AF97" s="5">
        <v>1</v>
      </c>
      <c r="AG97" s="5">
        <v>5</v>
      </c>
      <c r="AH97" s="5">
        <v>15</v>
      </c>
      <c r="AI97" s="5">
        <v>3</v>
      </c>
      <c r="AJ97" s="5">
        <v>6</v>
      </c>
      <c r="AK97" s="5">
        <v>0</v>
      </c>
      <c r="AL97" s="5">
        <v>0</v>
      </c>
      <c r="AM97" s="5">
        <f>IF(Tabela2[[#This Row],[gols_mandante]]=Tabela2[[#This Row],[gols_visitante]],1,0)</f>
        <v>1</v>
      </c>
      <c r="AN97" s="5">
        <f>IF(Tabela2[[#This Row],[gols_mandante]]&gt;Tabela2[[#This Row],[gols_visitante]],1,0)</f>
        <v>0</v>
      </c>
      <c r="AO97" s="5">
        <f>IF(Tabela2[[#This Row],[gols_mandante]]&lt;Tabela2[[#This Row],[gols_visitante]],1,0)</f>
        <v>0</v>
      </c>
      <c r="AP97" s="5" t="s">
        <v>136</v>
      </c>
      <c r="AQ97" s="5">
        <v>1</v>
      </c>
    </row>
    <row r="98" spans="1:43" x14ac:dyDescent="0.25">
      <c r="A98" s="3">
        <v>2024</v>
      </c>
      <c r="B98" s="2">
        <v>45473</v>
      </c>
      <c r="C98" s="3">
        <v>13</v>
      </c>
      <c r="D98" s="3">
        <v>39767</v>
      </c>
      <c r="E98" s="3">
        <v>46000</v>
      </c>
      <c r="F98" s="3" t="str">
        <f t="shared" si="4"/>
        <v>5.000-9.999</v>
      </c>
      <c r="G98" s="3">
        <f>Tabela2[[#This Row],[publico]]/Tabela2[[#This Row],[publico_max]]</f>
        <v>0.86450000000000005</v>
      </c>
      <c r="H98" s="3" t="s">
        <v>89</v>
      </c>
      <c r="I98" s="3" t="s">
        <v>76</v>
      </c>
      <c r="J98" s="3">
        <v>9</v>
      </c>
      <c r="K98" s="3" t="str">
        <f t="shared" si="5"/>
        <v>6-10 (intermediário)</v>
      </c>
      <c r="L98" s="3">
        <v>17</v>
      </c>
      <c r="M98" s="3">
        <f t="shared" si="6"/>
        <v>8</v>
      </c>
      <c r="N98" s="3">
        <v>2920</v>
      </c>
      <c r="O98" s="3" t="str">
        <f t="shared" si="7"/>
        <v>1.501–3.500 (mediano)</v>
      </c>
      <c r="P98" s="3">
        <v>1250</v>
      </c>
      <c r="Q98" s="3" t="s">
        <v>117</v>
      </c>
      <c r="R98" s="3" t="s">
        <v>104</v>
      </c>
      <c r="S98" s="3">
        <v>1</v>
      </c>
      <c r="T98" s="3">
        <v>1</v>
      </c>
      <c r="U98" s="3">
        <v>1</v>
      </c>
      <c r="V98" s="3">
        <v>1</v>
      </c>
      <c r="W98" s="3">
        <v>5</v>
      </c>
      <c r="X98" s="3">
        <v>8</v>
      </c>
      <c r="Y98" s="3">
        <v>10</v>
      </c>
      <c r="Z98" s="3">
        <v>11</v>
      </c>
      <c r="AA98" s="3">
        <v>9</v>
      </c>
      <c r="AB98" s="3">
        <v>10</v>
      </c>
      <c r="AC98" s="3">
        <v>4</v>
      </c>
      <c r="AD98" s="3">
        <v>5</v>
      </c>
      <c r="AE98" s="3">
        <v>0</v>
      </c>
      <c r="AF98" s="3">
        <v>2</v>
      </c>
      <c r="AG98" s="3">
        <v>15</v>
      </c>
      <c r="AH98" s="3">
        <v>12</v>
      </c>
      <c r="AI98" s="3">
        <v>4</v>
      </c>
      <c r="AJ98" s="3">
        <v>4</v>
      </c>
      <c r="AK98" s="3">
        <v>0</v>
      </c>
      <c r="AL98" s="3">
        <v>0</v>
      </c>
      <c r="AM98" s="3">
        <f>IF(Tabela2[[#This Row],[gols_mandante]]=Tabela2[[#This Row],[gols_visitante]],1,0)</f>
        <v>1</v>
      </c>
      <c r="AN98" s="3">
        <f>IF(Tabela2[[#This Row],[gols_mandante]]&gt;Tabela2[[#This Row],[gols_visitante]],1,0)</f>
        <v>0</v>
      </c>
      <c r="AO98" s="3">
        <f>IF(Tabela2[[#This Row],[gols_mandante]]&lt;Tabela2[[#This Row],[gols_visitante]],1,0)</f>
        <v>0</v>
      </c>
      <c r="AP98" s="3" t="s">
        <v>229</v>
      </c>
      <c r="AQ98" s="3">
        <v>0</v>
      </c>
    </row>
    <row r="99" spans="1:43" x14ac:dyDescent="0.25">
      <c r="A99" s="5">
        <v>2024</v>
      </c>
      <c r="B99" s="4">
        <v>45475</v>
      </c>
      <c r="C99" s="5">
        <v>13</v>
      </c>
      <c r="D99" s="5">
        <v>41175</v>
      </c>
      <c r="E99" s="5">
        <v>43713</v>
      </c>
      <c r="F99" s="5" t="str">
        <f t="shared" si="4"/>
        <v>&gt;=30.000</v>
      </c>
      <c r="G99" s="5">
        <f>Tabela2[[#This Row],[publico]]/Tabela2[[#This Row],[publico_max]]</f>
        <v>0.94193946880790613</v>
      </c>
      <c r="H99" s="5" t="s">
        <v>95</v>
      </c>
      <c r="I99" s="5" t="s">
        <v>88</v>
      </c>
      <c r="J99" s="5">
        <v>2</v>
      </c>
      <c r="K99" s="3" t="str">
        <f t="shared" si="5"/>
        <v>1-5 (elite)</v>
      </c>
      <c r="L99" s="5">
        <v>19</v>
      </c>
      <c r="M99" s="3">
        <f t="shared" si="6"/>
        <v>17</v>
      </c>
      <c r="N99" s="5">
        <v>9010</v>
      </c>
      <c r="O99" s="3" t="str">
        <f t="shared" si="7"/>
        <v>7.001+ (elite)</v>
      </c>
      <c r="P99" s="5">
        <v>4630</v>
      </c>
      <c r="Q99" s="5">
        <v>26</v>
      </c>
      <c r="R99" s="5" t="s">
        <v>230</v>
      </c>
      <c r="S99" s="5">
        <v>2</v>
      </c>
      <c r="T99" s="5">
        <v>0</v>
      </c>
      <c r="U99" s="5">
        <v>0</v>
      </c>
      <c r="V99" s="5">
        <v>0</v>
      </c>
      <c r="W99" s="5">
        <v>7</v>
      </c>
      <c r="X99" s="5">
        <v>3</v>
      </c>
      <c r="Y99" s="5">
        <v>18</v>
      </c>
      <c r="Z99" s="5">
        <v>10</v>
      </c>
      <c r="AA99" s="5">
        <v>10</v>
      </c>
      <c r="AB99" s="5">
        <v>18</v>
      </c>
      <c r="AC99" s="5">
        <v>4</v>
      </c>
      <c r="AD99" s="5">
        <v>8</v>
      </c>
      <c r="AE99" s="5">
        <v>2</v>
      </c>
      <c r="AF99" s="5">
        <v>0</v>
      </c>
      <c r="AG99" s="5">
        <v>19</v>
      </c>
      <c r="AH99" s="5">
        <v>13</v>
      </c>
      <c r="AI99" s="5">
        <v>3</v>
      </c>
      <c r="AJ99" s="5">
        <v>8</v>
      </c>
      <c r="AK99" s="5">
        <v>2</v>
      </c>
      <c r="AL99" s="5">
        <v>1</v>
      </c>
      <c r="AM99" s="5">
        <f>IF(Tabela2[[#This Row],[gols_mandante]]=Tabela2[[#This Row],[gols_visitante]],1,0)</f>
        <v>0</v>
      </c>
      <c r="AN99" s="5">
        <f>IF(Tabela2[[#This Row],[gols_mandante]]&gt;Tabela2[[#This Row],[gols_visitante]],1,0)</f>
        <v>1</v>
      </c>
      <c r="AO99" s="5">
        <f>IF(Tabela2[[#This Row],[gols_mandante]]&lt;Tabela2[[#This Row],[gols_visitante]],1,0)</f>
        <v>0</v>
      </c>
      <c r="AP99" s="5" t="s">
        <v>181</v>
      </c>
      <c r="AQ99" s="5">
        <v>1</v>
      </c>
    </row>
    <row r="100" spans="1:43" x14ac:dyDescent="0.25">
      <c r="A100" s="3">
        <v>2024</v>
      </c>
      <c r="B100" s="2">
        <v>45477</v>
      </c>
      <c r="C100" s="3">
        <v>14</v>
      </c>
      <c r="D100" s="3">
        <v>12352</v>
      </c>
      <c r="E100" s="3">
        <v>19225</v>
      </c>
      <c r="F100" s="3" t="str">
        <f t="shared" si="4"/>
        <v>&gt;=30.000</v>
      </c>
      <c r="G100" s="3">
        <f>Tabela2[[#This Row],[publico]]/Tabela2[[#This Row],[publico_max]]</f>
        <v>0.64249674902470744</v>
      </c>
      <c r="H100" s="3" t="s">
        <v>43</v>
      </c>
      <c r="I100" s="3" t="s">
        <v>50</v>
      </c>
      <c r="J100" s="3">
        <v>12</v>
      </c>
      <c r="K100" s="3" t="str">
        <f t="shared" si="5"/>
        <v>11-15 (mediano)</v>
      </c>
      <c r="L100" s="3">
        <v>9</v>
      </c>
      <c r="M100" s="3">
        <f t="shared" si="6"/>
        <v>-3</v>
      </c>
      <c r="N100" s="3">
        <v>673</v>
      </c>
      <c r="O100" s="3" t="str">
        <f t="shared" si="7"/>
        <v>1–1.500 (rebaixamento)</v>
      </c>
      <c r="P100" s="3">
        <v>2950</v>
      </c>
      <c r="Q100" s="3">
        <v>31</v>
      </c>
      <c r="R100" s="3" t="s">
        <v>168</v>
      </c>
      <c r="S100" s="3">
        <v>1</v>
      </c>
      <c r="T100" s="3">
        <v>0</v>
      </c>
      <c r="U100" s="3">
        <v>0</v>
      </c>
      <c r="V100" s="3">
        <v>0</v>
      </c>
      <c r="W100" s="3">
        <v>7</v>
      </c>
      <c r="X100" s="3">
        <v>10</v>
      </c>
      <c r="Y100" s="3">
        <v>11</v>
      </c>
      <c r="Z100" s="3">
        <v>7</v>
      </c>
      <c r="AA100" s="3">
        <v>6</v>
      </c>
      <c r="AB100" s="3">
        <v>11</v>
      </c>
      <c r="AC100" s="3">
        <v>6</v>
      </c>
      <c r="AD100" s="3">
        <v>5</v>
      </c>
      <c r="AE100" s="3">
        <v>2</v>
      </c>
      <c r="AF100" s="3">
        <v>1</v>
      </c>
      <c r="AG100" s="3">
        <v>13</v>
      </c>
      <c r="AH100" s="3">
        <v>17</v>
      </c>
      <c r="AI100" s="3">
        <v>5</v>
      </c>
      <c r="AJ100" s="3">
        <v>10</v>
      </c>
      <c r="AK100" s="3">
        <v>1</v>
      </c>
      <c r="AL100" s="3">
        <v>1</v>
      </c>
      <c r="AM100" s="3">
        <f>IF(Tabela2[[#This Row],[gols_mandante]]=Tabela2[[#This Row],[gols_visitante]],1,0)</f>
        <v>0</v>
      </c>
      <c r="AN100" s="3">
        <f>IF(Tabela2[[#This Row],[gols_mandante]]&gt;Tabela2[[#This Row],[gols_visitante]],1,0)</f>
        <v>1</v>
      </c>
      <c r="AO100" s="3">
        <f>IF(Tabela2[[#This Row],[gols_mandante]]&lt;Tabela2[[#This Row],[gols_visitante]],1,0)</f>
        <v>0</v>
      </c>
      <c r="AP100" s="3" t="s">
        <v>231</v>
      </c>
      <c r="AQ100" s="3">
        <v>1</v>
      </c>
    </row>
    <row r="101" spans="1:43" x14ac:dyDescent="0.25">
      <c r="A101" s="5">
        <v>2024</v>
      </c>
      <c r="B101" s="4">
        <v>45477</v>
      </c>
      <c r="C101" s="5">
        <v>14</v>
      </c>
      <c r="D101" s="5">
        <v>14384</v>
      </c>
      <c r="E101" s="5">
        <v>24584</v>
      </c>
      <c r="F101" s="5" t="str">
        <f t="shared" si="4"/>
        <v>10.000-14.999</v>
      </c>
      <c r="G101" s="5">
        <f>Tabela2[[#This Row],[publico]]/Tabela2[[#This Row],[publico_max]]</f>
        <v>0.58509599739668072</v>
      </c>
      <c r="H101" s="5" t="s">
        <v>82</v>
      </c>
      <c r="I101" s="5" t="s">
        <v>63</v>
      </c>
      <c r="J101" s="5">
        <v>14</v>
      </c>
      <c r="K101" s="3" t="str">
        <f t="shared" si="5"/>
        <v>11-15 (mediano)</v>
      </c>
      <c r="L101" s="5">
        <v>11</v>
      </c>
      <c r="M101" s="3">
        <f t="shared" si="6"/>
        <v>-3</v>
      </c>
      <c r="N101" s="5">
        <v>2780</v>
      </c>
      <c r="O101" s="3" t="str">
        <f t="shared" si="7"/>
        <v>1.501–3.500 (mediano)</v>
      </c>
      <c r="P101" s="5">
        <v>1340</v>
      </c>
      <c r="Q101" s="5" t="s">
        <v>105</v>
      </c>
      <c r="R101" s="5" t="s">
        <v>67</v>
      </c>
      <c r="S101" s="5">
        <v>2</v>
      </c>
      <c r="T101" s="5">
        <v>0</v>
      </c>
      <c r="U101" s="5">
        <v>1</v>
      </c>
      <c r="V101" s="5">
        <v>0</v>
      </c>
      <c r="W101" s="5">
        <v>7</v>
      </c>
      <c r="X101" s="5">
        <v>3</v>
      </c>
      <c r="Y101" s="5">
        <v>21</v>
      </c>
      <c r="Z101" s="5">
        <v>12</v>
      </c>
      <c r="AA101" s="5">
        <v>12</v>
      </c>
      <c r="AB101" s="5">
        <v>21</v>
      </c>
      <c r="AC101" s="5">
        <v>4</v>
      </c>
      <c r="AD101" s="5">
        <v>7</v>
      </c>
      <c r="AE101" s="5">
        <v>2</v>
      </c>
      <c r="AF101" s="5">
        <v>1</v>
      </c>
      <c r="AG101" s="5">
        <v>19</v>
      </c>
      <c r="AH101" s="5">
        <v>10</v>
      </c>
      <c r="AI101" s="5">
        <v>5</v>
      </c>
      <c r="AJ101" s="5">
        <v>4</v>
      </c>
      <c r="AK101" s="5">
        <v>2</v>
      </c>
      <c r="AL101" s="5">
        <v>1</v>
      </c>
      <c r="AM101" s="5">
        <f>IF(Tabela2[[#This Row],[gols_mandante]]=Tabela2[[#This Row],[gols_visitante]],1,0)</f>
        <v>0</v>
      </c>
      <c r="AN101" s="5">
        <f>IF(Tabela2[[#This Row],[gols_mandante]]&gt;Tabela2[[#This Row],[gols_visitante]],1,0)</f>
        <v>1</v>
      </c>
      <c r="AO101" s="5">
        <f>IF(Tabela2[[#This Row],[gols_mandante]]&lt;Tabela2[[#This Row],[gols_visitante]],1,0)</f>
        <v>0</v>
      </c>
      <c r="AP101" s="5" t="s">
        <v>227</v>
      </c>
      <c r="AQ101" s="5">
        <v>0</v>
      </c>
    </row>
    <row r="102" spans="1:43" x14ac:dyDescent="0.25">
      <c r="A102" s="3">
        <v>2024</v>
      </c>
      <c r="B102" s="2">
        <v>45477</v>
      </c>
      <c r="C102" s="3">
        <v>14</v>
      </c>
      <c r="D102" s="3">
        <v>28632</v>
      </c>
      <c r="E102" s="3">
        <v>42372</v>
      </c>
      <c r="F102" s="3" t="str">
        <f t="shared" si="4"/>
        <v>10.000-14.999</v>
      </c>
      <c r="G102" s="3">
        <f>Tabela2[[#This Row],[publico]]/Tabela2[[#This Row],[publico_max]]</f>
        <v>0.67572925516850746</v>
      </c>
      <c r="H102" s="3" t="s">
        <v>69</v>
      </c>
      <c r="I102" s="3" t="s">
        <v>62</v>
      </c>
      <c r="J102" s="3">
        <v>7</v>
      </c>
      <c r="K102" s="3" t="str">
        <f t="shared" si="5"/>
        <v>6-10 (intermediário)</v>
      </c>
      <c r="L102" s="3">
        <v>5</v>
      </c>
      <c r="M102" s="3">
        <f t="shared" si="6"/>
        <v>-2</v>
      </c>
      <c r="N102" s="3">
        <v>2980</v>
      </c>
      <c r="O102" s="3" t="str">
        <f t="shared" si="7"/>
        <v>1.501–3.500 (mediano)</v>
      </c>
      <c r="P102" s="3">
        <v>2765</v>
      </c>
      <c r="Q102" s="3" t="s">
        <v>114</v>
      </c>
      <c r="R102" s="3" t="s">
        <v>144</v>
      </c>
      <c r="S102" s="3">
        <v>1</v>
      </c>
      <c r="T102" s="3">
        <v>2</v>
      </c>
      <c r="U102" s="3">
        <v>1</v>
      </c>
      <c r="V102" s="3">
        <v>1</v>
      </c>
      <c r="W102" s="3">
        <v>6</v>
      </c>
      <c r="X102" s="3">
        <v>2</v>
      </c>
      <c r="Y102" s="3">
        <v>19</v>
      </c>
      <c r="Z102" s="3">
        <v>8</v>
      </c>
      <c r="AA102" s="3">
        <v>7</v>
      </c>
      <c r="AB102" s="3">
        <v>18</v>
      </c>
      <c r="AC102" s="3">
        <v>6</v>
      </c>
      <c r="AD102" s="3">
        <v>3</v>
      </c>
      <c r="AE102" s="3">
        <v>1</v>
      </c>
      <c r="AF102" s="3">
        <v>2</v>
      </c>
      <c r="AG102" s="3">
        <v>12</v>
      </c>
      <c r="AH102" s="3">
        <v>13</v>
      </c>
      <c r="AI102" s="3">
        <v>6</v>
      </c>
      <c r="AJ102" s="3">
        <v>1</v>
      </c>
      <c r="AK102" s="3">
        <v>-1</v>
      </c>
      <c r="AL102" s="3">
        <v>0</v>
      </c>
      <c r="AM102" s="3">
        <f>IF(Tabela2[[#This Row],[gols_mandante]]=Tabela2[[#This Row],[gols_visitante]],1,0)</f>
        <v>0</v>
      </c>
      <c r="AN102" s="3">
        <f>IF(Tabela2[[#This Row],[gols_mandante]]&gt;Tabela2[[#This Row],[gols_visitante]],1,0)</f>
        <v>0</v>
      </c>
      <c r="AO102" s="3">
        <f>IF(Tabela2[[#This Row],[gols_mandante]]&lt;Tabela2[[#This Row],[gols_visitante]],1,0)</f>
        <v>1</v>
      </c>
      <c r="AP102" s="3" t="s">
        <v>127</v>
      </c>
      <c r="AQ102" s="3">
        <v>1</v>
      </c>
    </row>
    <row r="103" spans="1:43" x14ac:dyDescent="0.25">
      <c r="A103" s="5">
        <v>2024</v>
      </c>
      <c r="B103" s="4">
        <v>45477</v>
      </c>
      <c r="C103" s="5">
        <v>14</v>
      </c>
      <c r="D103" s="5">
        <v>39993</v>
      </c>
      <c r="E103" s="5">
        <v>46000</v>
      </c>
      <c r="F103" s="5" t="str">
        <f t="shared" si="4"/>
        <v>20.000-29.999</v>
      </c>
      <c r="G103" s="5">
        <f>Tabela2[[#This Row],[publico]]/Tabela2[[#This Row],[publico_max]]</f>
        <v>0.86941304347826087</v>
      </c>
      <c r="H103" s="5" t="s">
        <v>89</v>
      </c>
      <c r="I103" s="5" t="s">
        <v>77</v>
      </c>
      <c r="J103" s="5">
        <v>10</v>
      </c>
      <c r="K103" s="3" t="str">
        <f t="shared" si="5"/>
        <v>6-10 (intermediário)</v>
      </c>
      <c r="L103" s="5">
        <v>1</v>
      </c>
      <c r="M103" s="3">
        <f t="shared" si="6"/>
        <v>-9</v>
      </c>
      <c r="N103" s="5">
        <v>3995</v>
      </c>
      <c r="O103" s="3" t="str">
        <f t="shared" si="7"/>
        <v>3.501–7.000 (intermediário)</v>
      </c>
      <c r="P103" s="5">
        <v>5970</v>
      </c>
      <c r="Q103" s="5" t="s">
        <v>122</v>
      </c>
      <c r="R103" s="5" t="s">
        <v>134</v>
      </c>
      <c r="S103" s="5">
        <v>2</v>
      </c>
      <c r="T103" s="5">
        <v>4</v>
      </c>
      <c r="U103" s="5">
        <v>0</v>
      </c>
      <c r="V103" s="5">
        <v>2</v>
      </c>
      <c r="W103" s="5">
        <v>4</v>
      </c>
      <c r="X103" s="5">
        <v>4</v>
      </c>
      <c r="Y103" s="5">
        <v>12</v>
      </c>
      <c r="Z103" s="5">
        <v>11</v>
      </c>
      <c r="AA103" s="5">
        <v>10</v>
      </c>
      <c r="AB103" s="5">
        <v>12</v>
      </c>
      <c r="AC103" s="5">
        <v>4</v>
      </c>
      <c r="AD103" s="5">
        <v>2</v>
      </c>
      <c r="AE103" s="5">
        <v>1</v>
      </c>
      <c r="AF103" s="5">
        <v>2</v>
      </c>
      <c r="AG103" s="5">
        <v>11</v>
      </c>
      <c r="AH103" s="5">
        <v>14</v>
      </c>
      <c r="AI103" s="5">
        <v>3</v>
      </c>
      <c r="AJ103" s="5">
        <v>3</v>
      </c>
      <c r="AK103" s="5">
        <v>-2</v>
      </c>
      <c r="AL103" s="5">
        <v>0</v>
      </c>
      <c r="AM103" s="5">
        <f>IF(Tabela2[[#This Row],[gols_mandante]]=Tabela2[[#This Row],[gols_visitante]],1,0)</f>
        <v>0</v>
      </c>
      <c r="AN103" s="5">
        <f>IF(Tabela2[[#This Row],[gols_mandante]]&gt;Tabela2[[#This Row],[gols_visitante]],1,0)</f>
        <v>0</v>
      </c>
      <c r="AO103" s="5">
        <f>IF(Tabela2[[#This Row],[gols_mandante]]&lt;Tabela2[[#This Row],[gols_visitante]],1,0)</f>
        <v>1</v>
      </c>
      <c r="AP103" s="5" t="s">
        <v>232</v>
      </c>
      <c r="AQ103" s="5">
        <v>1</v>
      </c>
    </row>
    <row r="104" spans="1:43" x14ac:dyDescent="0.25">
      <c r="A104" s="3">
        <v>2024</v>
      </c>
      <c r="B104" s="2">
        <v>45477</v>
      </c>
      <c r="C104" s="3">
        <v>14</v>
      </c>
      <c r="D104" s="3">
        <v>3102</v>
      </c>
      <c r="E104" s="3">
        <v>15010</v>
      </c>
      <c r="F104" s="3" t="str">
        <f t="shared" si="4"/>
        <v>&gt;=30.000</v>
      </c>
      <c r="G104" s="3">
        <f>Tabela2[[#This Row],[publico]]/Tabela2[[#This Row],[publico_max]]</f>
        <v>0.2066622251832112</v>
      </c>
      <c r="H104" s="3" t="s">
        <v>56</v>
      </c>
      <c r="I104" s="3" t="s">
        <v>76</v>
      </c>
      <c r="J104" s="3">
        <v>8</v>
      </c>
      <c r="K104" s="3" t="str">
        <f t="shared" si="5"/>
        <v>6-10 (intermediário)</v>
      </c>
      <c r="L104" s="3">
        <v>19</v>
      </c>
      <c r="M104" s="3">
        <f t="shared" si="6"/>
        <v>11</v>
      </c>
      <c r="N104" s="3">
        <v>4080</v>
      </c>
      <c r="O104" s="3" t="str">
        <f t="shared" si="7"/>
        <v>3.501–7.000 (intermediário)</v>
      </c>
      <c r="P104" s="3">
        <v>1280</v>
      </c>
      <c r="Q104" s="3" t="s">
        <v>233</v>
      </c>
      <c r="R104" s="3" t="s">
        <v>117</v>
      </c>
      <c r="S104" s="3">
        <v>3</v>
      </c>
      <c r="T104" s="3">
        <v>1</v>
      </c>
      <c r="U104" s="3">
        <v>3</v>
      </c>
      <c r="V104" s="3">
        <v>1</v>
      </c>
      <c r="W104" s="3">
        <v>3</v>
      </c>
      <c r="X104" s="3">
        <v>8</v>
      </c>
      <c r="Y104" s="3">
        <v>15</v>
      </c>
      <c r="Z104" s="3">
        <v>9</v>
      </c>
      <c r="AA104" s="3">
        <v>9</v>
      </c>
      <c r="AB104" s="3">
        <v>15</v>
      </c>
      <c r="AC104" s="3">
        <v>5</v>
      </c>
      <c r="AD104" s="3">
        <v>2</v>
      </c>
      <c r="AE104" s="3">
        <v>1</v>
      </c>
      <c r="AF104" s="3">
        <v>3</v>
      </c>
      <c r="AG104" s="3">
        <v>13</v>
      </c>
      <c r="AH104" s="3">
        <v>13</v>
      </c>
      <c r="AI104" s="3">
        <v>5</v>
      </c>
      <c r="AJ104" s="3">
        <v>6</v>
      </c>
      <c r="AK104" s="3">
        <v>2</v>
      </c>
      <c r="AL104" s="3">
        <v>1</v>
      </c>
      <c r="AM104" s="3">
        <f>IF(Tabela2[[#This Row],[gols_mandante]]=Tabela2[[#This Row],[gols_visitante]],1,0)</f>
        <v>0</v>
      </c>
      <c r="AN104" s="3">
        <f>IF(Tabela2[[#This Row],[gols_mandante]]&gt;Tabela2[[#This Row],[gols_visitante]],1,0)</f>
        <v>1</v>
      </c>
      <c r="AO104" s="3">
        <f>IF(Tabela2[[#This Row],[gols_mandante]]&lt;Tabela2[[#This Row],[gols_visitante]],1,0)</f>
        <v>0</v>
      </c>
      <c r="AP104" s="3" t="s">
        <v>234</v>
      </c>
      <c r="AQ104" s="3">
        <v>0</v>
      </c>
    </row>
    <row r="105" spans="1:43" x14ac:dyDescent="0.25">
      <c r="A105" s="5">
        <v>2024</v>
      </c>
      <c r="B105" s="4">
        <v>45477</v>
      </c>
      <c r="C105" s="5">
        <v>14</v>
      </c>
      <c r="D105" s="5">
        <v>7849</v>
      </c>
      <c r="E105" s="5">
        <v>42968</v>
      </c>
      <c r="F105" s="5" t="str">
        <f t="shared" si="4"/>
        <v>0-4.999</v>
      </c>
      <c r="G105" s="5">
        <f>Tabela2[[#This Row],[publico]]/Tabela2[[#This Row],[publico_max]]</f>
        <v>0.18267082479985106</v>
      </c>
      <c r="H105" s="5" t="s">
        <v>70</v>
      </c>
      <c r="I105" s="5" t="s">
        <v>51</v>
      </c>
      <c r="J105" s="5">
        <v>15</v>
      </c>
      <c r="K105" s="3" t="str">
        <f t="shared" si="5"/>
        <v>11-15 (mediano)</v>
      </c>
      <c r="L105" s="5">
        <v>2</v>
      </c>
      <c r="M105" s="3">
        <f t="shared" si="6"/>
        <v>-13</v>
      </c>
      <c r="N105" s="5">
        <v>1410</v>
      </c>
      <c r="O105" s="3" t="str">
        <f t="shared" si="7"/>
        <v>1–1.500 (rebaixamento)</v>
      </c>
      <c r="P105" s="5">
        <v>3110</v>
      </c>
      <c r="Q105" s="5" t="s">
        <v>235</v>
      </c>
      <c r="R105" s="5" t="s">
        <v>107</v>
      </c>
      <c r="S105" s="5">
        <v>1</v>
      </c>
      <c r="T105" s="5">
        <v>2</v>
      </c>
      <c r="U105" s="5">
        <v>1</v>
      </c>
      <c r="V105" s="5">
        <v>1</v>
      </c>
      <c r="W105" s="5">
        <v>7</v>
      </c>
      <c r="X105" s="5">
        <v>5</v>
      </c>
      <c r="Y105" s="5">
        <v>8</v>
      </c>
      <c r="Z105" s="5">
        <v>15</v>
      </c>
      <c r="AA105" s="5">
        <v>14</v>
      </c>
      <c r="AB105" s="5">
        <v>8</v>
      </c>
      <c r="AC105" s="5">
        <v>2</v>
      </c>
      <c r="AD105" s="5">
        <v>5</v>
      </c>
      <c r="AE105" s="5">
        <v>2</v>
      </c>
      <c r="AF105" s="5">
        <v>7</v>
      </c>
      <c r="AG105" s="5">
        <v>11</v>
      </c>
      <c r="AH105" s="5">
        <v>6</v>
      </c>
      <c r="AI105" s="5">
        <v>4</v>
      </c>
      <c r="AJ105" s="5">
        <v>0</v>
      </c>
      <c r="AK105" s="5">
        <v>-1</v>
      </c>
      <c r="AL105" s="5">
        <v>0</v>
      </c>
      <c r="AM105" s="5">
        <f>IF(Tabela2[[#This Row],[gols_mandante]]=Tabela2[[#This Row],[gols_visitante]],1,0)</f>
        <v>0</v>
      </c>
      <c r="AN105" s="5">
        <f>IF(Tabela2[[#This Row],[gols_mandante]]&gt;Tabela2[[#This Row],[gols_visitante]],1,0)</f>
        <v>0</v>
      </c>
      <c r="AO105" s="5">
        <f>IF(Tabela2[[#This Row],[gols_mandante]]&lt;Tabela2[[#This Row],[gols_visitante]],1,0)</f>
        <v>1</v>
      </c>
      <c r="AP105" s="5" t="s">
        <v>236</v>
      </c>
      <c r="AQ105" s="5">
        <v>0</v>
      </c>
    </row>
    <row r="106" spans="1:43" x14ac:dyDescent="0.25">
      <c r="A106" s="3">
        <v>2024</v>
      </c>
      <c r="B106" s="2">
        <v>45541</v>
      </c>
      <c r="C106" s="3">
        <v>16</v>
      </c>
      <c r="D106" s="3">
        <v>4826</v>
      </c>
      <c r="E106" s="3">
        <v>42968</v>
      </c>
      <c r="F106" s="3" t="str">
        <f t="shared" si="4"/>
        <v>5.000-9.999</v>
      </c>
      <c r="G106" s="3">
        <f>Tabela2[[#This Row],[publico]]/Tabela2[[#This Row],[publico_max]]</f>
        <v>0.11231614224539192</v>
      </c>
      <c r="H106" s="3" t="s">
        <v>70</v>
      </c>
      <c r="I106" s="3" t="s">
        <v>44</v>
      </c>
      <c r="J106" s="3">
        <v>16</v>
      </c>
      <c r="K106" s="3" t="str">
        <f t="shared" si="5"/>
        <v>16-20 (rebaixamento)</v>
      </c>
      <c r="L106" s="3">
        <v>14</v>
      </c>
      <c r="M106" s="3">
        <f t="shared" si="6"/>
        <v>-2</v>
      </c>
      <c r="N106" s="3">
        <v>1125</v>
      </c>
      <c r="O106" s="3" t="str">
        <f t="shared" si="7"/>
        <v>1–1.500 (rebaixamento)</v>
      </c>
      <c r="P106" s="3">
        <v>1040</v>
      </c>
      <c r="Q106" s="3" t="s">
        <v>107</v>
      </c>
      <c r="R106" s="3" t="s">
        <v>166</v>
      </c>
      <c r="S106" s="3">
        <v>0</v>
      </c>
      <c r="T106" s="3">
        <v>0</v>
      </c>
      <c r="U106" s="3">
        <v>0</v>
      </c>
      <c r="V106" s="3">
        <v>0</v>
      </c>
      <c r="W106" s="3">
        <v>3</v>
      </c>
      <c r="X106" s="3">
        <v>3</v>
      </c>
      <c r="Y106" s="3">
        <v>17</v>
      </c>
      <c r="Z106" s="3">
        <v>11</v>
      </c>
      <c r="AA106" s="3">
        <v>10</v>
      </c>
      <c r="AB106" s="3">
        <v>16</v>
      </c>
      <c r="AC106" s="3">
        <v>3</v>
      </c>
      <c r="AD106" s="3">
        <v>3</v>
      </c>
      <c r="AE106" s="3">
        <v>0</v>
      </c>
      <c r="AF106" s="3">
        <v>2</v>
      </c>
      <c r="AG106" s="3">
        <v>12</v>
      </c>
      <c r="AH106" s="3">
        <v>9</v>
      </c>
      <c r="AI106" s="3">
        <v>4</v>
      </c>
      <c r="AJ106" s="3">
        <v>6</v>
      </c>
      <c r="AK106" s="3">
        <v>0</v>
      </c>
      <c r="AL106" s="3">
        <v>0</v>
      </c>
      <c r="AM106" s="3">
        <f>IF(Tabela2[[#This Row],[gols_mandante]]=Tabela2[[#This Row],[gols_visitante]],1,0)</f>
        <v>1</v>
      </c>
      <c r="AN106" s="3">
        <f>IF(Tabela2[[#This Row],[gols_mandante]]&gt;Tabela2[[#This Row],[gols_visitante]],1,0)</f>
        <v>0</v>
      </c>
      <c r="AO106" s="3">
        <f>IF(Tabela2[[#This Row],[gols_mandante]]&lt;Tabela2[[#This Row],[gols_visitante]],1,0)</f>
        <v>0</v>
      </c>
      <c r="AP106" s="3" t="s">
        <v>127</v>
      </c>
      <c r="AQ106" s="3">
        <v>0</v>
      </c>
    </row>
    <row r="107" spans="1:43" x14ac:dyDescent="0.25">
      <c r="A107" s="5">
        <v>2024</v>
      </c>
      <c r="B107" s="4">
        <v>45561</v>
      </c>
      <c r="C107" s="5">
        <v>16</v>
      </c>
      <c r="D107" s="5">
        <v>3871</v>
      </c>
      <c r="E107" s="5">
        <v>15010</v>
      </c>
      <c r="F107" s="5" t="str">
        <f t="shared" si="4"/>
        <v>0-4.999</v>
      </c>
      <c r="G107" s="5">
        <f>Tabela2[[#This Row],[publico]]/Tabela2[[#This Row],[publico_max]]</f>
        <v>0.25789473684210529</v>
      </c>
      <c r="H107" s="5" t="s">
        <v>56</v>
      </c>
      <c r="I107" s="5" t="s">
        <v>37</v>
      </c>
      <c r="J107" s="5">
        <v>11</v>
      </c>
      <c r="K107" s="3" t="str">
        <f t="shared" si="5"/>
        <v>11-15 (mediano)</v>
      </c>
      <c r="L107" s="5">
        <v>9</v>
      </c>
      <c r="M107" s="3">
        <f t="shared" si="6"/>
        <v>-2</v>
      </c>
      <c r="N107" s="5">
        <v>4080</v>
      </c>
      <c r="O107" s="3" t="str">
        <f t="shared" si="7"/>
        <v>3.501–7.000 (intermediário)</v>
      </c>
      <c r="P107" s="5">
        <v>4210</v>
      </c>
      <c r="Q107" s="5" t="s">
        <v>233</v>
      </c>
      <c r="R107" s="5" t="s">
        <v>209</v>
      </c>
      <c r="S107" s="5">
        <v>2</v>
      </c>
      <c r="T107" s="5">
        <v>2</v>
      </c>
      <c r="U107" s="5">
        <v>1</v>
      </c>
      <c r="V107" s="5">
        <v>1</v>
      </c>
      <c r="W107" s="5">
        <v>1</v>
      </c>
      <c r="X107" s="5">
        <v>9</v>
      </c>
      <c r="Y107" s="5">
        <v>13</v>
      </c>
      <c r="Z107" s="5">
        <v>13</v>
      </c>
      <c r="AA107" s="5">
        <v>13</v>
      </c>
      <c r="AB107" s="5">
        <v>11</v>
      </c>
      <c r="AC107" s="5">
        <v>9</v>
      </c>
      <c r="AD107" s="5">
        <v>2</v>
      </c>
      <c r="AE107" s="5">
        <v>1</v>
      </c>
      <c r="AF107" s="5">
        <v>2</v>
      </c>
      <c r="AG107" s="5">
        <v>11</v>
      </c>
      <c r="AH107" s="5">
        <v>24</v>
      </c>
      <c r="AI107" s="5">
        <v>4</v>
      </c>
      <c r="AJ107" s="5">
        <v>9</v>
      </c>
      <c r="AK107" s="5">
        <v>0</v>
      </c>
      <c r="AL107" s="5">
        <v>0</v>
      </c>
      <c r="AM107" s="5">
        <f>IF(Tabela2[[#This Row],[gols_mandante]]=Tabela2[[#This Row],[gols_visitante]],1,0)</f>
        <v>1</v>
      </c>
      <c r="AN107" s="5">
        <f>IF(Tabela2[[#This Row],[gols_mandante]]&gt;Tabela2[[#This Row],[gols_visitante]],1,0)</f>
        <v>0</v>
      </c>
      <c r="AO107" s="5">
        <f>IF(Tabela2[[#This Row],[gols_mandante]]&lt;Tabela2[[#This Row],[gols_visitante]],1,0)</f>
        <v>0</v>
      </c>
      <c r="AP107" s="5" t="s">
        <v>127</v>
      </c>
      <c r="AQ107" s="5">
        <v>0</v>
      </c>
    </row>
    <row r="108" spans="1:43" x14ac:dyDescent="0.25">
      <c r="A108" s="3">
        <v>2024</v>
      </c>
      <c r="B108" s="2">
        <v>45588</v>
      </c>
      <c r="C108" s="3">
        <v>17</v>
      </c>
      <c r="D108" s="3">
        <v>39465</v>
      </c>
      <c r="E108" s="3">
        <v>82238</v>
      </c>
      <c r="F108" s="3" t="str">
        <f t="shared" si="4"/>
        <v>0-4.999</v>
      </c>
      <c r="G108" s="3">
        <f>Tabela2[[#This Row],[publico]]/Tabela2[[#This Row],[publico_max]]</f>
        <v>0.47988764318198401</v>
      </c>
      <c r="H108" s="3" t="s">
        <v>55</v>
      </c>
      <c r="I108" s="3" t="s">
        <v>69</v>
      </c>
      <c r="J108" s="3">
        <v>20</v>
      </c>
      <c r="K108" s="3" t="str">
        <f t="shared" si="5"/>
        <v>16-20 (rebaixamento)</v>
      </c>
      <c r="L108" s="3">
        <v>8</v>
      </c>
      <c r="M108" s="3">
        <f t="shared" si="6"/>
        <v>-12</v>
      </c>
      <c r="N108" s="3">
        <v>3875</v>
      </c>
      <c r="O108" s="3" t="str">
        <f t="shared" si="7"/>
        <v>3.501–7.000 (intermediário)</v>
      </c>
      <c r="P108" s="3">
        <v>1525</v>
      </c>
      <c r="Q108" s="3" t="s">
        <v>48</v>
      </c>
      <c r="R108" s="3" t="s">
        <v>168</v>
      </c>
      <c r="S108" s="3">
        <v>1</v>
      </c>
      <c r="T108" s="3">
        <v>0</v>
      </c>
      <c r="U108" s="3">
        <v>0</v>
      </c>
      <c r="V108" s="3">
        <v>0</v>
      </c>
      <c r="W108" s="3">
        <v>5</v>
      </c>
      <c r="X108" s="3">
        <v>3</v>
      </c>
      <c r="Y108" s="3">
        <v>9</v>
      </c>
      <c r="Z108" s="3">
        <v>15</v>
      </c>
      <c r="AA108" s="3">
        <v>12</v>
      </c>
      <c r="AB108" s="3">
        <v>9</v>
      </c>
      <c r="AC108" s="3">
        <v>2</v>
      </c>
      <c r="AD108" s="3">
        <v>4</v>
      </c>
      <c r="AE108" s="3">
        <v>1</v>
      </c>
      <c r="AF108" s="3">
        <v>1</v>
      </c>
      <c r="AG108" s="3">
        <v>14</v>
      </c>
      <c r="AH108" s="3">
        <v>6</v>
      </c>
      <c r="AI108" s="3">
        <v>4</v>
      </c>
      <c r="AJ108" s="3">
        <v>3</v>
      </c>
      <c r="AK108" s="3">
        <v>1</v>
      </c>
      <c r="AL108" s="3">
        <v>1</v>
      </c>
      <c r="AM108" s="3">
        <f>IF(Tabela2[[#This Row],[gols_mandante]]=Tabela2[[#This Row],[gols_visitante]],1,0)</f>
        <v>0</v>
      </c>
      <c r="AN108" s="3">
        <f>IF(Tabela2[[#This Row],[gols_mandante]]&gt;Tabela2[[#This Row],[gols_visitante]],1,0)</f>
        <v>1</v>
      </c>
      <c r="AO108" s="3">
        <f>IF(Tabela2[[#This Row],[gols_mandante]]&lt;Tabela2[[#This Row],[gols_visitante]],1,0)</f>
        <v>0</v>
      </c>
      <c r="AP108" s="3" t="s">
        <v>115</v>
      </c>
      <c r="AQ108" s="3">
        <v>0</v>
      </c>
    </row>
    <row r="109" spans="1:43" x14ac:dyDescent="0.25">
      <c r="A109" s="5">
        <v>2024</v>
      </c>
      <c r="B109" s="4">
        <v>45533</v>
      </c>
      <c r="C109" s="5">
        <v>19</v>
      </c>
      <c r="D109" s="5">
        <v>11849</v>
      </c>
      <c r="E109" s="5">
        <v>19225</v>
      </c>
      <c r="F109" s="5" t="str">
        <f t="shared" si="4"/>
        <v>&gt;=30.000</v>
      </c>
      <c r="G109" s="5">
        <f>Tabela2[[#This Row],[publico]]/Tabela2[[#This Row],[publico_max]]</f>
        <v>0.61633289986996098</v>
      </c>
      <c r="H109" s="5" t="s">
        <v>43</v>
      </c>
      <c r="I109" s="5" t="s">
        <v>56</v>
      </c>
      <c r="J109" s="5">
        <v>13</v>
      </c>
      <c r="K109" s="3" t="str">
        <f t="shared" si="5"/>
        <v>11-15 (mediano)</v>
      </c>
      <c r="L109" s="5">
        <v>12</v>
      </c>
      <c r="M109" s="3">
        <f t="shared" si="6"/>
        <v>-1</v>
      </c>
      <c r="N109" s="5">
        <v>873</v>
      </c>
      <c r="O109" s="3" t="str">
        <f t="shared" si="7"/>
        <v>1–1.500 (rebaixamento)</v>
      </c>
      <c r="P109" s="5">
        <v>3150</v>
      </c>
      <c r="Q109" s="5" t="s">
        <v>105</v>
      </c>
      <c r="R109" s="5" t="s">
        <v>228</v>
      </c>
      <c r="S109" s="5">
        <v>1</v>
      </c>
      <c r="T109" s="5">
        <v>0</v>
      </c>
      <c r="U109" s="5">
        <v>1</v>
      </c>
      <c r="V109" s="5">
        <v>0</v>
      </c>
      <c r="W109" s="5">
        <v>6</v>
      </c>
      <c r="X109" s="5">
        <v>8</v>
      </c>
      <c r="Y109" s="5">
        <v>17</v>
      </c>
      <c r="Z109" s="5">
        <v>15</v>
      </c>
      <c r="AA109" s="5">
        <v>15</v>
      </c>
      <c r="AB109" s="5">
        <v>17</v>
      </c>
      <c r="AC109" s="5">
        <v>6</v>
      </c>
      <c r="AD109" s="5">
        <v>1</v>
      </c>
      <c r="AE109" s="5">
        <v>0</v>
      </c>
      <c r="AF109" s="5">
        <v>1</v>
      </c>
      <c r="AG109" s="5">
        <v>14</v>
      </c>
      <c r="AH109" s="5">
        <v>15</v>
      </c>
      <c r="AI109" s="5">
        <v>6</v>
      </c>
      <c r="AJ109" s="5">
        <v>9</v>
      </c>
      <c r="AK109" s="5">
        <v>1</v>
      </c>
      <c r="AL109" s="5">
        <v>1</v>
      </c>
      <c r="AM109" s="5">
        <f>IF(Tabela2[[#This Row],[gols_mandante]]=Tabela2[[#This Row],[gols_visitante]],1,0)</f>
        <v>0</v>
      </c>
      <c r="AN109" s="5">
        <f>IF(Tabela2[[#This Row],[gols_mandante]]&gt;Tabela2[[#This Row],[gols_visitante]],1,0)</f>
        <v>1</v>
      </c>
      <c r="AO109" s="5">
        <f>IF(Tabela2[[#This Row],[gols_mandante]]&lt;Tabela2[[#This Row],[gols_visitante]],1,0)</f>
        <v>0</v>
      </c>
      <c r="AP109" s="5" t="s">
        <v>242</v>
      </c>
      <c r="AQ109" s="5">
        <v>0</v>
      </c>
    </row>
    <row r="110" spans="1:43" x14ac:dyDescent="0.25">
      <c r="A110" s="3">
        <v>2024</v>
      </c>
      <c r="B110" s="2">
        <v>45547</v>
      </c>
      <c r="C110" s="3">
        <v>19</v>
      </c>
      <c r="D110" s="3">
        <v>26441</v>
      </c>
      <c r="E110" s="3">
        <v>50848</v>
      </c>
      <c r="F110" s="3" t="str">
        <f t="shared" si="4"/>
        <v>10.000-14.999</v>
      </c>
      <c r="G110" s="3">
        <f>Tabela2[[#This Row],[publico]]/Tabela2[[#This Row],[publico_max]]</f>
        <v>0.52000078665827565</v>
      </c>
      <c r="H110" s="3" t="s">
        <v>37</v>
      </c>
      <c r="I110" s="3" t="s">
        <v>63</v>
      </c>
      <c r="J110" s="3">
        <v>9</v>
      </c>
      <c r="K110" s="3" t="str">
        <f t="shared" si="5"/>
        <v>6-10 (intermediário)</v>
      </c>
      <c r="L110" s="3">
        <v>5</v>
      </c>
      <c r="M110" s="3">
        <f t="shared" si="6"/>
        <v>-4</v>
      </c>
      <c r="N110" s="3">
        <v>2985</v>
      </c>
      <c r="O110" s="3" t="str">
        <f t="shared" si="7"/>
        <v>1.501–3.500 (mediano)</v>
      </c>
      <c r="P110" s="3">
        <v>1465</v>
      </c>
      <c r="Q110" s="3" t="s">
        <v>135</v>
      </c>
      <c r="R110" s="3" t="s">
        <v>67</v>
      </c>
      <c r="S110" s="3">
        <v>2</v>
      </c>
      <c r="T110" s="3">
        <v>1</v>
      </c>
      <c r="U110" s="3">
        <v>1</v>
      </c>
      <c r="V110" s="3">
        <v>1</v>
      </c>
      <c r="W110" s="3">
        <v>8</v>
      </c>
      <c r="X110" s="3">
        <v>3</v>
      </c>
      <c r="Y110" s="3">
        <v>19</v>
      </c>
      <c r="Z110" s="3">
        <v>9</v>
      </c>
      <c r="AA110" s="3">
        <v>6</v>
      </c>
      <c r="AB110" s="3">
        <v>18</v>
      </c>
      <c r="AC110" s="3">
        <v>0</v>
      </c>
      <c r="AD110" s="3">
        <v>6</v>
      </c>
      <c r="AE110" s="3">
        <v>4</v>
      </c>
      <c r="AF110" s="3">
        <v>2</v>
      </c>
      <c r="AG110" s="3">
        <v>16</v>
      </c>
      <c r="AH110" s="3">
        <v>12</v>
      </c>
      <c r="AI110" s="3">
        <v>3</v>
      </c>
      <c r="AJ110" s="3">
        <v>8</v>
      </c>
      <c r="AK110" s="3">
        <v>1</v>
      </c>
      <c r="AL110" s="3">
        <v>1</v>
      </c>
      <c r="AM110" s="3">
        <f>IF(Tabela2[[#This Row],[gols_mandante]]=Tabela2[[#This Row],[gols_visitante]],1,0)</f>
        <v>0</v>
      </c>
      <c r="AN110" s="3">
        <f>IF(Tabela2[[#This Row],[gols_mandante]]&gt;Tabela2[[#This Row],[gols_visitante]],1,0)</f>
        <v>1</v>
      </c>
      <c r="AO110" s="3">
        <f>IF(Tabela2[[#This Row],[gols_mandante]]&lt;Tabela2[[#This Row],[gols_visitante]],1,0)</f>
        <v>0</v>
      </c>
      <c r="AP110" s="3" t="s">
        <v>154</v>
      </c>
      <c r="AQ110" s="3">
        <v>0</v>
      </c>
    </row>
    <row r="111" spans="1:43" x14ac:dyDescent="0.25">
      <c r="A111" s="5">
        <v>2024</v>
      </c>
      <c r="B111" s="4">
        <v>45590</v>
      </c>
      <c r="C111" s="5">
        <v>19</v>
      </c>
      <c r="D111" s="5">
        <v>16696</v>
      </c>
      <c r="E111" s="5">
        <v>24584</v>
      </c>
      <c r="F111" s="5" t="str">
        <f t="shared" si="4"/>
        <v>20.000-29.999</v>
      </c>
      <c r="G111" s="5">
        <f>Tabela2[[#This Row],[publico]]/Tabela2[[#This Row],[publico_max]]</f>
        <v>0.67914090465343313</v>
      </c>
      <c r="H111" s="5" t="s">
        <v>82</v>
      </c>
      <c r="I111" s="5" t="s">
        <v>70</v>
      </c>
      <c r="J111" s="5">
        <v>11</v>
      </c>
      <c r="K111" s="3" t="str">
        <f t="shared" si="5"/>
        <v>11-15 (mediano)</v>
      </c>
      <c r="L111" s="5">
        <v>16</v>
      </c>
      <c r="M111" s="3">
        <f t="shared" si="6"/>
        <v>5</v>
      </c>
      <c r="N111" s="5">
        <v>3105</v>
      </c>
      <c r="O111" s="3" t="str">
        <f t="shared" si="7"/>
        <v>1.501–3.500 (mediano)</v>
      </c>
      <c r="P111" s="5">
        <v>1745</v>
      </c>
      <c r="Q111" s="5" t="s">
        <v>120</v>
      </c>
      <c r="R111" s="5" t="s">
        <v>92</v>
      </c>
      <c r="S111" s="5">
        <v>1</v>
      </c>
      <c r="T111" s="5">
        <v>0</v>
      </c>
      <c r="U111" s="5">
        <v>0</v>
      </c>
      <c r="V111" s="5">
        <v>0</v>
      </c>
      <c r="W111" s="5">
        <v>3</v>
      </c>
      <c r="X111" s="5">
        <v>2</v>
      </c>
      <c r="Y111" s="5">
        <v>16</v>
      </c>
      <c r="Z111" s="5">
        <v>14</v>
      </c>
      <c r="AA111" s="5">
        <v>13</v>
      </c>
      <c r="AB111" s="5">
        <v>15</v>
      </c>
      <c r="AC111" s="5">
        <v>2</v>
      </c>
      <c r="AD111" s="5">
        <v>1</v>
      </c>
      <c r="AE111" s="5">
        <v>0</v>
      </c>
      <c r="AF111" s="5">
        <v>1</v>
      </c>
      <c r="AG111" s="5">
        <v>13</v>
      </c>
      <c r="AH111" s="5">
        <v>13</v>
      </c>
      <c r="AI111" s="5">
        <v>4</v>
      </c>
      <c r="AJ111" s="5">
        <v>10</v>
      </c>
      <c r="AK111" s="5">
        <v>1</v>
      </c>
      <c r="AL111" s="5">
        <v>1</v>
      </c>
      <c r="AM111" s="5">
        <f>IF(Tabela2[[#This Row],[gols_mandante]]=Tabela2[[#This Row],[gols_visitante]],1,0)</f>
        <v>0</v>
      </c>
      <c r="AN111" s="5">
        <f>IF(Tabela2[[#This Row],[gols_mandante]]&gt;Tabela2[[#This Row],[gols_visitante]],1,0)</f>
        <v>1</v>
      </c>
      <c r="AO111" s="5">
        <f>IF(Tabela2[[#This Row],[gols_mandante]]&lt;Tabela2[[#This Row],[gols_visitante]],1,0)</f>
        <v>0</v>
      </c>
      <c r="AP111" s="5" t="s">
        <v>243</v>
      </c>
      <c r="AQ111" s="5">
        <v>0</v>
      </c>
    </row>
    <row r="112" spans="1:43" x14ac:dyDescent="0.25">
      <c r="A112" s="3">
        <v>2024</v>
      </c>
      <c r="B112" s="2">
        <v>45510</v>
      </c>
      <c r="C112" s="3">
        <v>21</v>
      </c>
      <c r="D112" s="3">
        <v>20000</v>
      </c>
      <c r="E112" s="3">
        <v>21150</v>
      </c>
      <c r="F112" s="3" t="str">
        <f t="shared" si="4"/>
        <v>15.000-19.999</v>
      </c>
      <c r="G112" s="3">
        <f>Tabela2[[#This Row],[publico]]/Tabela2[[#This Row],[publico_max]]</f>
        <v>0.94562647754137119</v>
      </c>
      <c r="H112" s="3" t="s">
        <v>50</v>
      </c>
      <c r="I112" s="3" t="s">
        <v>63</v>
      </c>
      <c r="J112" s="3">
        <v>5</v>
      </c>
      <c r="K112" s="3" t="str">
        <f t="shared" si="5"/>
        <v>1-5 (elite)</v>
      </c>
      <c r="L112" s="3">
        <v>3</v>
      </c>
      <c r="M112" s="3">
        <f t="shared" si="6"/>
        <v>-2</v>
      </c>
      <c r="N112" s="3">
        <v>4230</v>
      </c>
      <c r="O112" s="3" t="str">
        <f t="shared" si="7"/>
        <v>3.501–7.000 (intermediário)</v>
      </c>
      <c r="P112" s="3">
        <v>1120</v>
      </c>
      <c r="Q112" s="3" t="s">
        <v>41</v>
      </c>
      <c r="R112" s="3" t="s">
        <v>197</v>
      </c>
      <c r="S112" s="3">
        <v>1</v>
      </c>
      <c r="T112" s="3">
        <v>2</v>
      </c>
      <c r="U112" s="3">
        <v>1</v>
      </c>
      <c r="V112" s="3">
        <v>2</v>
      </c>
      <c r="W112" s="3">
        <v>5</v>
      </c>
      <c r="X112" s="3">
        <v>1</v>
      </c>
      <c r="Y112" s="3">
        <v>18</v>
      </c>
      <c r="Z112" s="3">
        <v>17</v>
      </c>
      <c r="AA112" s="3">
        <v>15</v>
      </c>
      <c r="AB112" s="3">
        <v>18</v>
      </c>
      <c r="AC112" s="3">
        <v>2</v>
      </c>
      <c r="AD112" s="3">
        <v>6</v>
      </c>
      <c r="AE112" s="3">
        <v>1</v>
      </c>
      <c r="AF112" s="3">
        <v>2</v>
      </c>
      <c r="AG112" s="3">
        <v>15</v>
      </c>
      <c r="AH112" s="3">
        <v>11</v>
      </c>
      <c r="AI112" s="3">
        <v>5</v>
      </c>
      <c r="AJ112" s="3">
        <v>3</v>
      </c>
      <c r="AK112" s="3">
        <v>-1</v>
      </c>
      <c r="AL112" s="3">
        <v>0</v>
      </c>
      <c r="AM112" s="3">
        <f>IF(Tabela2[[#This Row],[gols_mandante]]=Tabela2[[#This Row],[gols_visitante]],1,0)</f>
        <v>0</v>
      </c>
      <c r="AN112" s="3">
        <f>IF(Tabela2[[#This Row],[gols_mandante]]&gt;Tabela2[[#This Row],[gols_visitante]],1,0)</f>
        <v>0</v>
      </c>
      <c r="AO112" s="3">
        <f>IF(Tabela2[[#This Row],[gols_mandante]]&lt;Tabela2[[#This Row],[gols_visitante]],1,0)</f>
        <v>1</v>
      </c>
      <c r="AP112" s="3" t="s">
        <v>244</v>
      </c>
      <c r="AQ112" s="3">
        <v>0</v>
      </c>
    </row>
    <row r="113" spans="1:43" x14ac:dyDescent="0.25">
      <c r="A113" s="5">
        <v>2024</v>
      </c>
      <c r="B113" s="4">
        <v>45514</v>
      </c>
      <c r="C113" s="5">
        <v>22</v>
      </c>
      <c r="D113" s="5">
        <v>40311</v>
      </c>
      <c r="E113" s="5">
        <v>60326</v>
      </c>
      <c r="F113" s="5" t="str">
        <f t="shared" si="4"/>
        <v>20.000-29.999</v>
      </c>
      <c r="G113" s="5">
        <f>Tabela2[[#This Row],[publico]]/Tabela2[[#This Row],[publico_max]]</f>
        <v>0.66821934157742935</v>
      </c>
      <c r="H113" s="5" t="s">
        <v>63</v>
      </c>
      <c r="I113" s="5" t="s">
        <v>43</v>
      </c>
      <c r="J113" s="5">
        <v>3</v>
      </c>
      <c r="K113" s="3" t="str">
        <f t="shared" si="5"/>
        <v>1-5 (elite)</v>
      </c>
      <c r="L113" s="5">
        <v>12</v>
      </c>
      <c r="M113" s="3">
        <f t="shared" si="6"/>
        <v>9</v>
      </c>
      <c r="N113" s="5">
        <v>1145</v>
      </c>
      <c r="O113" s="3" t="str">
        <f t="shared" si="7"/>
        <v>1–1.500 (rebaixamento)</v>
      </c>
      <c r="P113" s="5">
        <v>630</v>
      </c>
      <c r="Q113" s="5">
        <v>30</v>
      </c>
      <c r="R113" s="5" t="s">
        <v>205</v>
      </c>
      <c r="S113" s="5">
        <v>1</v>
      </c>
      <c r="T113" s="5">
        <v>0</v>
      </c>
      <c r="U113" s="5">
        <v>0</v>
      </c>
      <c r="V113" s="5">
        <v>0</v>
      </c>
      <c r="W113" s="5">
        <v>4</v>
      </c>
      <c r="X113" s="5">
        <v>6</v>
      </c>
      <c r="Y113" s="5">
        <v>16</v>
      </c>
      <c r="Z113" s="5">
        <v>13</v>
      </c>
      <c r="AA113" s="5">
        <v>13</v>
      </c>
      <c r="AB113" s="5">
        <v>16</v>
      </c>
      <c r="AC113" s="5">
        <v>2</v>
      </c>
      <c r="AD113" s="5">
        <v>3</v>
      </c>
      <c r="AE113" s="5">
        <v>2</v>
      </c>
      <c r="AF113" s="5">
        <v>1</v>
      </c>
      <c r="AG113" s="5">
        <v>16</v>
      </c>
      <c r="AH113" s="5">
        <v>12</v>
      </c>
      <c r="AI113" s="5">
        <v>7</v>
      </c>
      <c r="AJ113" s="5">
        <v>7</v>
      </c>
      <c r="AK113" s="5">
        <v>1</v>
      </c>
      <c r="AL113" s="5">
        <v>1</v>
      </c>
      <c r="AM113" s="5">
        <f>IF(Tabela2[[#This Row],[gols_mandante]]=Tabela2[[#This Row],[gols_visitante]],1,0)</f>
        <v>0</v>
      </c>
      <c r="AN113" s="5">
        <f>IF(Tabela2[[#This Row],[gols_mandante]]&gt;Tabela2[[#This Row],[gols_visitante]],1,0)</f>
        <v>1</v>
      </c>
      <c r="AO113" s="5">
        <f>IF(Tabela2[[#This Row],[gols_mandante]]&lt;Tabela2[[#This Row],[gols_visitante]],1,0)</f>
        <v>0</v>
      </c>
      <c r="AP113" s="5" t="s">
        <v>245</v>
      </c>
      <c r="AQ113" s="5">
        <v>0</v>
      </c>
    </row>
    <row r="114" spans="1:43" x14ac:dyDescent="0.25">
      <c r="A114" s="3">
        <v>2024</v>
      </c>
      <c r="B114" s="2">
        <v>45515</v>
      </c>
      <c r="C114" s="3">
        <v>22</v>
      </c>
      <c r="D114" s="3">
        <v>45972</v>
      </c>
      <c r="E114" s="3">
        <v>47364</v>
      </c>
      <c r="F114" s="3" t="str">
        <f t="shared" si="4"/>
        <v>&gt;=30.000</v>
      </c>
      <c r="G114" s="3">
        <f>Tabela2[[#This Row],[publico]]/Tabela2[[#This Row],[publico_max]]</f>
        <v>0.97061059032176333</v>
      </c>
      <c r="H114" s="3" t="s">
        <v>38</v>
      </c>
      <c r="I114" s="3" t="s">
        <v>94</v>
      </c>
      <c r="J114" s="3">
        <v>7</v>
      </c>
      <c r="K114" s="3" t="str">
        <f t="shared" si="5"/>
        <v>6-10 (intermediário)</v>
      </c>
      <c r="L114" s="3">
        <v>17</v>
      </c>
      <c r="M114" s="3">
        <f t="shared" si="6"/>
        <v>10</v>
      </c>
      <c r="N114" s="3">
        <v>3745</v>
      </c>
      <c r="O114" s="3" t="str">
        <f t="shared" si="7"/>
        <v>3.501–7.000 (intermediário)</v>
      </c>
      <c r="P114" s="3">
        <v>1218</v>
      </c>
      <c r="Q114" s="3" t="s">
        <v>134</v>
      </c>
      <c r="R114" s="3" t="s">
        <v>135</v>
      </c>
      <c r="S114" s="3">
        <v>2</v>
      </c>
      <c r="T114" s="3">
        <v>0</v>
      </c>
      <c r="U114" s="3">
        <v>1</v>
      </c>
      <c r="V114" s="3">
        <v>0</v>
      </c>
      <c r="W114" s="3">
        <v>3</v>
      </c>
      <c r="X114" s="3">
        <v>7</v>
      </c>
      <c r="Y114" s="3">
        <v>10</v>
      </c>
      <c r="Z114" s="3">
        <v>12</v>
      </c>
      <c r="AA114" s="3">
        <v>11</v>
      </c>
      <c r="AB114" s="3">
        <v>9</v>
      </c>
      <c r="AC114" s="3">
        <v>5</v>
      </c>
      <c r="AD114" s="3">
        <v>1</v>
      </c>
      <c r="AE114" s="3">
        <v>2</v>
      </c>
      <c r="AF114" s="3">
        <v>0</v>
      </c>
      <c r="AG114" s="3">
        <v>7</v>
      </c>
      <c r="AH114" s="3">
        <v>13</v>
      </c>
      <c r="AI114" s="3">
        <v>2</v>
      </c>
      <c r="AJ114" s="3">
        <v>3</v>
      </c>
      <c r="AK114" s="3">
        <v>2</v>
      </c>
      <c r="AL114" s="3">
        <v>1</v>
      </c>
      <c r="AM114" s="3">
        <f>IF(Tabela2[[#This Row],[gols_mandante]]=Tabela2[[#This Row],[gols_visitante]],1,0)</f>
        <v>0</v>
      </c>
      <c r="AN114" s="3">
        <f>IF(Tabela2[[#This Row],[gols_mandante]]&gt;Tabela2[[#This Row],[gols_visitante]],1,0)</f>
        <v>1</v>
      </c>
      <c r="AO114" s="3">
        <f>IF(Tabela2[[#This Row],[gols_mandante]]&lt;Tabela2[[#This Row],[gols_visitante]],1,0)</f>
        <v>0</v>
      </c>
      <c r="AP114" s="3" t="s">
        <v>110</v>
      </c>
      <c r="AQ114" s="3">
        <v>0</v>
      </c>
    </row>
    <row r="115" spans="1:43" x14ac:dyDescent="0.25">
      <c r="A115" s="5">
        <v>2024</v>
      </c>
      <c r="B115" s="4">
        <v>45515</v>
      </c>
      <c r="C115" s="5">
        <v>22</v>
      </c>
      <c r="D115" s="5">
        <v>5288</v>
      </c>
      <c r="E115" s="5">
        <v>23726</v>
      </c>
      <c r="F115" s="5" t="str">
        <f t="shared" si="4"/>
        <v>&gt;=30.000</v>
      </c>
      <c r="G115" s="5">
        <f>Tabela2[[#This Row],[publico]]/Tabela2[[#This Row],[publico_max]]</f>
        <v>0.22287785551715417</v>
      </c>
      <c r="H115" s="5" t="s">
        <v>44</v>
      </c>
      <c r="I115" s="5" t="s">
        <v>51</v>
      </c>
      <c r="J115" s="5">
        <v>14</v>
      </c>
      <c r="K115" s="3" t="str">
        <f t="shared" si="5"/>
        <v>11-15 (mediano)</v>
      </c>
      <c r="L115" s="5">
        <v>1</v>
      </c>
      <c r="M115" s="3">
        <f t="shared" si="6"/>
        <v>-13</v>
      </c>
      <c r="N115" s="5">
        <v>690</v>
      </c>
      <c r="O115" s="3" t="str">
        <f t="shared" si="7"/>
        <v>1–1.500 (rebaixamento)</v>
      </c>
      <c r="P115" s="5">
        <v>5380</v>
      </c>
      <c r="Q115" s="5" t="s">
        <v>209</v>
      </c>
      <c r="R115" s="5">
        <v>26</v>
      </c>
      <c r="S115" s="5">
        <v>3</v>
      </c>
      <c r="T115" s="5">
        <v>2</v>
      </c>
      <c r="U115" s="5">
        <v>2</v>
      </c>
      <c r="V115" s="5">
        <v>0</v>
      </c>
      <c r="W115" s="5">
        <v>6</v>
      </c>
      <c r="X115" s="5">
        <v>12</v>
      </c>
      <c r="Y115" s="5">
        <v>10</v>
      </c>
      <c r="Z115" s="5">
        <v>14</v>
      </c>
      <c r="AA115" s="5">
        <v>14</v>
      </c>
      <c r="AB115" s="5">
        <v>9</v>
      </c>
      <c r="AC115" s="5">
        <v>7</v>
      </c>
      <c r="AD115" s="5">
        <v>4</v>
      </c>
      <c r="AE115" s="5">
        <v>1</v>
      </c>
      <c r="AF115" s="5">
        <v>0</v>
      </c>
      <c r="AG115" s="5">
        <v>16</v>
      </c>
      <c r="AH115" s="5">
        <v>24</v>
      </c>
      <c r="AI115" s="5">
        <v>3</v>
      </c>
      <c r="AJ115" s="5">
        <v>8</v>
      </c>
      <c r="AK115" s="5">
        <v>1</v>
      </c>
      <c r="AL115" s="5">
        <v>1</v>
      </c>
      <c r="AM115" s="5">
        <f>IF(Tabela2[[#This Row],[gols_mandante]]=Tabela2[[#This Row],[gols_visitante]],1,0)</f>
        <v>0</v>
      </c>
      <c r="AN115" s="5">
        <f>IF(Tabela2[[#This Row],[gols_mandante]]&gt;Tabela2[[#This Row],[gols_visitante]],1,0)</f>
        <v>1</v>
      </c>
      <c r="AO115" s="5">
        <f>IF(Tabela2[[#This Row],[gols_mandante]]&lt;Tabela2[[#This Row],[gols_visitante]],1,0)</f>
        <v>0</v>
      </c>
      <c r="AP115" s="5" t="s">
        <v>246</v>
      </c>
      <c r="AQ115" s="5">
        <v>0</v>
      </c>
    </row>
    <row r="116" spans="1:43" x14ac:dyDescent="0.25">
      <c r="A116" s="3">
        <v>2024</v>
      </c>
      <c r="B116" s="2">
        <v>45515</v>
      </c>
      <c r="C116" s="3">
        <v>22</v>
      </c>
      <c r="D116" s="3">
        <v>9853</v>
      </c>
      <c r="E116" s="3">
        <v>42968</v>
      </c>
      <c r="F116" s="3" t="str">
        <f t="shared" si="4"/>
        <v>5.000-9.999</v>
      </c>
      <c r="G116" s="3">
        <f>Tabela2[[#This Row],[publico]]/Tabela2[[#This Row],[publico_max]]</f>
        <v>0.22931018432321729</v>
      </c>
      <c r="H116" s="3" t="s">
        <v>70</v>
      </c>
      <c r="I116" s="3" t="s">
        <v>83</v>
      </c>
      <c r="J116" s="3">
        <v>19</v>
      </c>
      <c r="K116" s="3" t="str">
        <f t="shared" si="5"/>
        <v>16-20 (rebaixamento)</v>
      </c>
      <c r="L116" s="3">
        <v>15</v>
      </c>
      <c r="M116" s="3">
        <f t="shared" si="6"/>
        <v>-4</v>
      </c>
      <c r="N116" s="3">
        <v>1245</v>
      </c>
      <c r="O116" s="3" t="str">
        <f t="shared" si="7"/>
        <v>1–1.500 (rebaixamento)</v>
      </c>
      <c r="P116" s="3">
        <v>3780</v>
      </c>
      <c r="Q116" s="3" t="s">
        <v>134</v>
      </c>
      <c r="R116" s="3" t="s">
        <v>116</v>
      </c>
      <c r="S116" s="3">
        <v>1</v>
      </c>
      <c r="T116" s="3">
        <v>3</v>
      </c>
      <c r="U116" s="3">
        <v>0</v>
      </c>
      <c r="V116" s="3">
        <v>1</v>
      </c>
      <c r="W116" s="3">
        <v>5</v>
      </c>
      <c r="X116" s="3">
        <v>5</v>
      </c>
      <c r="Y116" s="3">
        <v>15</v>
      </c>
      <c r="Z116" s="3">
        <v>7</v>
      </c>
      <c r="AA116" s="3">
        <v>6</v>
      </c>
      <c r="AB116" s="3">
        <v>12</v>
      </c>
      <c r="AC116" s="3">
        <v>3</v>
      </c>
      <c r="AD116" s="3">
        <v>3</v>
      </c>
      <c r="AE116" s="3">
        <v>3</v>
      </c>
      <c r="AF116" s="3">
        <v>1</v>
      </c>
      <c r="AG116" s="3">
        <v>15</v>
      </c>
      <c r="AH116" s="3">
        <v>10</v>
      </c>
      <c r="AI116" s="3">
        <v>6</v>
      </c>
      <c r="AJ116" s="3">
        <v>4</v>
      </c>
      <c r="AK116" s="3">
        <v>-2</v>
      </c>
      <c r="AL116" s="3">
        <v>0</v>
      </c>
      <c r="AM116" s="3">
        <f>IF(Tabela2[[#This Row],[gols_mandante]]=Tabela2[[#This Row],[gols_visitante]],1,0)</f>
        <v>0</v>
      </c>
      <c r="AN116" s="3">
        <f>IF(Tabela2[[#This Row],[gols_mandante]]&gt;Tabela2[[#This Row],[gols_visitante]],1,0)</f>
        <v>0</v>
      </c>
      <c r="AO116" s="3">
        <f>IF(Tabela2[[#This Row],[gols_mandante]]&lt;Tabela2[[#This Row],[gols_visitante]],1,0)</f>
        <v>1</v>
      </c>
      <c r="AP116" s="3" t="s">
        <v>247</v>
      </c>
      <c r="AQ116" s="3">
        <v>0</v>
      </c>
    </row>
    <row r="117" spans="1:43" x14ac:dyDescent="0.25">
      <c r="A117" s="5">
        <v>2024</v>
      </c>
      <c r="B117" s="4">
        <v>45515</v>
      </c>
      <c r="C117" s="5">
        <v>22</v>
      </c>
      <c r="D117" s="5">
        <v>42018</v>
      </c>
      <c r="E117" s="5">
        <v>49205</v>
      </c>
      <c r="F117" s="5" t="str">
        <f t="shared" si="4"/>
        <v>5.000-9.999</v>
      </c>
      <c r="G117" s="5">
        <f>Tabela2[[#This Row],[publico]]/Tabela2[[#This Row],[publico_max]]</f>
        <v>0.85393760796667006</v>
      </c>
      <c r="H117" s="5" t="s">
        <v>88</v>
      </c>
      <c r="I117" s="5" t="s">
        <v>56</v>
      </c>
      <c r="J117" s="5">
        <v>18</v>
      </c>
      <c r="K117" s="3" t="str">
        <f t="shared" si="5"/>
        <v>16-20 (rebaixamento)</v>
      </c>
      <c r="L117" s="5">
        <v>13</v>
      </c>
      <c r="M117" s="3">
        <f t="shared" si="6"/>
        <v>-5</v>
      </c>
      <c r="N117" s="5">
        <v>2610</v>
      </c>
      <c r="O117" s="3" t="str">
        <f t="shared" si="7"/>
        <v>1.501–3.500 (mediano)</v>
      </c>
      <c r="P117" s="5">
        <v>4000</v>
      </c>
      <c r="Q117" s="5" t="s">
        <v>135</v>
      </c>
      <c r="R117" s="5" t="s">
        <v>145</v>
      </c>
      <c r="S117" s="5">
        <v>1</v>
      </c>
      <c r="T117" s="5">
        <v>1</v>
      </c>
      <c r="U117" s="5">
        <v>0</v>
      </c>
      <c r="V117" s="5">
        <v>1</v>
      </c>
      <c r="W117" s="5">
        <v>6</v>
      </c>
      <c r="X117" s="5">
        <v>6</v>
      </c>
      <c r="Y117" s="5">
        <v>11</v>
      </c>
      <c r="Z117" s="5">
        <v>18</v>
      </c>
      <c r="AA117" s="5">
        <v>18</v>
      </c>
      <c r="AB117" s="5">
        <v>11</v>
      </c>
      <c r="AC117" s="5">
        <v>5</v>
      </c>
      <c r="AD117" s="5">
        <v>4</v>
      </c>
      <c r="AE117" s="5">
        <v>3</v>
      </c>
      <c r="AF117" s="5">
        <v>1</v>
      </c>
      <c r="AG117" s="5">
        <v>19</v>
      </c>
      <c r="AH117" s="5">
        <v>11</v>
      </c>
      <c r="AI117" s="5">
        <v>9</v>
      </c>
      <c r="AJ117" s="5">
        <v>3</v>
      </c>
      <c r="AK117" s="5">
        <v>0</v>
      </c>
      <c r="AL117" s="5">
        <v>0</v>
      </c>
      <c r="AM117" s="5">
        <f>IF(Tabela2[[#This Row],[gols_mandante]]=Tabela2[[#This Row],[gols_visitante]],1,0)</f>
        <v>1</v>
      </c>
      <c r="AN117" s="5">
        <f>IF(Tabela2[[#This Row],[gols_mandante]]&gt;Tabela2[[#This Row],[gols_visitante]],1,0)</f>
        <v>0</v>
      </c>
      <c r="AO117" s="5">
        <f>IF(Tabela2[[#This Row],[gols_mandante]]&lt;Tabela2[[#This Row],[gols_visitante]],1,0)</f>
        <v>0</v>
      </c>
      <c r="AP117" s="5" t="s">
        <v>248</v>
      </c>
      <c r="AQ117" s="5">
        <v>0</v>
      </c>
    </row>
    <row r="118" spans="1:43" x14ac:dyDescent="0.25">
      <c r="A118" s="3">
        <v>2024</v>
      </c>
      <c r="B118" s="2">
        <v>45515</v>
      </c>
      <c r="C118" s="3">
        <v>22</v>
      </c>
      <c r="D118" s="3">
        <v>20003</v>
      </c>
      <c r="E118" s="3">
        <v>44584</v>
      </c>
      <c r="F118" s="3" t="str">
        <f t="shared" si="4"/>
        <v>&gt;=30.000</v>
      </c>
      <c r="G118" s="3">
        <f>Tabela2[[#This Row],[publico]]/Tabela2[[#This Row],[publico_max]]</f>
        <v>0.44865871164543336</v>
      </c>
      <c r="H118" s="3" t="s">
        <v>82</v>
      </c>
      <c r="I118" s="3" t="s">
        <v>55</v>
      </c>
      <c r="J118" s="3">
        <v>11</v>
      </c>
      <c r="K118" s="3" t="str">
        <f t="shared" si="5"/>
        <v>11-15 (mediano)</v>
      </c>
      <c r="L118" s="3">
        <v>16</v>
      </c>
      <c r="M118" s="3">
        <f t="shared" si="6"/>
        <v>5</v>
      </c>
      <c r="N118" s="3">
        <v>2130</v>
      </c>
      <c r="O118" s="3" t="str">
        <f t="shared" si="7"/>
        <v>1.501–3.500 (mediano)</v>
      </c>
      <c r="P118" s="3">
        <v>5535</v>
      </c>
      <c r="Q118" s="3" t="s">
        <v>166</v>
      </c>
      <c r="R118" s="3" t="s">
        <v>144</v>
      </c>
      <c r="S118" s="3">
        <v>2</v>
      </c>
      <c r="T118" s="3">
        <v>0</v>
      </c>
      <c r="U118" s="3">
        <v>1</v>
      </c>
      <c r="V118" s="3">
        <v>0</v>
      </c>
      <c r="W118" s="3">
        <v>6</v>
      </c>
      <c r="X118" s="3">
        <v>3</v>
      </c>
      <c r="Y118" s="3">
        <v>23</v>
      </c>
      <c r="Z118" s="3">
        <v>12</v>
      </c>
      <c r="AA118" s="3">
        <v>11</v>
      </c>
      <c r="AB118" s="3">
        <v>23</v>
      </c>
      <c r="AC118" s="3">
        <v>3</v>
      </c>
      <c r="AD118" s="3">
        <v>1</v>
      </c>
      <c r="AE118" s="3">
        <v>2</v>
      </c>
      <c r="AF118" s="3">
        <v>1</v>
      </c>
      <c r="AG118" s="3">
        <v>8</v>
      </c>
      <c r="AH118" s="3">
        <v>12</v>
      </c>
      <c r="AI118" s="3">
        <v>3</v>
      </c>
      <c r="AJ118" s="3">
        <v>9</v>
      </c>
      <c r="AK118" s="3">
        <v>2</v>
      </c>
      <c r="AL118" s="3">
        <v>1</v>
      </c>
      <c r="AM118" s="3">
        <f>IF(Tabela2[[#This Row],[gols_mandante]]=Tabela2[[#This Row],[gols_visitante]],1,0)</f>
        <v>0</v>
      </c>
      <c r="AN118" s="3">
        <f>IF(Tabela2[[#This Row],[gols_mandante]]&gt;Tabela2[[#This Row],[gols_visitante]],1,0)</f>
        <v>1</v>
      </c>
      <c r="AO118" s="3">
        <f>IF(Tabela2[[#This Row],[gols_mandante]]&lt;Tabela2[[#This Row],[gols_visitante]],1,0)</f>
        <v>0</v>
      </c>
      <c r="AP118" s="3" t="s">
        <v>243</v>
      </c>
      <c r="AQ118" s="3">
        <v>0</v>
      </c>
    </row>
    <row r="119" spans="1:43" x14ac:dyDescent="0.25">
      <c r="A119" s="5">
        <v>2024</v>
      </c>
      <c r="B119" s="4">
        <v>45515</v>
      </c>
      <c r="C119" s="5">
        <v>22</v>
      </c>
      <c r="D119" s="5">
        <v>61583</v>
      </c>
      <c r="E119" s="5">
        <v>61927</v>
      </c>
      <c r="F119" s="5" t="str">
        <f t="shared" si="4"/>
        <v>20.000-29.999</v>
      </c>
      <c r="G119" s="5">
        <f>Tabela2[[#This Row],[publico]]/Tabela2[[#This Row],[publico_max]]</f>
        <v>0.99444507242398306</v>
      </c>
      <c r="H119" s="5" t="s">
        <v>50</v>
      </c>
      <c r="I119" s="5" t="s">
        <v>89</v>
      </c>
      <c r="J119" s="5">
        <v>6</v>
      </c>
      <c r="K119" s="3" t="str">
        <f t="shared" si="5"/>
        <v>6-10 (intermediário)</v>
      </c>
      <c r="L119" s="5">
        <v>9</v>
      </c>
      <c r="M119" s="3">
        <f t="shared" si="6"/>
        <v>3</v>
      </c>
      <c r="N119" s="5">
        <v>4210</v>
      </c>
      <c r="O119" s="3" t="str">
        <f t="shared" si="7"/>
        <v>3.501–7.000 (intermediário)</v>
      </c>
      <c r="P119" s="5">
        <v>6350</v>
      </c>
      <c r="Q119" s="5" t="s">
        <v>120</v>
      </c>
      <c r="R119" s="5" t="s">
        <v>137</v>
      </c>
      <c r="S119" s="5">
        <v>0</v>
      </c>
      <c r="T119" s="5">
        <v>0</v>
      </c>
      <c r="U119" s="5">
        <v>0</v>
      </c>
      <c r="V119" s="5">
        <v>0</v>
      </c>
      <c r="W119" s="5">
        <v>4</v>
      </c>
      <c r="X119" s="5">
        <v>4</v>
      </c>
      <c r="Y119" s="5">
        <v>19</v>
      </c>
      <c r="Z119" s="5">
        <v>12</v>
      </c>
      <c r="AA119" s="5">
        <v>12</v>
      </c>
      <c r="AB119" s="5">
        <v>17</v>
      </c>
      <c r="AC119" s="5">
        <v>3</v>
      </c>
      <c r="AD119" s="5">
        <v>1</v>
      </c>
      <c r="AE119" s="5">
        <v>2</v>
      </c>
      <c r="AF119" s="5">
        <v>2</v>
      </c>
      <c r="AG119" s="5">
        <v>6</v>
      </c>
      <c r="AH119" s="5">
        <v>12</v>
      </c>
      <c r="AI119" s="5">
        <v>4</v>
      </c>
      <c r="AJ119" s="5">
        <v>4</v>
      </c>
      <c r="AK119" s="5">
        <v>0</v>
      </c>
      <c r="AL119" s="5">
        <v>0</v>
      </c>
      <c r="AM119" s="5">
        <f>IF(Tabela2[[#This Row],[gols_mandante]]=Tabela2[[#This Row],[gols_visitante]],1,0)</f>
        <v>1</v>
      </c>
      <c r="AN119" s="5">
        <f>IF(Tabela2[[#This Row],[gols_mandante]]&gt;Tabela2[[#This Row],[gols_visitante]],1,0)</f>
        <v>0</v>
      </c>
      <c r="AO119" s="5">
        <f>IF(Tabela2[[#This Row],[gols_mandante]]&lt;Tabela2[[#This Row],[gols_visitante]],1,0)</f>
        <v>0</v>
      </c>
      <c r="AP119" s="5" t="s">
        <v>121</v>
      </c>
      <c r="AQ119" s="5">
        <v>0</v>
      </c>
    </row>
    <row r="120" spans="1:43" x14ac:dyDescent="0.25">
      <c r="A120" s="3">
        <v>2024</v>
      </c>
      <c r="B120" s="2">
        <v>45515</v>
      </c>
      <c r="C120" s="3">
        <v>22</v>
      </c>
      <c r="D120" s="3">
        <v>55051</v>
      </c>
      <c r="E120" s="3">
        <v>78838</v>
      </c>
      <c r="F120" s="3" t="str">
        <f t="shared" si="4"/>
        <v>&gt;=30.000</v>
      </c>
      <c r="G120" s="3">
        <f>Tabela2[[#This Row],[publico]]/Tabela2[[#This Row],[publico_max]]</f>
        <v>0.69828001725056443</v>
      </c>
      <c r="H120" s="3" t="s">
        <v>77</v>
      </c>
      <c r="I120" s="3" t="s">
        <v>95</v>
      </c>
      <c r="J120" s="3">
        <v>2</v>
      </c>
      <c r="K120" s="3" t="str">
        <f t="shared" si="5"/>
        <v>1-5 (elite)</v>
      </c>
      <c r="L120" s="3">
        <v>4</v>
      </c>
      <c r="M120" s="3">
        <f t="shared" si="6"/>
        <v>2</v>
      </c>
      <c r="N120" s="3">
        <v>11800</v>
      </c>
      <c r="O120" s="3" t="str">
        <f t="shared" si="7"/>
        <v>7.001+ (elite)</v>
      </c>
      <c r="P120" s="3">
        <v>7500</v>
      </c>
      <c r="Q120" s="3" t="s">
        <v>73</v>
      </c>
      <c r="R120" s="3">
        <v>25</v>
      </c>
      <c r="S120" s="3">
        <v>1</v>
      </c>
      <c r="T120" s="3">
        <v>1</v>
      </c>
      <c r="U120" s="3">
        <v>0</v>
      </c>
      <c r="V120" s="3">
        <v>0</v>
      </c>
      <c r="W120" s="3">
        <v>4</v>
      </c>
      <c r="X120" s="3">
        <v>2</v>
      </c>
      <c r="Y120" s="3">
        <v>15</v>
      </c>
      <c r="Z120" s="3">
        <v>21</v>
      </c>
      <c r="AA120" s="3">
        <v>20</v>
      </c>
      <c r="AB120" s="3">
        <v>14</v>
      </c>
      <c r="AC120" s="3">
        <v>5</v>
      </c>
      <c r="AD120" s="3">
        <v>6</v>
      </c>
      <c r="AE120" s="3">
        <v>1</v>
      </c>
      <c r="AF120" s="3">
        <v>2</v>
      </c>
      <c r="AG120" s="3">
        <v>11</v>
      </c>
      <c r="AH120" s="3">
        <v>9</v>
      </c>
      <c r="AI120" s="3">
        <v>2</v>
      </c>
      <c r="AJ120" s="3">
        <v>2</v>
      </c>
      <c r="AK120" s="3">
        <v>0</v>
      </c>
      <c r="AL120" s="3">
        <v>0</v>
      </c>
      <c r="AM120" s="3">
        <f>IF(Tabela2[[#This Row],[gols_mandante]]=Tabela2[[#This Row],[gols_visitante]],1,0)</f>
        <v>1</v>
      </c>
      <c r="AN120" s="3">
        <f>IF(Tabela2[[#This Row],[gols_mandante]]&gt;Tabela2[[#This Row],[gols_visitante]],1,0)</f>
        <v>0</v>
      </c>
      <c r="AO120" s="3">
        <f>IF(Tabela2[[#This Row],[gols_mandante]]&lt;Tabela2[[#This Row],[gols_visitante]],1,0)</f>
        <v>0</v>
      </c>
      <c r="AP120" s="3" t="s">
        <v>121</v>
      </c>
      <c r="AQ120" s="3">
        <v>0</v>
      </c>
    </row>
    <row r="121" spans="1:43" x14ac:dyDescent="0.25">
      <c r="A121" s="5">
        <v>2024</v>
      </c>
      <c r="B121" s="4">
        <v>45516</v>
      </c>
      <c r="C121" s="5">
        <v>22</v>
      </c>
      <c r="D121" s="5">
        <v>17136</v>
      </c>
      <c r="E121" s="5">
        <v>50848</v>
      </c>
      <c r="F121" s="5" t="str">
        <f t="shared" si="4"/>
        <v>&gt;=30.000</v>
      </c>
      <c r="G121" s="5">
        <f>Tabela2[[#This Row],[publico]]/Tabela2[[#This Row],[publico_max]]</f>
        <v>0.33700440528634362</v>
      </c>
      <c r="H121" s="5" t="s">
        <v>37</v>
      </c>
      <c r="I121" s="5" t="s">
        <v>69</v>
      </c>
      <c r="J121" s="5">
        <v>10</v>
      </c>
      <c r="K121" s="3" t="str">
        <f t="shared" si="5"/>
        <v>6-10 (intermediário)</v>
      </c>
      <c r="L121" s="5">
        <v>8</v>
      </c>
      <c r="M121" s="3">
        <f t="shared" si="6"/>
        <v>-2</v>
      </c>
      <c r="N121" s="5">
        <v>3200</v>
      </c>
      <c r="O121" s="3" t="str">
        <f t="shared" si="7"/>
        <v>1.501–3.500 (mediano)</v>
      </c>
      <c r="P121" s="5">
        <v>2145</v>
      </c>
      <c r="Q121" s="5" t="s">
        <v>149</v>
      </c>
      <c r="R121" s="5" t="s">
        <v>117</v>
      </c>
      <c r="S121" s="5">
        <v>2</v>
      </c>
      <c r="T121" s="5">
        <v>2</v>
      </c>
      <c r="U121" s="5">
        <v>1</v>
      </c>
      <c r="V121" s="5">
        <v>1</v>
      </c>
      <c r="W121" s="5">
        <v>9</v>
      </c>
      <c r="X121" s="5">
        <v>0</v>
      </c>
      <c r="Y121" s="5">
        <v>18</v>
      </c>
      <c r="Z121" s="5">
        <v>13</v>
      </c>
      <c r="AA121" s="5">
        <v>13</v>
      </c>
      <c r="AB121" s="5">
        <v>17</v>
      </c>
      <c r="AC121" s="5">
        <v>3</v>
      </c>
      <c r="AD121" s="5">
        <v>1</v>
      </c>
      <c r="AE121" s="5">
        <v>0</v>
      </c>
      <c r="AF121" s="5">
        <v>2</v>
      </c>
      <c r="AG121" s="5">
        <v>23</v>
      </c>
      <c r="AH121" s="5">
        <v>12</v>
      </c>
      <c r="AI121" s="5">
        <v>8</v>
      </c>
      <c r="AJ121" s="5">
        <v>4</v>
      </c>
      <c r="AK121" s="5">
        <v>0</v>
      </c>
      <c r="AL121" s="5">
        <v>0</v>
      </c>
      <c r="AM121" s="5">
        <f>IF(Tabela2[[#This Row],[gols_mandante]]=Tabela2[[#This Row],[gols_visitante]],1,0)</f>
        <v>1</v>
      </c>
      <c r="AN121" s="5">
        <f>IF(Tabela2[[#This Row],[gols_mandante]]&gt;Tabela2[[#This Row],[gols_visitante]],1,0)</f>
        <v>0</v>
      </c>
      <c r="AO121" s="5">
        <f>IF(Tabela2[[#This Row],[gols_mandante]]&lt;Tabela2[[#This Row],[gols_visitante]],1,0)</f>
        <v>0</v>
      </c>
      <c r="AP121" s="5" t="s">
        <v>250</v>
      </c>
      <c r="AQ121" s="5">
        <v>0</v>
      </c>
    </row>
    <row r="122" spans="1:43" x14ac:dyDescent="0.25">
      <c r="A122" s="3">
        <v>2024</v>
      </c>
      <c r="B122" s="2">
        <v>45521</v>
      </c>
      <c r="C122" s="3">
        <v>23</v>
      </c>
      <c r="D122" s="3">
        <v>36290</v>
      </c>
      <c r="E122" s="3">
        <v>46000</v>
      </c>
      <c r="F122" s="3" t="str">
        <f t="shared" si="4"/>
        <v>15.000-19.999</v>
      </c>
      <c r="G122" s="3">
        <f>Tabela2[[#This Row],[publico]]/Tabela2[[#This Row],[publico_max]]</f>
        <v>0.78891304347826086</v>
      </c>
      <c r="H122" s="3" t="s">
        <v>89</v>
      </c>
      <c r="I122" s="3" t="s">
        <v>70</v>
      </c>
      <c r="J122" s="3">
        <v>8</v>
      </c>
      <c r="K122" s="3" t="str">
        <f t="shared" si="5"/>
        <v>6-10 (intermediário)</v>
      </c>
      <c r="L122" s="3">
        <v>19</v>
      </c>
      <c r="M122" s="3">
        <f t="shared" si="6"/>
        <v>11</v>
      </c>
      <c r="N122" s="3">
        <v>2785</v>
      </c>
      <c r="O122" s="3" t="str">
        <f t="shared" si="7"/>
        <v>1.501–3.500 (mediano)</v>
      </c>
      <c r="P122" s="3">
        <v>1365</v>
      </c>
      <c r="Q122" s="3" t="s">
        <v>66</v>
      </c>
      <c r="R122" s="3">
        <v>28</v>
      </c>
      <c r="S122" s="3">
        <v>1</v>
      </c>
      <c r="T122" s="3">
        <v>1</v>
      </c>
      <c r="U122" s="3">
        <v>1</v>
      </c>
      <c r="V122" s="3">
        <v>1</v>
      </c>
      <c r="W122" s="3">
        <v>8</v>
      </c>
      <c r="X122" s="3">
        <v>6</v>
      </c>
      <c r="Y122" s="3">
        <v>13</v>
      </c>
      <c r="Z122" s="3">
        <v>14</v>
      </c>
      <c r="AA122" s="3">
        <v>12</v>
      </c>
      <c r="AB122" s="3">
        <v>13</v>
      </c>
      <c r="AC122" s="3">
        <v>4</v>
      </c>
      <c r="AD122" s="3">
        <v>3</v>
      </c>
      <c r="AE122" s="3">
        <v>3</v>
      </c>
      <c r="AF122" s="3">
        <v>0</v>
      </c>
      <c r="AG122" s="3">
        <v>13</v>
      </c>
      <c r="AH122" s="3">
        <v>11</v>
      </c>
      <c r="AI122" s="3">
        <v>7</v>
      </c>
      <c r="AJ122" s="3">
        <v>2</v>
      </c>
      <c r="AK122" s="3">
        <v>0</v>
      </c>
      <c r="AL122" s="3">
        <v>0</v>
      </c>
      <c r="AM122" s="3">
        <f>IF(Tabela2[[#This Row],[gols_mandante]]=Tabela2[[#This Row],[gols_visitante]],1,0)</f>
        <v>1</v>
      </c>
      <c r="AN122" s="3">
        <f>IF(Tabela2[[#This Row],[gols_mandante]]&gt;Tabela2[[#This Row],[gols_visitante]],1,0)</f>
        <v>0</v>
      </c>
      <c r="AO122" s="3">
        <f>IF(Tabela2[[#This Row],[gols_mandante]]&lt;Tabela2[[#This Row],[gols_visitante]],1,0)</f>
        <v>0</v>
      </c>
      <c r="AP122" s="3" t="s">
        <v>251</v>
      </c>
      <c r="AQ122" s="3">
        <v>0</v>
      </c>
    </row>
    <row r="123" spans="1:43" x14ac:dyDescent="0.25">
      <c r="A123" s="5">
        <v>2024</v>
      </c>
      <c r="B123" s="4">
        <v>45521</v>
      </c>
      <c r="C123" s="5">
        <v>23</v>
      </c>
      <c r="D123" s="5">
        <v>56102</v>
      </c>
      <c r="E123" s="5">
        <v>60540</v>
      </c>
      <c r="F123" s="5" t="str">
        <f t="shared" si="4"/>
        <v>&gt;=30.000</v>
      </c>
      <c r="G123" s="5">
        <f>Tabela2[[#This Row],[publico]]/Tabela2[[#This Row],[publico_max]]</f>
        <v>0.92669309547406675</v>
      </c>
      <c r="H123" s="5" t="s">
        <v>83</v>
      </c>
      <c r="I123" s="5" t="s">
        <v>38</v>
      </c>
      <c r="J123" s="5">
        <v>15</v>
      </c>
      <c r="K123" s="3" t="str">
        <f t="shared" si="5"/>
        <v>11-15 (mediano)</v>
      </c>
      <c r="L123" s="5">
        <v>5</v>
      </c>
      <c r="M123" s="3">
        <f t="shared" si="6"/>
        <v>-10</v>
      </c>
      <c r="N123" s="5">
        <v>2700</v>
      </c>
      <c r="O123" s="3" t="str">
        <f t="shared" si="7"/>
        <v>1.501–3.500 (mediano)</v>
      </c>
      <c r="P123" s="5">
        <v>3745</v>
      </c>
      <c r="Q123" s="5" t="s">
        <v>252</v>
      </c>
      <c r="R123" s="5" t="s">
        <v>100</v>
      </c>
      <c r="S123" s="5">
        <v>0</v>
      </c>
      <c r="T123" s="5">
        <v>2</v>
      </c>
      <c r="U123" s="5">
        <v>0</v>
      </c>
      <c r="V123" s="5">
        <v>1</v>
      </c>
      <c r="W123" s="5">
        <v>1</v>
      </c>
      <c r="X123" s="5">
        <v>5</v>
      </c>
      <c r="Y123" s="5">
        <v>10</v>
      </c>
      <c r="Z123" s="5">
        <v>10</v>
      </c>
      <c r="AA123" s="5">
        <v>10</v>
      </c>
      <c r="AB123" s="5">
        <v>10</v>
      </c>
      <c r="AC123" s="5">
        <v>3</v>
      </c>
      <c r="AD123" s="5">
        <v>5</v>
      </c>
      <c r="AE123" s="5">
        <v>1</v>
      </c>
      <c r="AF123" s="5">
        <v>1</v>
      </c>
      <c r="AG123" s="5">
        <v>13</v>
      </c>
      <c r="AH123" s="5">
        <v>12</v>
      </c>
      <c r="AI123" s="5">
        <v>5</v>
      </c>
      <c r="AJ123" s="5">
        <v>3</v>
      </c>
      <c r="AK123" s="5">
        <v>-2</v>
      </c>
      <c r="AL123" s="5">
        <v>0</v>
      </c>
      <c r="AM123" s="5">
        <f>IF(Tabela2[[#This Row],[gols_mandante]]=Tabela2[[#This Row],[gols_visitante]],1,0)</f>
        <v>0</v>
      </c>
      <c r="AN123" s="5">
        <f>IF(Tabela2[[#This Row],[gols_mandante]]&gt;Tabela2[[#This Row],[gols_visitante]],1,0)</f>
        <v>0</v>
      </c>
      <c r="AO123" s="5">
        <f>IF(Tabela2[[#This Row],[gols_mandante]]&lt;Tabela2[[#This Row],[gols_visitante]],1,0)</f>
        <v>1</v>
      </c>
      <c r="AP123" s="5" t="s">
        <v>140</v>
      </c>
      <c r="AQ123" s="5">
        <v>0</v>
      </c>
    </row>
    <row r="124" spans="1:43" x14ac:dyDescent="0.25">
      <c r="A124" s="3">
        <v>2024</v>
      </c>
      <c r="B124" s="2">
        <v>45521</v>
      </c>
      <c r="C124" s="3">
        <v>23</v>
      </c>
      <c r="D124" s="3">
        <v>3928</v>
      </c>
      <c r="E124" s="3">
        <v>15010</v>
      </c>
      <c r="F124" s="3" t="str">
        <f t="shared" si="4"/>
        <v>&gt;=30.000</v>
      </c>
      <c r="G124" s="3">
        <f>Tabela2[[#This Row],[publico]]/Tabela2[[#This Row],[publico_max]]</f>
        <v>0.26169220519653563</v>
      </c>
      <c r="H124" s="3" t="s">
        <v>56</v>
      </c>
      <c r="I124" s="3" t="s">
        <v>63</v>
      </c>
      <c r="J124" s="3">
        <v>14</v>
      </c>
      <c r="K124" s="3" t="str">
        <f t="shared" si="5"/>
        <v>11-15 (mediano)</v>
      </c>
      <c r="L124" s="3">
        <v>2</v>
      </c>
      <c r="M124" s="3">
        <f t="shared" si="6"/>
        <v>-12</v>
      </c>
      <c r="N124" s="3">
        <v>3045</v>
      </c>
      <c r="O124" s="3" t="str">
        <f t="shared" si="7"/>
        <v>1.501–3.500 (mediano)</v>
      </c>
      <c r="P124" s="3">
        <v>1335</v>
      </c>
      <c r="Q124" s="3" t="s">
        <v>253</v>
      </c>
      <c r="R124" s="3" t="s">
        <v>197</v>
      </c>
      <c r="S124" s="3">
        <v>1</v>
      </c>
      <c r="T124" s="3">
        <v>2</v>
      </c>
      <c r="U124" s="3">
        <v>1</v>
      </c>
      <c r="V124" s="3">
        <v>1</v>
      </c>
      <c r="W124" s="3">
        <v>9</v>
      </c>
      <c r="X124" s="3">
        <v>2</v>
      </c>
      <c r="Y124" s="3">
        <v>19</v>
      </c>
      <c r="Z124" s="3">
        <v>13</v>
      </c>
      <c r="AA124" s="3">
        <v>13</v>
      </c>
      <c r="AB124" s="3">
        <v>18</v>
      </c>
      <c r="AC124" s="3">
        <v>5</v>
      </c>
      <c r="AD124" s="3">
        <v>7</v>
      </c>
      <c r="AE124" s="3">
        <v>3</v>
      </c>
      <c r="AF124" s="3">
        <v>1</v>
      </c>
      <c r="AG124" s="3">
        <v>13</v>
      </c>
      <c r="AH124" s="3">
        <v>14</v>
      </c>
      <c r="AI124" s="3">
        <v>2</v>
      </c>
      <c r="AJ124" s="3">
        <v>2</v>
      </c>
      <c r="AK124" s="3">
        <v>-1</v>
      </c>
      <c r="AL124" s="3">
        <v>0</v>
      </c>
      <c r="AM124" s="3">
        <f>IF(Tabela2[[#This Row],[gols_mandante]]=Tabela2[[#This Row],[gols_visitante]],1,0)</f>
        <v>0</v>
      </c>
      <c r="AN124" s="3">
        <f>IF(Tabela2[[#This Row],[gols_mandante]]&gt;Tabela2[[#This Row],[gols_visitante]],1,0)</f>
        <v>0</v>
      </c>
      <c r="AO124" s="3">
        <f>IF(Tabela2[[#This Row],[gols_mandante]]&lt;Tabela2[[#This Row],[gols_visitante]],1,0)</f>
        <v>1</v>
      </c>
      <c r="AP124" s="3" t="s">
        <v>254</v>
      </c>
      <c r="AQ124" s="3">
        <v>0</v>
      </c>
    </row>
    <row r="125" spans="1:43" x14ac:dyDescent="0.25">
      <c r="A125" s="5">
        <v>2024</v>
      </c>
      <c r="B125" s="4">
        <v>45522</v>
      </c>
      <c r="C125" s="5">
        <v>23</v>
      </c>
      <c r="D125" s="5">
        <v>23731</v>
      </c>
      <c r="E125" s="5">
        <v>46931</v>
      </c>
      <c r="F125" s="5" t="str">
        <f t="shared" si="4"/>
        <v>0-4.999</v>
      </c>
      <c r="G125" s="5">
        <f>Tabela2[[#This Row],[publico]]/Tabela2[[#This Row],[publico_max]]</f>
        <v>0.50565724148217595</v>
      </c>
      <c r="H125" s="5" t="s">
        <v>51</v>
      </c>
      <c r="I125" s="5" t="s">
        <v>77</v>
      </c>
      <c r="J125" s="5">
        <v>1</v>
      </c>
      <c r="K125" s="3" t="str">
        <f t="shared" si="5"/>
        <v>1-5 (elite)</v>
      </c>
      <c r="L125" s="5">
        <v>3</v>
      </c>
      <c r="M125" s="3">
        <f t="shared" si="6"/>
        <v>2</v>
      </c>
      <c r="N125" s="5">
        <v>6080</v>
      </c>
      <c r="O125" s="3" t="str">
        <f t="shared" si="7"/>
        <v>3.501–7.000 (intermediário)</v>
      </c>
      <c r="P125" s="5">
        <v>7070</v>
      </c>
      <c r="Q125" s="5" t="s">
        <v>104</v>
      </c>
      <c r="R125" s="5" t="s">
        <v>86</v>
      </c>
      <c r="S125" s="5">
        <v>4</v>
      </c>
      <c r="T125" s="5">
        <v>1</v>
      </c>
      <c r="U125" s="5">
        <v>1</v>
      </c>
      <c r="V125" s="5">
        <v>1</v>
      </c>
      <c r="W125" s="5">
        <v>5</v>
      </c>
      <c r="X125" s="5">
        <v>2</v>
      </c>
      <c r="Y125" s="5">
        <v>17</v>
      </c>
      <c r="Z125" s="5">
        <v>7</v>
      </c>
      <c r="AA125" s="5">
        <v>7</v>
      </c>
      <c r="AB125" s="5">
        <v>17</v>
      </c>
      <c r="AC125" s="5">
        <v>2</v>
      </c>
      <c r="AD125" s="5">
        <v>5</v>
      </c>
      <c r="AE125" s="5">
        <v>3</v>
      </c>
      <c r="AF125" s="5">
        <v>0</v>
      </c>
      <c r="AG125" s="5">
        <v>19</v>
      </c>
      <c r="AH125" s="5">
        <v>10</v>
      </c>
      <c r="AI125" s="5">
        <v>7</v>
      </c>
      <c r="AJ125" s="5">
        <v>4</v>
      </c>
      <c r="AK125" s="5">
        <v>3</v>
      </c>
      <c r="AL125" s="5">
        <v>1</v>
      </c>
      <c r="AM125" s="5">
        <f>IF(Tabela2[[#This Row],[gols_mandante]]=Tabela2[[#This Row],[gols_visitante]],1,0)</f>
        <v>0</v>
      </c>
      <c r="AN125" s="5">
        <f>IF(Tabela2[[#This Row],[gols_mandante]]&gt;Tabela2[[#This Row],[gols_visitante]],1,0)</f>
        <v>1</v>
      </c>
      <c r="AO125" s="5">
        <f>IF(Tabela2[[#This Row],[gols_mandante]]&lt;Tabela2[[#This Row],[gols_visitante]],1,0)</f>
        <v>0</v>
      </c>
      <c r="AP125" s="5" t="s">
        <v>255</v>
      </c>
      <c r="AQ125" s="5">
        <v>0</v>
      </c>
    </row>
    <row r="126" spans="1:43" x14ac:dyDescent="0.25">
      <c r="A126" s="3">
        <v>2024</v>
      </c>
      <c r="B126" s="2">
        <v>45522</v>
      </c>
      <c r="C126" s="3">
        <v>23</v>
      </c>
      <c r="D126" s="3">
        <v>5460</v>
      </c>
      <c r="E126" s="3">
        <v>13000</v>
      </c>
      <c r="F126" s="3" t="str">
        <f t="shared" si="4"/>
        <v>20.000-29.999</v>
      </c>
      <c r="G126" s="3">
        <f>Tabela2[[#This Row],[publico]]/Tabela2[[#This Row],[publico_max]]</f>
        <v>0.42</v>
      </c>
      <c r="H126" s="3" t="s">
        <v>76</v>
      </c>
      <c r="I126" s="3" t="s">
        <v>37</v>
      </c>
      <c r="J126" s="3">
        <v>20</v>
      </c>
      <c r="K126" s="3" t="str">
        <f t="shared" si="5"/>
        <v>16-20 (rebaixamento)</v>
      </c>
      <c r="L126" s="3">
        <v>12</v>
      </c>
      <c r="M126" s="3">
        <f t="shared" si="6"/>
        <v>-8</v>
      </c>
      <c r="N126" s="3">
        <v>855</v>
      </c>
      <c r="O126" s="3" t="str">
        <f t="shared" si="7"/>
        <v>1–1.500 (rebaixamento)</v>
      </c>
      <c r="P126" s="3">
        <v>2615</v>
      </c>
      <c r="Q126" s="3" t="s">
        <v>134</v>
      </c>
      <c r="R126" s="3" t="s">
        <v>107</v>
      </c>
      <c r="S126" s="3">
        <v>1</v>
      </c>
      <c r="T126" s="3">
        <v>0</v>
      </c>
      <c r="U126" s="3">
        <v>0</v>
      </c>
      <c r="V126" s="3">
        <v>0</v>
      </c>
      <c r="W126" s="3">
        <v>4</v>
      </c>
      <c r="X126" s="3">
        <v>7</v>
      </c>
      <c r="Y126" s="3">
        <v>11</v>
      </c>
      <c r="Z126" s="3">
        <v>6</v>
      </c>
      <c r="AA126" s="3">
        <v>6</v>
      </c>
      <c r="AB126" s="3">
        <v>11</v>
      </c>
      <c r="AC126" s="3">
        <v>6</v>
      </c>
      <c r="AD126" s="3">
        <v>4</v>
      </c>
      <c r="AE126" s="3">
        <v>1</v>
      </c>
      <c r="AF126" s="3">
        <v>0</v>
      </c>
      <c r="AG126" s="3">
        <v>13</v>
      </c>
      <c r="AH126" s="3">
        <v>19</v>
      </c>
      <c r="AI126" s="3">
        <v>4</v>
      </c>
      <c r="AJ126" s="3">
        <v>5</v>
      </c>
      <c r="AK126" s="3">
        <v>1</v>
      </c>
      <c r="AL126" s="3">
        <v>1</v>
      </c>
      <c r="AM126" s="3">
        <f>IF(Tabela2[[#This Row],[gols_mandante]]=Tabela2[[#This Row],[gols_visitante]],1,0)</f>
        <v>0</v>
      </c>
      <c r="AN126" s="3">
        <f>IF(Tabela2[[#This Row],[gols_mandante]]&gt;Tabela2[[#This Row],[gols_visitante]],1,0)</f>
        <v>1</v>
      </c>
      <c r="AO126" s="3">
        <f>IF(Tabela2[[#This Row],[gols_mandante]]&lt;Tabela2[[#This Row],[gols_visitante]],1,0)</f>
        <v>0</v>
      </c>
      <c r="AP126" s="3" t="s">
        <v>256</v>
      </c>
      <c r="AQ126" s="3">
        <v>0</v>
      </c>
    </row>
    <row r="127" spans="1:43" x14ac:dyDescent="0.25">
      <c r="A127" s="5">
        <v>2024</v>
      </c>
      <c r="B127" s="4">
        <v>45522</v>
      </c>
      <c r="C127" s="5">
        <v>23</v>
      </c>
      <c r="D127" s="5">
        <v>37244</v>
      </c>
      <c r="E127" s="5">
        <v>43713</v>
      </c>
      <c r="F127" s="5" t="str">
        <f t="shared" si="4"/>
        <v>5.000-9.999</v>
      </c>
      <c r="G127" s="5">
        <f>Tabela2[[#This Row],[publico]]/Tabela2[[#This Row],[publico_max]]</f>
        <v>0.85201198728067162</v>
      </c>
      <c r="H127" s="5" t="s">
        <v>95</v>
      </c>
      <c r="I127" s="5" t="s">
        <v>62</v>
      </c>
      <c r="J127" s="5">
        <v>4</v>
      </c>
      <c r="K127" s="3" t="str">
        <f t="shared" si="5"/>
        <v>1-5 (elite)</v>
      </c>
      <c r="L127" s="5">
        <v>6</v>
      </c>
      <c r="M127" s="3">
        <f t="shared" si="6"/>
        <v>2</v>
      </c>
      <c r="N127" s="5">
        <v>8560</v>
      </c>
      <c r="O127" s="3" t="str">
        <f t="shared" si="7"/>
        <v>7.001+ (elite)</v>
      </c>
      <c r="P127" s="5">
        <v>3170</v>
      </c>
      <c r="Q127" s="5">
        <v>27</v>
      </c>
      <c r="R127" s="5" t="s">
        <v>120</v>
      </c>
      <c r="S127" s="5">
        <v>2</v>
      </c>
      <c r="T127" s="5">
        <v>1</v>
      </c>
      <c r="U127" s="5">
        <v>0</v>
      </c>
      <c r="V127" s="5">
        <v>0</v>
      </c>
      <c r="W127" s="5">
        <v>6</v>
      </c>
      <c r="X127" s="5">
        <v>1</v>
      </c>
      <c r="Y127" s="5">
        <v>17</v>
      </c>
      <c r="Z127" s="5">
        <v>12</v>
      </c>
      <c r="AA127" s="5">
        <v>12</v>
      </c>
      <c r="AB127" s="5">
        <v>16</v>
      </c>
      <c r="AC127" s="5">
        <v>3</v>
      </c>
      <c r="AD127" s="5">
        <v>6</v>
      </c>
      <c r="AE127" s="5">
        <v>2</v>
      </c>
      <c r="AF127" s="5">
        <v>1</v>
      </c>
      <c r="AG127" s="5">
        <v>24</v>
      </c>
      <c r="AH127" s="5">
        <v>8</v>
      </c>
      <c r="AI127" s="5">
        <v>10</v>
      </c>
      <c r="AJ127" s="5">
        <v>4</v>
      </c>
      <c r="AK127" s="5">
        <v>1</v>
      </c>
      <c r="AL127" s="5">
        <v>1</v>
      </c>
      <c r="AM127" s="5">
        <f>IF(Tabela2[[#This Row],[gols_mandante]]=Tabela2[[#This Row],[gols_visitante]],1,0)</f>
        <v>0</v>
      </c>
      <c r="AN127" s="5">
        <f>IF(Tabela2[[#This Row],[gols_mandante]]&gt;Tabela2[[#This Row],[gols_visitante]],1,0)</f>
        <v>1</v>
      </c>
      <c r="AO127" s="5">
        <f>IF(Tabela2[[#This Row],[gols_mandante]]&lt;Tabela2[[#This Row],[gols_visitante]],1,0)</f>
        <v>0</v>
      </c>
      <c r="AP127" s="5" t="s">
        <v>257</v>
      </c>
      <c r="AQ127" s="5">
        <v>0</v>
      </c>
    </row>
    <row r="128" spans="1:43" x14ac:dyDescent="0.25">
      <c r="A128" s="3">
        <v>2024</v>
      </c>
      <c r="B128" s="2">
        <v>45522</v>
      </c>
      <c r="C128" s="3">
        <v>23</v>
      </c>
      <c r="D128" s="3">
        <v>22926</v>
      </c>
      <c r="E128" s="3">
        <v>42372</v>
      </c>
      <c r="F128" s="3" t="str">
        <f t="shared" si="4"/>
        <v>&gt;=30.000</v>
      </c>
      <c r="G128" s="3">
        <f>Tabela2[[#This Row],[publico]]/Tabela2[[#This Row],[publico_max]]</f>
        <v>0.54106485414896632</v>
      </c>
      <c r="H128" s="3" t="s">
        <v>69</v>
      </c>
      <c r="I128" s="3" t="s">
        <v>44</v>
      </c>
      <c r="J128" s="3">
        <v>9</v>
      </c>
      <c r="K128" s="3" t="str">
        <f t="shared" si="5"/>
        <v>6-10 (intermediário)</v>
      </c>
      <c r="L128" s="3">
        <v>13</v>
      </c>
      <c r="M128" s="3">
        <f t="shared" si="6"/>
        <v>4</v>
      </c>
      <c r="N128" s="3">
        <v>2145</v>
      </c>
      <c r="O128" s="3" t="str">
        <f t="shared" si="7"/>
        <v>1.501–3.500 (mediano)</v>
      </c>
      <c r="P128" s="3">
        <v>710</v>
      </c>
      <c r="Q128" s="3" t="s">
        <v>217</v>
      </c>
      <c r="R128" s="3" t="s">
        <v>74</v>
      </c>
      <c r="S128" s="3">
        <v>1</v>
      </c>
      <c r="T128" s="3">
        <v>2</v>
      </c>
      <c r="U128" s="3">
        <v>1</v>
      </c>
      <c r="V128" s="3">
        <v>1</v>
      </c>
      <c r="W128" s="3">
        <v>10</v>
      </c>
      <c r="X128" s="3">
        <v>4</v>
      </c>
      <c r="Y128" s="3">
        <v>17</v>
      </c>
      <c r="Z128" s="3">
        <v>10</v>
      </c>
      <c r="AA128" s="3">
        <v>9</v>
      </c>
      <c r="AB128" s="3">
        <v>16</v>
      </c>
      <c r="AC128" s="3">
        <v>3</v>
      </c>
      <c r="AD128" s="3">
        <v>6</v>
      </c>
      <c r="AE128" s="3">
        <v>1</v>
      </c>
      <c r="AF128" s="3">
        <v>1</v>
      </c>
      <c r="AG128" s="3">
        <v>23</v>
      </c>
      <c r="AH128" s="3">
        <v>8</v>
      </c>
      <c r="AI128" s="3">
        <v>10</v>
      </c>
      <c r="AJ128" s="3">
        <v>2</v>
      </c>
      <c r="AK128" s="3">
        <v>-1</v>
      </c>
      <c r="AL128" s="3">
        <v>0</v>
      </c>
      <c r="AM128" s="3">
        <f>IF(Tabela2[[#This Row],[gols_mandante]]=Tabela2[[#This Row],[gols_visitante]],1,0)</f>
        <v>0</v>
      </c>
      <c r="AN128" s="3">
        <f>IF(Tabela2[[#This Row],[gols_mandante]]&gt;Tabela2[[#This Row],[gols_visitante]],1,0)</f>
        <v>0</v>
      </c>
      <c r="AO128" s="3">
        <f>IF(Tabela2[[#This Row],[gols_mandante]]&lt;Tabela2[[#This Row],[gols_visitante]],1,0)</f>
        <v>1</v>
      </c>
      <c r="AP128" s="3" t="s">
        <v>258</v>
      </c>
      <c r="AQ128" s="3">
        <v>0</v>
      </c>
    </row>
    <row r="129" spans="1:43" x14ac:dyDescent="0.25">
      <c r="A129" s="5">
        <v>2024</v>
      </c>
      <c r="B129" s="4">
        <v>45522</v>
      </c>
      <c r="C129" s="5">
        <v>23</v>
      </c>
      <c r="D129" s="5">
        <v>18403</v>
      </c>
      <c r="E129" s="5">
        <v>19225</v>
      </c>
      <c r="F129" s="5" t="str">
        <f t="shared" si="4"/>
        <v>20.000-29.999</v>
      </c>
      <c r="G129" s="5">
        <f>Tabela2[[#This Row],[publico]]/Tabela2[[#This Row],[publico_max]]</f>
        <v>0.95724317295188555</v>
      </c>
      <c r="H129" s="5" t="s">
        <v>43</v>
      </c>
      <c r="I129" s="5" t="s">
        <v>82</v>
      </c>
      <c r="J129" s="5">
        <v>11</v>
      </c>
      <c r="K129" s="3" t="str">
        <f t="shared" si="5"/>
        <v>11-15 (mediano)</v>
      </c>
      <c r="L129" s="5">
        <v>10</v>
      </c>
      <c r="M129" s="3">
        <f t="shared" si="6"/>
        <v>-1</v>
      </c>
      <c r="N129" s="5">
        <v>620</v>
      </c>
      <c r="O129" s="3" t="str">
        <f t="shared" si="7"/>
        <v>1–1.500 (rebaixamento)</v>
      </c>
      <c r="P129" s="5">
        <v>3780</v>
      </c>
      <c r="Q129" s="5" t="s">
        <v>67</v>
      </c>
      <c r="R129" s="5" t="s">
        <v>151</v>
      </c>
      <c r="S129" s="5">
        <v>2</v>
      </c>
      <c r="T129" s="5">
        <v>2</v>
      </c>
      <c r="U129" s="5">
        <v>1</v>
      </c>
      <c r="V129" s="5">
        <v>2</v>
      </c>
      <c r="W129" s="5">
        <v>9</v>
      </c>
      <c r="X129" s="5">
        <v>10</v>
      </c>
      <c r="Y129" s="5">
        <v>15</v>
      </c>
      <c r="Z129" s="5">
        <v>7</v>
      </c>
      <c r="AA129" s="5">
        <v>5</v>
      </c>
      <c r="AB129" s="5">
        <v>15</v>
      </c>
      <c r="AC129" s="5">
        <v>2</v>
      </c>
      <c r="AD129" s="5">
        <v>6</v>
      </c>
      <c r="AE129" s="5">
        <v>4</v>
      </c>
      <c r="AF129" s="5">
        <v>1</v>
      </c>
      <c r="AG129" s="5">
        <v>19</v>
      </c>
      <c r="AH129" s="5">
        <v>13</v>
      </c>
      <c r="AI129" s="5">
        <v>10</v>
      </c>
      <c r="AJ129" s="5">
        <v>5</v>
      </c>
      <c r="AK129" s="5">
        <v>0</v>
      </c>
      <c r="AL129" s="5">
        <v>0</v>
      </c>
      <c r="AM129" s="5">
        <f>IF(Tabela2[[#This Row],[gols_mandante]]=Tabela2[[#This Row],[gols_visitante]],1,0)</f>
        <v>1</v>
      </c>
      <c r="AN129" s="5">
        <f>IF(Tabela2[[#This Row],[gols_mandante]]&gt;Tabela2[[#This Row],[gols_visitante]],1,0)</f>
        <v>0</v>
      </c>
      <c r="AO129" s="5">
        <f>IF(Tabela2[[#This Row],[gols_mandante]]&lt;Tabela2[[#This Row],[gols_visitante]],1,0)</f>
        <v>0</v>
      </c>
      <c r="AP129" s="5" t="s">
        <v>259</v>
      </c>
      <c r="AQ129" s="5">
        <v>0</v>
      </c>
    </row>
    <row r="130" spans="1:43" x14ac:dyDescent="0.25">
      <c r="A130" s="3">
        <v>2024</v>
      </c>
      <c r="B130" s="2">
        <v>45522</v>
      </c>
      <c r="C130" s="3">
        <v>23</v>
      </c>
      <c r="D130" s="3">
        <v>30475</v>
      </c>
      <c r="E130" s="3">
        <v>82238</v>
      </c>
      <c r="F130" s="3" t="str">
        <f t="shared" ref="F130:F193" si="8">IF(D129="","",IF(D129&lt;5000,"0-4.999",
  IF(D129&lt;10000,"5.000-9.999",
    IF(D129&lt;15000,"10.000-14.999",
      IF(D129&lt;20000,"15.000-19.999",
        IF(D129&lt;30000,"20.000-29.999","&gt;=30.000"))))))</f>
        <v>15.000-19.999</v>
      </c>
      <c r="G130" s="3">
        <f>Tabela2[[#This Row],[publico]]/Tabela2[[#This Row],[publico_max]]</f>
        <v>0.37057078236338431</v>
      </c>
      <c r="H130" s="3" t="s">
        <v>55</v>
      </c>
      <c r="I130" s="3" t="s">
        <v>88</v>
      </c>
      <c r="J130" s="3">
        <v>16</v>
      </c>
      <c r="K130" s="3" t="str">
        <f t="shared" si="5"/>
        <v>16-20 (rebaixamento)</v>
      </c>
      <c r="L130" s="3">
        <v>18</v>
      </c>
      <c r="M130" s="3">
        <f t="shared" si="6"/>
        <v>2</v>
      </c>
      <c r="N130" s="3">
        <v>4750</v>
      </c>
      <c r="O130" s="3" t="str">
        <f t="shared" si="7"/>
        <v>3.501–7.000 (intermediário)</v>
      </c>
      <c r="P130" s="3">
        <v>3530</v>
      </c>
      <c r="Q130" s="3" t="s">
        <v>116</v>
      </c>
      <c r="R130" s="3">
        <v>26</v>
      </c>
      <c r="S130" s="3">
        <v>0</v>
      </c>
      <c r="T130" s="3">
        <v>0</v>
      </c>
      <c r="U130" s="3">
        <v>0</v>
      </c>
      <c r="V130" s="3">
        <v>0</v>
      </c>
      <c r="W130" s="3">
        <v>6</v>
      </c>
      <c r="X130" s="3">
        <v>2</v>
      </c>
      <c r="Y130" s="3">
        <v>10</v>
      </c>
      <c r="Z130" s="3">
        <v>17</v>
      </c>
      <c r="AA130" s="3">
        <v>16</v>
      </c>
      <c r="AB130" s="3">
        <v>9</v>
      </c>
      <c r="AC130" s="3">
        <v>2</v>
      </c>
      <c r="AD130" s="3">
        <v>4</v>
      </c>
      <c r="AE130" s="3">
        <v>0</v>
      </c>
      <c r="AF130" s="3">
        <v>3</v>
      </c>
      <c r="AG130" s="3">
        <v>16</v>
      </c>
      <c r="AH130" s="3">
        <v>8</v>
      </c>
      <c r="AI130" s="3">
        <v>6</v>
      </c>
      <c r="AJ130" s="3">
        <v>4</v>
      </c>
      <c r="AK130" s="3">
        <v>0</v>
      </c>
      <c r="AL130" s="3">
        <v>0</v>
      </c>
      <c r="AM130" s="3">
        <f>IF(Tabela2[[#This Row],[gols_mandante]]=Tabela2[[#This Row],[gols_visitante]],1,0)</f>
        <v>1</v>
      </c>
      <c r="AN130" s="3">
        <f>IF(Tabela2[[#This Row],[gols_mandante]]&gt;Tabela2[[#This Row],[gols_visitante]],1,0)</f>
        <v>0</v>
      </c>
      <c r="AO130" s="3">
        <f>IF(Tabela2[[#This Row],[gols_mandante]]&lt;Tabela2[[#This Row],[gols_visitante]],1,0)</f>
        <v>0</v>
      </c>
      <c r="AP130" s="3" t="s">
        <v>182</v>
      </c>
      <c r="AQ130" s="3">
        <v>0</v>
      </c>
    </row>
    <row r="131" spans="1:43" x14ac:dyDescent="0.25">
      <c r="A131" s="5">
        <v>2024</v>
      </c>
      <c r="B131" s="4">
        <v>45524</v>
      </c>
      <c r="C131" s="5">
        <v>23</v>
      </c>
      <c r="D131" s="5">
        <v>17062</v>
      </c>
      <c r="E131" s="5">
        <v>30618</v>
      </c>
      <c r="F131" s="5" t="str">
        <f t="shared" si="8"/>
        <v>&gt;=30.000</v>
      </c>
      <c r="G131" s="5">
        <f>Tabela2[[#This Row],[publico]]/Tabela2[[#This Row],[publico_max]]</f>
        <v>0.55725390293291532</v>
      </c>
      <c r="H131" s="5" t="s">
        <v>94</v>
      </c>
      <c r="I131" s="5" t="s">
        <v>50</v>
      </c>
      <c r="J131" s="5">
        <v>17</v>
      </c>
      <c r="K131" s="3" t="str">
        <f t="shared" ref="K131:K194" si="9">IF(J131="", "", IF(J131&lt;=5, "1-5 (elite)", IF(J131&lt;=10, "6-10 (intermediário)", IF(J131&lt;=15, "11-15 (mediano)", "16-20 (rebaixamento)"))))</f>
        <v>16-20 (rebaixamento)</v>
      </c>
      <c r="L131" s="5">
        <v>7</v>
      </c>
      <c r="M131" s="3">
        <f t="shared" ref="M131:M194" si="10">L131-J131</f>
        <v>-10</v>
      </c>
      <c r="N131" s="5">
        <v>1308</v>
      </c>
      <c r="O131" s="3" t="str">
        <f t="shared" ref="O131:O194" si="11">IF(N131="", "",
   IF(N131&lt;=1500, "1–1.500 (rebaixamento)",
   IF(N131&lt;=3500, "1.501–3.500 (mediano)",
   IF(N131&lt;=7000, "3.501–7.000 (intermediário)",
   "7.001+ (elite)"))))</f>
        <v>1–1.500 (rebaixamento)</v>
      </c>
      <c r="P131" s="5">
        <v>3420</v>
      </c>
      <c r="Q131" s="5">
        <v>28</v>
      </c>
      <c r="R131" s="5" t="s">
        <v>66</v>
      </c>
      <c r="S131" s="5">
        <v>2</v>
      </c>
      <c r="T131" s="5">
        <v>2</v>
      </c>
      <c r="U131" s="5">
        <v>2</v>
      </c>
      <c r="V131" s="5">
        <v>0</v>
      </c>
      <c r="W131" s="5">
        <v>4</v>
      </c>
      <c r="X131" s="5">
        <v>7</v>
      </c>
      <c r="Y131" s="5">
        <v>10</v>
      </c>
      <c r="Z131" s="5">
        <v>13</v>
      </c>
      <c r="AA131" s="5">
        <v>11</v>
      </c>
      <c r="AB131" s="5">
        <v>9</v>
      </c>
      <c r="AC131" s="5">
        <v>10</v>
      </c>
      <c r="AD131" s="5">
        <v>3</v>
      </c>
      <c r="AE131" s="5">
        <v>0</v>
      </c>
      <c r="AF131" s="5">
        <v>0</v>
      </c>
      <c r="AG131" s="5">
        <v>14</v>
      </c>
      <c r="AH131" s="5">
        <v>25</v>
      </c>
      <c r="AI131" s="5">
        <v>5</v>
      </c>
      <c r="AJ131" s="5">
        <v>8</v>
      </c>
      <c r="AK131" s="5">
        <v>0</v>
      </c>
      <c r="AL131" s="5">
        <v>0</v>
      </c>
      <c r="AM131" s="5">
        <f>IF(Tabela2[[#This Row],[gols_mandante]]=Tabela2[[#This Row],[gols_visitante]],1,0)</f>
        <v>1</v>
      </c>
      <c r="AN131" s="5">
        <f>IF(Tabela2[[#This Row],[gols_mandante]]&gt;Tabela2[[#This Row],[gols_visitante]],1,0)</f>
        <v>0</v>
      </c>
      <c r="AO131" s="5">
        <f>IF(Tabela2[[#This Row],[gols_mandante]]&lt;Tabela2[[#This Row],[gols_visitante]],1,0)</f>
        <v>0</v>
      </c>
      <c r="AP131" s="5" t="s">
        <v>148</v>
      </c>
      <c r="AQ131" s="5">
        <v>1</v>
      </c>
    </row>
    <row r="132" spans="1:43" x14ac:dyDescent="0.25">
      <c r="A132" s="3">
        <v>2024</v>
      </c>
      <c r="B132" s="2">
        <v>45528</v>
      </c>
      <c r="C132" s="3">
        <v>24</v>
      </c>
      <c r="D132" s="3">
        <v>30956</v>
      </c>
      <c r="E132" s="3">
        <v>43713</v>
      </c>
      <c r="F132" s="3" t="str">
        <f t="shared" si="8"/>
        <v>15.000-19.999</v>
      </c>
      <c r="G132" s="3">
        <f>Tabela2[[#This Row],[publico]]/Tabela2[[#This Row],[publico_max]]</f>
        <v>0.70816461922082674</v>
      </c>
      <c r="H132" s="3" t="s">
        <v>95</v>
      </c>
      <c r="I132" s="3" t="s">
        <v>70</v>
      </c>
      <c r="J132" s="3">
        <v>4</v>
      </c>
      <c r="K132" s="3" t="str">
        <f t="shared" si="9"/>
        <v>1-5 (elite)</v>
      </c>
      <c r="L132" s="3">
        <v>19</v>
      </c>
      <c r="M132" s="3">
        <f t="shared" si="10"/>
        <v>15</v>
      </c>
      <c r="N132" s="3">
        <v>9850</v>
      </c>
      <c r="O132" s="3" t="str">
        <f t="shared" si="11"/>
        <v>7.001+ (elite)</v>
      </c>
      <c r="P132" s="3">
        <v>1225</v>
      </c>
      <c r="Q132" s="3" t="s">
        <v>239</v>
      </c>
      <c r="R132" s="3">
        <v>27</v>
      </c>
      <c r="S132" s="3">
        <v>5</v>
      </c>
      <c r="T132" s="3">
        <v>0</v>
      </c>
      <c r="U132" s="3">
        <v>4</v>
      </c>
      <c r="V132" s="3">
        <v>0</v>
      </c>
      <c r="W132" s="3">
        <v>7</v>
      </c>
      <c r="X132" s="3">
        <v>1</v>
      </c>
      <c r="Y132" s="3">
        <v>16</v>
      </c>
      <c r="Z132" s="3">
        <v>6</v>
      </c>
      <c r="AA132" s="3">
        <v>6</v>
      </c>
      <c r="AB132" s="3">
        <v>16</v>
      </c>
      <c r="AC132" s="3">
        <v>3</v>
      </c>
      <c r="AD132" s="3">
        <v>4</v>
      </c>
      <c r="AE132" s="3">
        <v>1</v>
      </c>
      <c r="AF132" s="3">
        <v>2</v>
      </c>
      <c r="AG132" s="3">
        <v>14</v>
      </c>
      <c r="AH132" s="3">
        <v>10</v>
      </c>
      <c r="AI132" s="3">
        <v>3</v>
      </c>
      <c r="AJ132" s="3">
        <v>4</v>
      </c>
      <c r="AK132" s="3">
        <v>5</v>
      </c>
      <c r="AL132" s="3">
        <v>1</v>
      </c>
      <c r="AM132" s="3">
        <f>IF(Tabela2[[#This Row],[gols_mandante]]=Tabela2[[#This Row],[gols_visitante]],1,0)</f>
        <v>0</v>
      </c>
      <c r="AN132" s="3">
        <f>IF(Tabela2[[#This Row],[gols_mandante]]&gt;Tabela2[[#This Row],[gols_visitante]],1,0)</f>
        <v>1</v>
      </c>
      <c r="AO132" s="3">
        <f>IF(Tabela2[[#This Row],[gols_mandante]]&lt;Tabela2[[#This Row],[gols_visitante]],1,0)</f>
        <v>0</v>
      </c>
      <c r="AP132" s="3" t="s">
        <v>260</v>
      </c>
      <c r="AQ132" s="3">
        <v>0</v>
      </c>
    </row>
    <row r="133" spans="1:43" x14ac:dyDescent="0.25">
      <c r="A133" s="5">
        <v>2024</v>
      </c>
      <c r="B133" s="4">
        <v>45528</v>
      </c>
      <c r="C133" s="5">
        <v>24</v>
      </c>
      <c r="D133" s="5">
        <v>4407</v>
      </c>
      <c r="E133" s="5">
        <v>13000</v>
      </c>
      <c r="F133" s="5" t="str">
        <f t="shared" si="8"/>
        <v>&gt;=30.000</v>
      </c>
      <c r="G133" s="5">
        <f>Tabela2[[#This Row],[publico]]/Tabela2[[#This Row],[publico_max]]</f>
        <v>0.33900000000000002</v>
      </c>
      <c r="H133" s="5" t="s">
        <v>76</v>
      </c>
      <c r="I133" s="5" t="s">
        <v>44</v>
      </c>
      <c r="J133" s="5">
        <v>20</v>
      </c>
      <c r="K133" s="3" t="str">
        <f t="shared" si="9"/>
        <v>16-20 (rebaixamento)</v>
      </c>
      <c r="L133" s="5">
        <v>13</v>
      </c>
      <c r="M133" s="3">
        <f t="shared" si="10"/>
        <v>-7</v>
      </c>
      <c r="N133" s="5">
        <v>785</v>
      </c>
      <c r="O133" s="3" t="str">
        <f t="shared" si="11"/>
        <v>1–1.500 (rebaixamento)</v>
      </c>
      <c r="P133" s="5">
        <v>800</v>
      </c>
      <c r="Q133" s="5" t="s">
        <v>66</v>
      </c>
      <c r="R133" s="5" t="s">
        <v>111</v>
      </c>
      <c r="S133" s="5">
        <v>2</v>
      </c>
      <c r="T133" s="5">
        <v>1</v>
      </c>
      <c r="U133" s="5">
        <v>0</v>
      </c>
      <c r="V133" s="5">
        <v>0</v>
      </c>
      <c r="W133" s="5">
        <v>4</v>
      </c>
      <c r="X133" s="5">
        <v>5</v>
      </c>
      <c r="Y133" s="5">
        <v>17</v>
      </c>
      <c r="Z133" s="5">
        <v>10</v>
      </c>
      <c r="AA133" s="5">
        <v>10</v>
      </c>
      <c r="AB133" s="5">
        <v>16</v>
      </c>
      <c r="AC133" s="5">
        <v>2</v>
      </c>
      <c r="AD133" s="5">
        <v>5</v>
      </c>
      <c r="AE133" s="5">
        <v>0</v>
      </c>
      <c r="AF133" s="5">
        <v>2</v>
      </c>
      <c r="AG133" s="5">
        <v>18</v>
      </c>
      <c r="AH133" s="5">
        <v>13</v>
      </c>
      <c r="AI133" s="5">
        <v>7</v>
      </c>
      <c r="AJ133" s="5">
        <v>5</v>
      </c>
      <c r="AK133" s="5">
        <v>1</v>
      </c>
      <c r="AL133" s="5">
        <v>1</v>
      </c>
      <c r="AM133" s="5">
        <f>IF(Tabela2[[#This Row],[gols_mandante]]=Tabela2[[#This Row],[gols_visitante]],1,0)</f>
        <v>0</v>
      </c>
      <c r="AN133" s="5">
        <f>IF(Tabela2[[#This Row],[gols_mandante]]&gt;Tabela2[[#This Row],[gols_visitante]],1,0)</f>
        <v>1</v>
      </c>
      <c r="AO133" s="5">
        <f>IF(Tabela2[[#This Row],[gols_mandante]]&lt;Tabela2[[#This Row],[gols_visitante]],1,0)</f>
        <v>0</v>
      </c>
      <c r="AP133" s="5" t="s">
        <v>261</v>
      </c>
      <c r="AQ133" s="5">
        <v>1</v>
      </c>
    </row>
    <row r="134" spans="1:43" x14ac:dyDescent="0.25">
      <c r="A134" s="3">
        <v>2024</v>
      </c>
      <c r="B134" s="2">
        <v>45529</v>
      </c>
      <c r="C134" s="3">
        <v>24</v>
      </c>
      <c r="D134" s="3">
        <v>32712</v>
      </c>
      <c r="E134" s="3">
        <v>72039</v>
      </c>
      <c r="F134" s="3" t="str">
        <f t="shared" si="8"/>
        <v>0-4.999</v>
      </c>
      <c r="G134" s="3">
        <f>Tabela2[[#This Row],[publico]]/Tabela2[[#This Row],[publico_max]]</f>
        <v>0.45408736934160665</v>
      </c>
      <c r="H134" s="3" t="s">
        <v>62</v>
      </c>
      <c r="I134" s="3" t="s">
        <v>94</v>
      </c>
      <c r="J134" s="3">
        <v>5</v>
      </c>
      <c r="K134" s="3" t="str">
        <f t="shared" si="9"/>
        <v>1-5 (elite)</v>
      </c>
      <c r="L134" s="3">
        <v>17</v>
      </c>
      <c r="M134" s="3">
        <f t="shared" si="10"/>
        <v>12</v>
      </c>
      <c r="N134" s="3">
        <v>2215</v>
      </c>
      <c r="O134" s="3" t="str">
        <f t="shared" si="11"/>
        <v>1.501–3.500 (mediano)</v>
      </c>
      <c r="P134" s="3">
        <v>1248</v>
      </c>
      <c r="Q134" s="3" t="s">
        <v>100</v>
      </c>
      <c r="R134" s="3">
        <v>28</v>
      </c>
      <c r="S134" s="3">
        <v>2</v>
      </c>
      <c r="T134" s="3">
        <v>1</v>
      </c>
      <c r="U134" s="3">
        <v>2</v>
      </c>
      <c r="V134" s="3">
        <v>0</v>
      </c>
      <c r="W134" s="3">
        <v>4</v>
      </c>
      <c r="X134" s="3">
        <v>3</v>
      </c>
      <c r="Y134" s="3">
        <v>7</v>
      </c>
      <c r="Z134" s="3">
        <v>8</v>
      </c>
      <c r="AA134" s="3">
        <v>8</v>
      </c>
      <c r="AB134" s="3">
        <v>7</v>
      </c>
      <c r="AC134" s="3">
        <v>3</v>
      </c>
      <c r="AD134" s="3">
        <v>1</v>
      </c>
      <c r="AE134" s="3">
        <v>1</v>
      </c>
      <c r="AF134" s="3">
        <v>0</v>
      </c>
      <c r="AG134" s="3">
        <v>12</v>
      </c>
      <c r="AH134" s="3">
        <v>10</v>
      </c>
      <c r="AI134" s="3">
        <v>5</v>
      </c>
      <c r="AJ134" s="3">
        <v>4</v>
      </c>
      <c r="AK134" s="3">
        <v>1</v>
      </c>
      <c r="AL134" s="3">
        <v>1</v>
      </c>
      <c r="AM134" s="3">
        <f>IF(Tabela2[[#This Row],[gols_mandante]]=Tabela2[[#This Row],[gols_visitante]],1,0)</f>
        <v>0</v>
      </c>
      <c r="AN134" s="3">
        <f>IF(Tabela2[[#This Row],[gols_mandante]]&gt;Tabela2[[#This Row],[gols_visitante]],1,0)</f>
        <v>1</v>
      </c>
      <c r="AO134" s="3">
        <f>IF(Tabela2[[#This Row],[gols_mandante]]&lt;Tabela2[[#This Row],[gols_visitante]],1,0)</f>
        <v>0</v>
      </c>
      <c r="AP134" s="3" t="s">
        <v>262</v>
      </c>
      <c r="AQ134" s="3">
        <v>0</v>
      </c>
    </row>
    <row r="135" spans="1:43" x14ac:dyDescent="0.25">
      <c r="A135" s="5">
        <v>2024</v>
      </c>
      <c r="B135" s="4">
        <v>45529</v>
      </c>
      <c r="C135" s="5">
        <v>24</v>
      </c>
      <c r="D135" s="5">
        <v>32068</v>
      </c>
      <c r="E135" s="5">
        <v>46000</v>
      </c>
      <c r="F135" s="5" t="str">
        <f t="shared" si="8"/>
        <v>&gt;=30.000</v>
      </c>
      <c r="G135" s="5">
        <f>Tabela2[[#This Row],[publico]]/Tabela2[[#This Row],[publico_max]]</f>
        <v>0.69713043478260872</v>
      </c>
      <c r="H135" s="5" t="s">
        <v>89</v>
      </c>
      <c r="I135" s="5" t="s">
        <v>55</v>
      </c>
      <c r="J135" s="5">
        <v>10</v>
      </c>
      <c r="K135" s="3" t="str">
        <f t="shared" si="9"/>
        <v>6-10 (intermediário)</v>
      </c>
      <c r="L135" s="5">
        <v>16</v>
      </c>
      <c r="M135" s="3">
        <f t="shared" si="10"/>
        <v>6</v>
      </c>
      <c r="N135" s="5">
        <v>3550</v>
      </c>
      <c r="O135" s="3" t="str">
        <f t="shared" si="11"/>
        <v>3.501–7.000 (intermediário)</v>
      </c>
      <c r="P135" s="5">
        <v>5840</v>
      </c>
      <c r="Q135" s="5" t="s">
        <v>74</v>
      </c>
      <c r="R135" s="5" t="s">
        <v>205</v>
      </c>
      <c r="S135" s="5">
        <v>0</v>
      </c>
      <c r="T135" s="5">
        <v>2</v>
      </c>
      <c r="U135" s="5">
        <v>0</v>
      </c>
      <c r="V135" s="5">
        <v>1</v>
      </c>
      <c r="W135" s="5">
        <v>5</v>
      </c>
      <c r="X135" s="5">
        <v>2</v>
      </c>
      <c r="Y135" s="5">
        <v>19</v>
      </c>
      <c r="Z135" s="5">
        <v>7</v>
      </c>
      <c r="AA135" s="5">
        <v>7</v>
      </c>
      <c r="AB135" s="5">
        <v>19</v>
      </c>
      <c r="AC135" s="5">
        <v>5</v>
      </c>
      <c r="AD135" s="5">
        <v>0</v>
      </c>
      <c r="AE135" s="5">
        <v>1</v>
      </c>
      <c r="AF135" s="5">
        <v>0</v>
      </c>
      <c r="AG135" s="5">
        <v>19</v>
      </c>
      <c r="AH135" s="5">
        <v>8</v>
      </c>
      <c r="AI135" s="5">
        <v>14</v>
      </c>
      <c r="AJ135" s="5">
        <v>1</v>
      </c>
      <c r="AK135" s="5">
        <v>-2</v>
      </c>
      <c r="AL135" s="5">
        <v>0</v>
      </c>
      <c r="AM135" s="5">
        <f>IF(Tabela2[[#This Row],[gols_mandante]]=Tabela2[[#This Row],[gols_visitante]],1,0)</f>
        <v>0</v>
      </c>
      <c r="AN135" s="5">
        <f>IF(Tabela2[[#This Row],[gols_mandante]]&gt;Tabela2[[#This Row],[gols_visitante]],1,0)</f>
        <v>0</v>
      </c>
      <c r="AO135" s="5">
        <f>IF(Tabela2[[#This Row],[gols_mandante]]&lt;Tabela2[[#This Row],[gols_visitante]],1,0)</f>
        <v>1</v>
      </c>
      <c r="AP135" s="5" t="s">
        <v>247</v>
      </c>
      <c r="AQ135" s="5">
        <v>0</v>
      </c>
    </row>
    <row r="136" spans="1:43" x14ac:dyDescent="0.25">
      <c r="A136" s="3">
        <v>2024</v>
      </c>
      <c r="B136" s="2">
        <v>45529</v>
      </c>
      <c r="C136" s="3">
        <v>24</v>
      </c>
      <c r="D136" s="3">
        <v>40198</v>
      </c>
      <c r="E136" s="3">
        <v>47364</v>
      </c>
      <c r="F136" s="3" t="str">
        <f t="shared" si="8"/>
        <v>&gt;=30.000</v>
      </c>
      <c r="G136" s="3">
        <f>Tabela2[[#This Row],[publico]]/Tabela2[[#This Row],[publico_max]]</f>
        <v>0.84870365678574444</v>
      </c>
      <c r="H136" s="3" t="s">
        <v>38</v>
      </c>
      <c r="I136" s="3" t="s">
        <v>51</v>
      </c>
      <c r="J136" s="3">
        <v>6</v>
      </c>
      <c r="K136" s="3" t="str">
        <f t="shared" si="9"/>
        <v>6-10 (intermediário)</v>
      </c>
      <c r="L136" s="3">
        <v>2</v>
      </c>
      <c r="M136" s="3">
        <f t="shared" si="10"/>
        <v>-4</v>
      </c>
      <c r="N136" s="3">
        <v>3745</v>
      </c>
      <c r="O136" s="3" t="str">
        <f t="shared" si="11"/>
        <v>3.501–7.000 (intermediário)</v>
      </c>
      <c r="P136" s="3">
        <v>6220</v>
      </c>
      <c r="Q136" s="3" t="s">
        <v>100</v>
      </c>
      <c r="R136" s="3" t="s">
        <v>98</v>
      </c>
      <c r="S136" s="3">
        <v>0</v>
      </c>
      <c r="T136" s="3">
        <v>0</v>
      </c>
      <c r="U136" s="3">
        <v>0</v>
      </c>
      <c r="V136" s="3">
        <v>0</v>
      </c>
      <c r="W136" s="3">
        <v>4</v>
      </c>
      <c r="X136" s="3">
        <v>7</v>
      </c>
      <c r="Y136" s="3">
        <v>19</v>
      </c>
      <c r="Z136" s="3">
        <v>21</v>
      </c>
      <c r="AA136" s="3">
        <v>21</v>
      </c>
      <c r="AB136" s="3">
        <v>19</v>
      </c>
      <c r="AC136" s="3">
        <v>5</v>
      </c>
      <c r="AD136" s="3">
        <v>7</v>
      </c>
      <c r="AE136" s="3">
        <v>3</v>
      </c>
      <c r="AF136" s="3">
        <v>2</v>
      </c>
      <c r="AG136" s="3">
        <v>17</v>
      </c>
      <c r="AH136" s="3">
        <v>14</v>
      </c>
      <c r="AI136" s="3">
        <v>9</v>
      </c>
      <c r="AJ136" s="3">
        <v>4</v>
      </c>
      <c r="AK136" s="3">
        <v>0</v>
      </c>
      <c r="AL136" s="3">
        <v>0</v>
      </c>
      <c r="AM136" s="3">
        <f>IF(Tabela2[[#This Row],[gols_mandante]]=Tabela2[[#This Row],[gols_visitante]],1,0)</f>
        <v>1</v>
      </c>
      <c r="AN136" s="3">
        <f>IF(Tabela2[[#This Row],[gols_mandante]]&gt;Tabela2[[#This Row],[gols_visitante]],1,0)</f>
        <v>0</v>
      </c>
      <c r="AO136" s="3">
        <f>IF(Tabela2[[#This Row],[gols_mandante]]&lt;Tabela2[[#This Row],[gols_visitante]],1,0)</f>
        <v>0</v>
      </c>
      <c r="AP136" s="3" t="s">
        <v>263</v>
      </c>
      <c r="AQ136" s="3">
        <v>0</v>
      </c>
    </row>
    <row r="137" spans="1:43" x14ac:dyDescent="0.25">
      <c r="A137" s="5">
        <v>2024</v>
      </c>
      <c r="B137" s="4">
        <v>45529</v>
      </c>
      <c r="C137" s="5">
        <v>24</v>
      </c>
      <c r="D137" s="5">
        <v>51297</v>
      </c>
      <c r="E137" s="5">
        <v>60326</v>
      </c>
      <c r="F137" s="5" t="str">
        <f t="shared" si="8"/>
        <v>&gt;=30.000</v>
      </c>
      <c r="G137" s="5">
        <f>Tabela2[[#This Row],[publico]]/Tabela2[[#This Row],[publico_max]]</f>
        <v>0.85032987434936846</v>
      </c>
      <c r="H137" s="5" t="s">
        <v>63</v>
      </c>
      <c r="I137" s="5" t="s">
        <v>88</v>
      </c>
      <c r="J137" s="5">
        <v>1</v>
      </c>
      <c r="K137" s="3" t="str">
        <f t="shared" si="9"/>
        <v>1-5 (elite)</v>
      </c>
      <c r="L137" s="5">
        <v>18</v>
      </c>
      <c r="M137" s="3">
        <f t="shared" si="10"/>
        <v>17</v>
      </c>
      <c r="N137" s="5">
        <v>1605</v>
      </c>
      <c r="O137" s="3" t="str">
        <f t="shared" si="11"/>
        <v>1.501–3.500 (mediano)</v>
      </c>
      <c r="P137" s="5">
        <v>3530</v>
      </c>
      <c r="Q137" s="5" t="s">
        <v>208</v>
      </c>
      <c r="R137" s="5">
        <v>26</v>
      </c>
      <c r="S137" s="5">
        <v>1</v>
      </c>
      <c r="T137" s="5">
        <v>0</v>
      </c>
      <c r="U137" s="5">
        <v>0</v>
      </c>
      <c r="V137" s="5">
        <v>0</v>
      </c>
      <c r="W137" s="5">
        <v>3</v>
      </c>
      <c r="X137" s="5">
        <v>9</v>
      </c>
      <c r="Y137" s="5">
        <v>14</v>
      </c>
      <c r="Z137" s="5">
        <v>16</v>
      </c>
      <c r="AA137" s="5">
        <v>15</v>
      </c>
      <c r="AB137" s="5">
        <v>14</v>
      </c>
      <c r="AC137" s="5">
        <v>3</v>
      </c>
      <c r="AD137" s="5">
        <v>4</v>
      </c>
      <c r="AE137" s="5">
        <v>2</v>
      </c>
      <c r="AF137" s="5">
        <v>2</v>
      </c>
      <c r="AG137" s="5">
        <v>8</v>
      </c>
      <c r="AH137" s="5">
        <v>12</v>
      </c>
      <c r="AI137" s="5">
        <v>3</v>
      </c>
      <c r="AJ137" s="5">
        <v>2</v>
      </c>
      <c r="AK137" s="5">
        <v>1</v>
      </c>
      <c r="AL137" s="5">
        <v>1</v>
      </c>
      <c r="AM137" s="5">
        <f>IF(Tabela2[[#This Row],[gols_mandante]]=Tabela2[[#This Row],[gols_visitante]],1,0)</f>
        <v>0</v>
      </c>
      <c r="AN137" s="5">
        <f>IF(Tabela2[[#This Row],[gols_mandante]]&gt;Tabela2[[#This Row],[gols_visitante]],1,0)</f>
        <v>1</v>
      </c>
      <c r="AO137" s="5">
        <f>IF(Tabela2[[#This Row],[gols_mandante]]&lt;Tabela2[[#This Row],[gols_visitante]],1,0)</f>
        <v>0</v>
      </c>
      <c r="AP137" s="5" t="s">
        <v>102</v>
      </c>
      <c r="AQ137" s="5">
        <v>0</v>
      </c>
    </row>
    <row r="138" spans="1:43" x14ac:dyDescent="0.25">
      <c r="A138" s="3">
        <v>2024</v>
      </c>
      <c r="B138" s="2">
        <v>45529</v>
      </c>
      <c r="C138" s="3">
        <v>24</v>
      </c>
      <c r="D138" s="3">
        <v>17377</v>
      </c>
      <c r="E138" s="3">
        <v>19225</v>
      </c>
      <c r="F138" s="3" t="str">
        <f t="shared" si="8"/>
        <v>&gt;=30.000</v>
      </c>
      <c r="G138" s="3">
        <f>Tabela2[[#This Row],[publico]]/Tabela2[[#This Row],[publico_max]]</f>
        <v>0.90387516254876465</v>
      </c>
      <c r="H138" s="3" t="s">
        <v>43</v>
      </c>
      <c r="I138" s="3" t="s">
        <v>83</v>
      </c>
      <c r="J138" s="3">
        <v>12</v>
      </c>
      <c r="K138" s="3" t="str">
        <f t="shared" si="9"/>
        <v>11-15 (mediano)</v>
      </c>
      <c r="L138" s="3">
        <v>15</v>
      </c>
      <c r="M138" s="3">
        <f t="shared" si="10"/>
        <v>3</v>
      </c>
      <c r="N138" s="3">
        <v>805</v>
      </c>
      <c r="O138" s="3" t="str">
        <f t="shared" si="11"/>
        <v>1–1.500 (rebaixamento)</v>
      </c>
      <c r="P138" s="3">
        <v>4190</v>
      </c>
      <c r="Q138" s="3">
        <v>31</v>
      </c>
      <c r="R138" s="3" t="s">
        <v>92</v>
      </c>
      <c r="S138" s="3">
        <v>0</v>
      </c>
      <c r="T138" s="3">
        <v>1</v>
      </c>
      <c r="U138" s="3">
        <v>0</v>
      </c>
      <c r="V138" s="3">
        <v>0</v>
      </c>
      <c r="W138" s="3">
        <v>6</v>
      </c>
      <c r="X138" s="3">
        <v>9</v>
      </c>
      <c r="Y138" s="3">
        <v>15</v>
      </c>
      <c r="Z138" s="3">
        <v>8</v>
      </c>
      <c r="AA138" s="3">
        <v>8</v>
      </c>
      <c r="AB138" s="3">
        <v>15</v>
      </c>
      <c r="AC138" s="3">
        <v>3</v>
      </c>
      <c r="AD138" s="3">
        <v>4</v>
      </c>
      <c r="AE138" s="3">
        <v>3</v>
      </c>
      <c r="AF138" s="3">
        <v>4</v>
      </c>
      <c r="AG138" s="3">
        <v>19</v>
      </c>
      <c r="AH138" s="3">
        <v>14</v>
      </c>
      <c r="AI138" s="3">
        <v>9</v>
      </c>
      <c r="AJ138" s="3">
        <v>3</v>
      </c>
      <c r="AK138" s="3">
        <v>-1</v>
      </c>
      <c r="AL138" s="3">
        <v>0</v>
      </c>
      <c r="AM138" s="3">
        <f>IF(Tabela2[[#This Row],[gols_mandante]]=Tabela2[[#This Row],[gols_visitante]],1,0)</f>
        <v>0</v>
      </c>
      <c r="AN138" s="3">
        <f>IF(Tabela2[[#This Row],[gols_mandante]]&gt;Tabela2[[#This Row],[gols_visitante]],1,0)</f>
        <v>0</v>
      </c>
      <c r="AO138" s="3">
        <f>IF(Tabela2[[#This Row],[gols_mandante]]&lt;Tabela2[[#This Row],[gols_visitante]],1,0)</f>
        <v>1</v>
      </c>
      <c r="AP138" s="3" t="s">
        <v>264</v>
      </c>
      <c r="AQ138" s="3">
        <v>0</v>
      </c>
    </row>
    <row r="139" spans="1:43" x14ac:dyDescent="0.25">
      <c r="A139" s="5">
        <v>2024</v>
      </c>
      <c r="B139" s="4">
        <v>45530</v>
      </c>
      <c r="C139" s="5">
        <v>24</v>
      </c>
      <c r="D139" s="5">
        <v>26634</v>
      </c>
      <c r="E139" s="5">
        <v>50848</v>
      </c>
      <c r="F139" s="5" t="str">
        <f t="shared" si="8"/>
        <v>15.000-19.999</v>
      </c>
      <c r="G139" s="5">
        <f>Tabela2[[#This Row],[publico]]/Tabela2[[#This Row],[publico_max]]</f>
        <v>0.52379641283826306</v>
      </c>
      <c r="H139" s="5" t="s">
        <v>37</v>
      </c>
      <c r="I139" s="5" t="s">
        <v>50</v>
      </c>
      <c r="J139" s="5">
        <v>9</v>
      </c>
      <c r="K139" s="3" t="str">
        <f t="shared" si="9"/>
        <v>6-10 (intermediário)</v>
      </c>
      <c r="L139" s="5">
        <v>7</v>
      </c>
      <c r="M139" s="3">
        <f t="shared" si="10"/>
        <v>-2</v>
      </c>
      <c r="N139" s="5">
        <v>3315</v>
      </c>
      <c r="O139" s="3" t="str">
        <f t="shared" si="11"/>
        <v>1.501–3.500 (mediano)</v>
      </c>
      <c r="P139" s="5">
        <v>3660</v>
      </c>
      <c r="Q139" s="5" t="s">
        <v>135</v>
      </c>
      <c r="R139" s="5" t="s">
        <v>105</v>
      </c>
      <c r="S139" s="5">
        <v>1</v>
      </c>
      <c r="T139" s="5">
        <v>0</v>
      </c>
      <c r="U139" s="5">
        <v>0</v>
      </c>
      <c r="V139" s="5">
        <v>0</v>
      </c>
      <c r="W139" s="5">
        <v>12</v>
      </c>
      <c r="X139" s="5">
        <v>3</v>
      </c>
      <c r="Y139" s="5">
        <v>12</v>
      </c>
      <c r="Z139" s="5">
        <v>9</v>
      </c>
      <c r="AA139" s="5">
        <v>9</v>
      </c>
      <c r="AB139" s="5">
        <v>12</v>
      </c>
      <c r="AC139" s="5">
        <v>3</v>
      </c>
      <c r="AD139" s="5">
        <v>8</v>
      </c>
      <c r="AE139" s="5">
        <v>0</v>
      </c>
      <c r="AF139" s="5">
        <v>0</v>
      </c>
      <c r="AG139" s="5">
        <v>19</v>
      </c>
      <c r="AH139" s="5">
        <v>5</v>
      </c>
      <c r="AI139" s="5">
        <v>8</v>
      </c>
      <c r="AJ139" s="5">
        <v>2</v>
      </c>
      <c r="AK139" s="5">
        <v>1</v>
      </c>
      <c r="AL139" s="5">
        <v>1</v>
      </c>
      <c r="AM139" s="5">
        <f>IF(Tabela2[[#This Row],[gols_mandante]]=Tabela2[[#This Row],[gols_visitante]],1,0)</f>
        <v>0</v>
      </c>
      <c r="AN139" s="5">
        <f>IF(Tabela2[[#This Row],[gols_mandante]]&gt;Tabela2[[#This Row],[gols_visitante]],1,0)</f>
        <v>1</v>
      </c>
      <c r="AO139" s="5">
        <f>IF(Tabela2[[#This Row],[gols_mandante]]&lt;Tabela2[[#This Row],[gols_visitante]],1,0)</f>
        <v>0</v>
      </c>
      <c r="AP139" s="5" t="s">
        <v>265</v>
      </c>
      <c r="AQ139" s="5">
        <v>0</v>
      </c>
    </row>
    <row r="140" spans="1:43" x14ac:dyDescent="0.25">
      <c r="A140" s="3">
        <v>2024</v>
      </c>
      <c r="B140" s="2">
        <v>45530</v>
      </c>
      <c r="C140" s="3">
        <v>24</v>
      </c>
      <c r="D140" s="3">
        <v>28159</v>
      </c>
      <c r="E140" s="3">
        <v>78838</v>
      </c>
      <c r="F140" s="3" t="str">
        <f t="shared" si="8"/>
        <v>20.000-29.999</v>
      </c>
      <c r="G140" s="3">
        <f>Tabela2[[#This Row],[publico]]/Tabela2[[#This Row],[publico_max]]</f>
        <v>0.35717547375631042</v>
      </c>
      <c r="H140" s="3" t="s">
        <v>77</v>
      </c>
      <c r="I140" s="3" t="s">
        <v>56</v>
      </c>
      <c r="J140" s="3">
        <v>3</v>
      </c>
      <c r="K140" s="3" t="str">
        <f t="shared" si="9"/>
        <v>1-5 (elite)</v>
      </c>
      <c r="L140" s="3">
        <v>14</v>
      </c>
      <c r="M140" s="3">
        <f t="shared" si="10"/>
        <v>11</v>
      </c>
      <c r="N140" s="3">
        <v>6520</v>
      </c>
      <c r="O140" s="3" t="str">
        <f t="shared" si="11"/>
        <v>3.501–7.000 (intermediário)</v>
      </c>
      <c r="P140" s="3">
        <v>3150</v>
      </c>
      <c r="Q140" s="3" t="s">
        <v>105</v>
      </c>
      <c r="R140" s="3" t="s">
        <v>60</v>
      </c>
      <c r="S140" s="3">
        <v>2</v>
      </c>
      <c r="T140" s="3">
        <v>1</v>
      </c>
      <c r="U140" s="3">
        <v>1</v>
      </c>
      <c r="V140" s="3">
        <v>0</v>
      </c>
      <c r="W140" s="3">
        <v>6</v>
      </c>
      <c r="X140" s="3">
        <v>10</v>
      </c>
      <c r="Y140" s="3">
        <v>13</v>
      </c>
      <c r="Z140" s="3">
        <v>12</v>
      </c>
      <c r="AA140" s="3">
        <v>12</v>
      </c>
      <c r="AB140" s="3">
        <v>13</v>
      </c>
      <c r="AC140" s="3">
        <v>1</v>
      </c>
      <c r="AD140" s="3">
        <v>6</v>
      </c>
      <c r="AE140" s="3">
        <v>1</v>
      </c>
      <c r="AF140" s="3">
        <v>1</v>
      </c>
      <c r="AG140" s="3">
        <v>13</v>
      </c>
      <c r="AH140" s="3">
        <v>12</v>
      </c>
      <c r="AI140" s="3">
        <v>2</v>
      </c>
      <c r="AJ140" s="3">
        <v>9</v>
      </c>
      <c r="AK140" s="3">
        <v>1</v>
      </c>
      <c r="AL140" s="3">
        <v>1</v>
      </c>
      <c r="AM140" s="3">
        <f>IF(Tabela2[[#This Row],[gols_mandante]]=Tabela2[[#This Row],[gols_visitante]],1,0)</f>
        <v>0</v>
      </c>
      <c r="AN140" s="3">
        <f>IF(Tabela2[[#This Row],[gols_mandante]]&gt;Tabela2[[#This Row],[gols_visitante]],1,0)</f>
        <v>1</v>
      </c>
      <c r="AO140" s="3">
        <f>IF(Tabela2[[#This Row],[gols_mandante]]&lt;Tabela2[[#This Row],[gols_visitante]],1,0)</f>
        <v>0</v>
      </c>
      <c r="AP140" s="3" t="s">
        <v>266</v>
      </c>
      <c r="AQ140" s="3">
        <v>0</v>
      </c>
    </row>
    <row r="141" spans="1:43" x14ac:dyDescent="0.25">
      <c r="A141" s="5">
        <v>2024</v>
      </c>
      <c r="B141" s="4">
        <v>45531</v>
      </c>
      <c r="C141" s="5">
        <v>24</v>
      </c>
      <c r="D141" s="5">
        <v>16775</v>
      </c>
      <c r="E141" s="5">
        <v>24584</v>
      </c>
      <c r="F141" s="5" t="str">
        <f t="shared" si="8"/>
        <v>20.000-29.999</v>
      </c>
      <c r="G141" s="5">
        <f>Tabela2[[#This Row],[publico]]/Tabela2[[#This Row],[publico_max]]</f>
        <v>0.68235437683045885</v>
      </c>
      <c r="H141" s="5" t="s">
        <v>82</v>
      </c>
      <c r="I141" s="5" t="s">
        <v>69</v>
      </c>
      <c r="J141" s="5">
        <v>8</v>
      </c>
      <c r="K141" s="3" t="str">
        <f t="shared" si="9"/>
        <v>6-10 (intermediário)</v>
      </c>
      <c r="L141" s="5">
        <v>11</v>
      </c>
      <c r="M141" s="3">
        <f t="shared" si="10"/>
        <v>3</v>
      </c>
      <c r="N141" s="5">
        <v>2980</v>
      </c>
      <c r="O141" s="3" t="str">
        <f t="shared" si="11"/>
        <v>1.501–3.500 (mediano)</v>
      </c>
      <c r="P141" s="5">
        <v>2820</v>
      </c>
      <c r="Q141" s="5" t="s">
        <v>129</v>
      </c>
      <c r="R141" s="5" t="s">
        <v>116</v>
      </c>
      <c r="S141" s="5">
        <v>2</v>
      </c>
      <c r="T141" s="5">
        <v>1</v>
      </c>
      <c r="U141" s="5">
        <v>0</v>
      </c>
      <c r="V141" s="5">
        <v>1</v>
      </c>
      <c r="W141" s="5">
        <v>4</v>
      </c>
      <c r="X141" s="5">
        <v>5</v>
      </c>
      <c r="Y141" s="5">
        <v>10</v>
      </c>
      <c r="Z141" s="5">
        <v>11</v>
      </c>
      <c r="AA141" s="5">
        <v>11</v>
      </c>
      <c r="AB141" s="5">
        <v>9</v>
      </c>
      <c r="AC141" s="5">
        <v>3</v>
      </c>
      <c r="AD141" s="5">
        <v>2</v>
      </c>
      <c r="AE141" s="5">
        <v>4</v>
      </c>
      <c r="AF141" s="5">
        <v>1</v>
      </c>
      <c r="AG141" s="5">
        <v>7</v>
      </c>
      <c r="AH141" s="5">
        <v>9</v>
      </c>
      <c r="AI141" s="5">
        <v>1</v>
      </c>
      <c r="AJ141" s="5">
        <v>4</v>
      </c>
      <c r="AK141" s="5">
        <v>1</v>
      </c>
      <c r="AL141" s="5">
        <v>1</v>
      </c>
      <c r="AM141" s="5">
        <f>IF(Tabela2[[#This Row],[gols_mandante]]=Tabela2[[#This Row],[gols_visitante]],1,0)</f>
        <v>0</v>
      </c>
      <c r="AN141" s="5">
        <f>IF(Tabela2[[#This Row],[gols_mandante]]&gt;Tabela2[[#This Row],[gols_visitante]],1,0)</f>
        <v>1</v>
      </c>
      <c r="AO141" s="5">
        <f>IF(Tabela2[[#This Row],[gols_mandante]]&lt;Tabela2[[#This Row],[gols_visitante]],1,0)</f>
        <v>0</v>
      </c>
      <c r="AP141" s="5" t="s">
        <v>262</v>
      </c>
      <c r="AQ141" s="5">
        <v>0</v>
      </c>
    </row>
    <row r="142" spans="1:43" x14ac:dyDescent="0.25">
      <c r="A142" s="3">
        <v>2024</v>
      </c>
      <c r="B142" s="2">
        <v>45535</v>
      </c>
      <c r="C142" s="3">
        <v>25</v>
      </c>
      <c r="D142" s="3">
        <v>4095</v>
      </c>
      <c r="E142" s="3">
        <v>42968</v>
      </c>
      <c r="F142" s="3" t="str">
        <f t="shared" si="8"/>
        <v>15.000-19.999</v>
      </c>
      <c r="G142" s="3">
        <f>Tabela2[[#This Row],[publico]]/Tabela2[[#This Row],[publico_max]]</f>
        <v>9.5303481660770809E-2</v>
      </c>
      <c r="H142" s="3" t="s">
        <v>70</v>
      </c>
      <c r="I142" s="3" t="s">
        <v>43</v>
      </c>
      <c r="J142" s="3">
        <v>19</v>
      </c>
      <c r="K142" s="3" t="str">
        <f t="shared" si="9"/>
        <v>16-20 (rebaixamento)</v>
      </c>
      <c r="L142" s="3">
        <v>13</v>
      </c>
      <c r="M142" s="3">
        <f t="shared" si="10"/>
        <v>-6</v>
      </c>
      <c r="N142" s="3">
        <v>1355</v>
      </c>
      <c r="O142" s="3" t="str">
        <f t="shared" si="11"/>
        <v>1–1.500 (rebaixamento)</v>
      </c>
      <c r="P142" s="3">
        <v>763</v>
      </c>
      <c r="Q142" s="3" t="s">
        <v>120</v>
      </c>
      <c r="R142" s="3" t="s">
        <v>200</v>
      </c>
      <c r="S142" s="3">
        <v>2</v>
      </c>
      <c r="T142" s="3">
        <v>1</v>
      </c>
      <c r="U142" s="3">
        <v>0</v>
      </c>
      <c r="V142" s="3">
        <v>1</v>
      </c>
      <c r="W142" s="3">
        <v>5</v>
      </c>
      <c r="X142" s="3">
        <v>5</v>
      </c>
      <c r="Y142" s="3">
        <v>16</v>
      </c>
      <c r="Z142" s="3">
        <v>9</v>
      </c>
      <c r="AA142" s="3">
        <v>8</v>
      </c>
      <c r="AB142" s="3">
        <v>16</v>
      </c>
      <c r="AC142" s="3">
        <v>3</v>
      </c>
      <c r="AD142" s="3">
        <v>1</v>
      </c>
      <c r="AE142" s="3">
        <v>0</v>
      </c>
      <c r="AF142" s="3">
        <v>3</v>
      </c>
      <c r="AG142" s="3">
        <v>22</v>
      </c>
      <c r="AH142" s="3">
        <v>12</v>
      </c>
      <c r="AI142" s="3">
        <v>12</v>
      </c>
      <c r="AJ142" s="3">
        <v>6</v>
      </c>
      <c r="AK142" s="3">
        <v>1</v>
      </c>
      <c r="AL142" s="3">
        <v>1</v>
      </c>
      <c r="AM142" s="3">
        <f>IF(Tabela2[[#This Row],[gols_mandante]]=Tabela2[[#This Row],[gols_visitante]],1,0)</f>
        <v>0</v>
      </c>
      <c r="AN142" s="3">
        <f>IF(Tabela2[[#This Row],[gols_mandante]]&gt;Tabela2[[#This Row],[gols_visitante]],1,0)</f>
        <v>1</v>
      </c>
      <c r="AO142" s="3">
        <f>IF(Tabela2[[#This Row],[gols_mandante]]&lt;Tabela2[[#This Row],[gols_visitante]],1,0)</f>
        <v>0</v>
      </c>
      <c r="AP142" s="3" t="s">
        <v>243</v>
      </c>
      <c r="AQ142" s="3">
        <v>0</v>
      </c>
    </row>
    <row r="143" spans="1:43" x14ac:dyDescent="0.25">
      <c r="A143" s="5">
        <v>2024</v>
      </c>
      <c r="B143" s="4">
        <v>45536</v>
      </c>
      <c r="C143" s="5">
        <v>25</v>
      </c>
      <c r="D143" s="5">
        <v>32564</v>
      </c>
      <c r="E143" s="5">
        <v>46931</v>
      </c>
      <c r="F143" s="5" t="str">
        <f t="shared" si="8"/>
        <v>0-4.999</v>
      </c>
      <c r="G143" s="5">
        <f>Tabela2[[#This Row],[publico]]/Tabela2[[#This Row],[publico_max]]</f>
        <v>0.69386972363682853</v>
      </c>
      <c r="H143" s="5" t="s">
        <v>51</v>
      </c>
      <c r="I143" s="5" t="s">
        <v>63</v>
      </c>
      <c r="J143" s="5">
        <v>1</v>
      </c>
      <c r="K143" s="3" t="str">
        <f t="shared" si="9"/>
        <v>1-5 (elite)</v>
      </c>
      <c r="L143" s="5">
        <v>2</v>
      </c>
      <c r="M143" s="3">
        <f t="shared" si="10"/>
        <v>1</v>
      </c>
      <c r="N143" s="5">
        <v>6080</v>
      </c>
      <c r="O143" s="3" t="str">
        <f t="shared" si="11"/>
        <v>3.501–7.000 (intermediário)</v>
      </c>
      <c r="P143" s="5">
        <v>1480</v>
      </c>
      <c r="Q143" s="5" t="s">
        <v>104</v>
      </c>
      <c r="R143" s="5" t="s">
        <v>142</v>
      </c>
      <c r="S143" s="5">
        <v>2</v>
      </c>
      <c r="T143" s="5">
        <v>0</v>
      </c>
      <c r="U143" s="5">
        <v>0</v>
      </c>
      <c r="V143" s="5">
        <v>0</v>
      </c>
      <c r="W143" s="5">
        <v>9</v>
      </c>
      <c r="X143" s="5">
        <v>6</v>
      </c>
      <c r="Y143" s="5">
        <v>13</v>
      </c>
      <c r="Z143" s="5">
        <v>8</v>
      </c>
      <c r="AA143" s="5">
        <v>8</v>
      </c>
      <c r="AB143" s="5">
        <v>12</v>
      </c>
      <c r="AC143" s="5">
        <v>1</v>
      </c>
      <c r="AD143" s="5">
        <v>5</v>
      </c>
      <c r="AE143" s="5">
        <v>2</v>
      </c>
      <c r="AF143" s="5">
        <v>0</v>
      </c>
      <c r="AG143" s="5">
        <v>22</v>
      </c>
      <c r="AH143" s="5">
        <v>10</v>
      </c>
      <c r="AI143" s="5">
        <v>8</v>
      </c>
      <c r="AJ143" s="5">
        <v>5</v>
      </c>
      <c r="AK143" s="5">
        <v>2</v>
      </c>
      <c r="AL143" s="5">
        <v>1</v>
      </c>
      <c r="AM143" s="5">
        <f>IF(Tabela2[[#This Row],[gols_mandante]]=Tabela2[[#This Row],[gols_visitante]],1,0)</f>
        <v>0</v>
      </c>
      <c r="AN143" s="5">
        <f>IF(Tabela2[[#This Row],[gols_mandante]]&gt;Tabela2[[#This Row],[gols_visitante]],1,0)</f>
        <v>1</v>
      </c>
      <c r="AO143" s="5">
        <f>IF(Tabela2[[#This Row],[gols_mandante]]&lt;Tabela2[[#This Row],[gols_visitante]],1,0)</f>
        <v>0</v>
      </c>
      <c r="AP143" s="5" t="s">
        <v>245</v>
      </c>
      <c r="AQ143" s="5">
        <v>0</v>
      </c>
    </row>
    <row r="144" spans="1:43" x14ac:dyDescent="0.25">
      <c r="A144" s="3">
        <v>2024</v>
      </c>
      <c r="B144" s="2">
        <v>45536</v>
      </c>
      <c r="C144" s="3">
        <v>25</v>
      </c>
      <c r="D144" s="3">
        <v>45759</v>
      </c>
      <c r="E144" s="3">
        <v>82238</v>
      </c>
      <c r="F144" s="3" t="str">
        <f t="shared" si="8"/>
        <v>&gt;=30.000</v>
      </c>
      <c r="G144" s="3">
        <f>Tabela2[[#This Row],[publico]]/Tabela2[[#This Row],[publico_max]]</f>
        <v>0.55642160558379339</v>
      </c>
      <c r="H144" s="3" t="s">
        <v>55</v>
      </c>
      <c r="I144" s="3" t="s">
        <v>62</v>
      </c>
      <c r="J144" s="3">
        <v>14</v>
      </c>
      <c r="K144" s="3" t="str">
        <f t="shared" si="9"/>
        <v>11-15 (mediano)</v>
      </c>
      <c r="L144" s="3">
        <v>6</v>
      </c>
      <c r="M144" s="3">
        <f t="shared" si="10"/>
        <v>-8</v>
      </c>
      <c r="N144" s="3">
        <v>2585</v>
      </c>
      <c r="O144" s="3" t="str">
        <f t="shared" si="11"/>
        <v>1.501–3.500 (mediano)</v>
      </c>
      <c r="P144" s="3">
        <v>1975</v>
      </c>
      <c r="Q144" s="3" t="s">
        <v>138</v>
      </c>
      <c r="R144" s="3" t="s">
        <v>144</v>
      </c>
      <c r="S144" s="3">
        <v>2</v>
      </c>
      <c r="T144" s="3">
        <v>0</v>
      </c>
      <c r="U144" s="3">
        <v>1</v>
      </c>
      <c r="V144" s="3">
        <v>0</v>
      </c>
      <c r="W144" s="3">
        <v>5</v>
      </c>
      <c r="X144" s="3">
        <v>4</v>
      </c>
      <c r="Y144" s="3">
        <v>13</v>
      </c>
      <c r="Z144" s="3">
        <v>16</v>
      </c>
      <c r="AA144" s="3">
        <v>16</v>
      </c>
      <c r="AB144" s="3">
        <v>12</v>
      </c>
      <c r="AC144" s="3">
        <v>2</v>
      </c>
      <c r="AD144" s="3">
        <v>3</v>
      </c>
      <c r="AE144" s="3">
        <v>0</v>
      </c>
      <c r="AF144" s="3">
        <v>0</v>
      </c>
      <c r="AG144" s="3">
        <v>10</v>
      </c>
      <c r="AH144" s="3">
        <v>15</v>
      </c>
      <c r="AI144" s="3">
        <v>3</v>
      </c>
      <c r="AJ144" s="3">
        <v>6</v>
      </c>
      <c r="AK144" s="3">
        <v>2</v>
      </c>
      <c r="AL144" s="3">
        <v>1</v>
      </c>
      <c r="AM144" s="3">
        <f>IF(Tabela2[[#This Row],[gols_mandante]]=Tabela2[[#This Row],[gols_visitante]],1,0)</f>
        <v>0</v>
      </c>
      <c r="AN144" s="3">
        <f>IF(Tabela2[[#This Row],[gols_mandante]]&gt;Tabela2[[#This Row],[gols_visitante]],1,0)</f>
        <v>1</v>
      </c>
      <c r="AO144" s="3">
        <f>IF(Tabela2[[#This Row],[gols_mandante]]&lt;Tabela2[[#This Row],[gols_visitante]],1,0)</f>
        <v>0</v>
      </c>
      <c r="AP144" s="3" t="s">
        <v>267</v>
      </c>
      <c r="AQ144" s="3">
        <v>0</v>
      </c>
    </row>
    <row r="145" spans="1:43" x14ac:dyDescent="0.25">
      <c r="A145" s="5">
        <v>2024</v>
      </c>
      <c r="B145" s="4">
        <v>45536</v>
      </c>
      <c r="C145" s="5">
        <v>25</v>
      </c>
      <c r="D145" s="5">
        <v>45635</v>
      </c>
      <c r="E145" s="5">
        <v>49205</v>
      </c>
      <c r="F145" s="5" t="str">
        <f t="shared" si="8"/>
        <v>&gt;=30.000</v>
      </c>
      <c r="G145" s="5">
        <f>Tabela2[[#This Row],[publico]]/Tabela2[[#This Row],[publico_max]]</f>
        <v>0.92744639772380855</v>
      </c>
      <c r="H145" s="5" t="s">
        <v>88</v>
      </c>
      <c r="I145" s="5" t="s">
        <v>77</v>
      </c>
      <c r="J145" s="5">
        <v>17</v>
      </c>
      <c r="K145" s="3" t="str">
        <f t="shared" si="9"/>
        <v>16-20 (rebaixamento)</v>
      </c>
      <c r="L145" s="5">
        <v>4</v>
      </c>
      <c r="M145" s="3">
        <f t="shared" si="10"/>
        <v>-13</v>
      </c>
      <c r="N145" s="5">
        <v>3250</v>
      </c>
      <c r="O145" s="3" t="str">
        <f t="shared" si="11"/>
        <v>1.501–3.500 (mediano)</v>
      </c>
      <c r="P145" s="5">
        <v>7890</v>
      </c>
      <c r="Q145" s="5">
        <v>28</v>
      </c>
      <c r="R145" s="5">
        <v>30</v>
      </c>
      <c r="S145" s="5">
        <v>2</v>
      </c>
      <c r="T145" s="5">
        <v>1</v>
      </c>
      <c r="U145" s="5">
        <v>1</v>
      </c>
      <c r="V145" s="5">
        <v>1</v>
      </c>
      <c r="W145" s="5">
        <v>5</v>
      </c>
      <c r="X145" s="5">
        <v>2</v>
      </c>
      <c r="Y145" s="5">
        <v>18</v>
      </c>
      <c r="Z145" s="5">
        <v>18</v>
      </c>
      <c r="AA145" s="5">
        <v>16</v>
      </c>
      <c r="AB145" s="5">
        <v>17</v>
      </c>
      <c r="AC145" s="5">
        <v>2</v>
      </c>
      <c r="AD145" s="5">
        <v>2</v>
      </c>
      <c r="AE145" s="5">
        <v>3</v>
      </c>
      <c r="AF145" s="5">
        <v>0</v>
      </c>
      <c r="AG145" s="5">
        <v>13</v>
      </c>
      <c r="AH145" s="5">
        <v>10</v>
      </c>
      <c r="AI145" s="5">
        <v>6</v>
      </c>
      <c r="AJ145" s="5">
        <v>5</v>
      </c>
      <c r="AK145" s="5">
        <v>1</v>
      </c>
      <c r="AL145" s="5">
        <v>1</v>
      </c>
      <c r="AM145" s="5">
        <f>IF(Tabela2[[#This Row],[gols_mandante]]=Tabela2[[#This Row],[gols_visitante]],1,0)</f>
        <v>0</v>
      </c>
      <c r="AN145" s="5">
        <f>IF(Tabela2[[#This Row],[gols_mandante]]&gt;Tabela2[[#This Row],[gols_visitante]],1,0)</f>
        <v>1</v>
      </c>
      <c r="AO145" s="5">
        <f>IF(Tabela2[[#This Row],[gols_mandante]]&lt;Tabela2[[#This Row],[gols_visitante]],1,0)</f>
        <v>0</v>
      </c>
      <c r="AP145" s="5" t="s">
        <v>231</v>
      </c>
      <c r="AQ145" s="5">
        <v>1</v>
      </c>
    </row>
    <row r="146" spans="1:43" x14ac:dyDescent="0.25">
      <c r="A146" s="3">
        <v>2024</v>
      </c>
      <c r="B146" s="2">
        <v>45536</v>
      </c>
      <c r="C146" s="3">
        <v>25</v>
      </c>
      <c r="D146" s="3">
        <v>10721</v>
      </c>
      <c r="E146" s="3">
        <v>23726</v>
      </c>
      <c r="F146" s="3" t="str">
        <f t="shared" si="8"/>
        <v>&gt;=30.000</v>
      </c>
      <c r="G146" s="3">
        <f>Tabela2[[#This Row],[publico]]/Tabela2[[#This Row],[publico_max]]</f>
        <v>0.45186714996206695</v>
      </c>
      <c r="H146" s="3" t="s">
        <v>44</v>
      </c>
      <c r="I146" s="3" t="s">
        <v>37</v>
      </c>
      <c r="J146" s="3">
        <v>15</v>
      </c>
      <c r="K146" s="3" t="str">
        <f t="shared" si="9"/>
        <v>11-15 (mediano)</v>
      </c>
      <c r="L146" s="3">
        <v>9</v>
      </c>
      <c r="M146" s="3">
        <f t="shared" si="10"/>
        <v>-6</v>
      </c>
      <c r="N146" s="3">
        <v>990</v>
      </c>
      <c r="O146" s="3" t="str">
        <f t="shared" si="11"/>
        <v>1–1.500 (rebaixamento)</v>
      </c>
      <c r="P146" s="3">
        <v>4070</v>
      </c>
      <c r="Q146" s="3" t="s">
        <v>235</v>
      </c>
      <c r="R146" s="3" t="s">
        <v>228</v>
      </c>
      <c r="S146" s="3">
        <v>1</v>
      </c>
      <c r="T146" s="3">
        <v>3</v>
      </c>
      <c r="U146" s="3">
        <v>0</v>
      </c>
      <c r="V146" s="3">
        <v>2</v>
      </c>
      <c r="W146" s="3">
        <v>6</v>
      </c>
      <c r="X146" s="3">
        <v>4</v>
      </c>
      <c r="Y146" s="3">
        <v>13</v>
      </c>
      <c r="Z146" s="3">
        <v>17</v>
      </c>
      <c r="AA146" s="3">
        <v>14</v>
      </c>
      <c r="AB146" s="3">
        <v>13</v>
      </c>
      <c r="AC146" s="3">
        <v>4</v>
      </c>
      <c r="AD146" s="3">
        <v>4</v>
      </c>
      <c r="AE146" s="3">
        <v>0</v>
      </c>
      <c r="AF146" s="3">
        <v>1</v>
      </c>
      <c r="AG146" s="3">
        <v>14</v>
      </c>
      <c r="AH146" s="3">
        <v>18</v>
      </c>
      <c r="AI146" s="3">
        <v>6</v>
      </c>
      <c r="AJ146" s="3">
        <v>8</v>
      </c>
      <c r="AK146" s="3">
        <v>-2</v>
      </c>
      <c r="AL146" s="3">
        <v>0</v>
      </c>
      <c r="AM146" s="3">
        <f>IF(Tabela2[[#This Row],[gols_mandante]]=Tabela2[[#This Row],[gols_visitante]],1,0)</f>
        <v>0</v>
      </c>
      <c r="AN146" s="3">
        <f>IF(Tabela2[[#This Row],[gols_mandante]]&gt;Tabela2[[#This Row],[gols_visitante]],1,0)</f>
        <v>0</v>
      </c>
      <c r="AO146" s="3">
        <f>IF(Tabela2[[#This Row],[gols_mandante]]&lt;Tabela2[[#This Row],[gols_visitante]],1,0)</f>
        <v>1</v>
      </c>
      <c r="AP146" s="3" t="s">
        <v>268</v>
      </c>
      <c r="AQ146" s="3">
        <v>1</v>
      </c>
    </row>
    <row r="147" spans="1:43" x14ac:dyDescent="0.25">
      <c r="A147" s="5">
        <v>2024</v>
      </c>
      <c r="B147" s="4">
        <v>45536</v>
      </c>
      <c r="C147" s="5">
        <v>25</v>
      </c>
      <c r="D147" s="5">
        <v>3921</v>
      </c>
      <c r="E147" s="5">
        <v>15010</v>
      </c>
      <c r="F147" s="5" t="str">
        <f t="shared" si="8"/>
        <v>10.000-14.999</v>
      </c>
      <c r="G147" s="5">
        <f>Tabela2[[#This Row],[publico]]/Tabela2[[#This Row],[publico_max]]</f>
        <v>0.26122584943371085</v>
      </c>
      <c r="H147" s="5" t="s">
        <v>56</v>
      </c>
      <c r="I147" s="5" t="s">
        <v>38</v>
      </c>
      <c r="J147" s="5">
        <v>12</v>
      </c>
      <c r="K147" s="3" t="str">
        <f t="shared" si="9"/>
        <v>11-15 (mediano)</v>
      </c>
      <c r="L147" s="5">
        <v>7</v>
      </c>
      <c r="M147" s="3">
        <f t="shared" si="10"/>
        <v>-5</v>
      </c>
      <c r="N147" s="5">
        <v>4130</v>
      </c>
      <c r="O147" s="3" t="str">
        <f t="shared" si="11"/>
        <v>3.501–7.000 (intermediário)</v>
      </c>
      <c r="P147" s="5">
        <v>3745</v>
      </c>
      <c r="Q147" s="5">
        <v>26</v>
      </c>
      <c r="R147" s="5" t="s">
        <v>100</v>
      </c>
      <c r="S147" s="5">
        <v>2</v>
      </c>
      <c r="T147" s="5">
        <v>1</v>
      </c>
      <c r="U147" s="5">
        <v>0</v>
      </c>
      <c r="V147" s="5">
        <v>0</v>
      </c>
      <c r="W147" s="5">
        <v>5</v>
      </c>
      <c r="X147" s="5">
        <v>10</v>
      </c>
      <c r="Y147" s="5">
        <v>8</v>
      </c>
      <c r="Z147" s="5">
        <v>13</v>
      </c>
      <c r="AA147" s="5">
        <v>13</v>
      </c>
      <c r="AB147" s="5">
        <v>7</v>
      </c>
      <c r="AC147" s="5">
        <v>5</v>
      </c>
      <c r="AD147" s="5">
        <v>4</v>
      </c>
      <c r="AE147" s="5">
        <v>3</v>
      </c>
      <c r="AF147" s="5">
        <v>1</v>
      </c>
      <c r="AG147" s="5">
        <v>15</v>
      </c>
      <c r="AH147" s="5">
        <v>16</v>
      </c>
      <c r="AI147" s="5">
        <v>7</v>
      </c>
      <c r="AJ147" s="5">
        <v>7</v>
      </c>
      <c r="AK147" s="5">
        <v>1</v>
      </c>
      <c r="AL147" s="5">
        <v>1</v>
      </c>
      <c r="AM147" s="5">
        <f>IF(Tabela2[[#This Row],[gols_mandante]]=Tabela2[[#This Row],[gols_visitante]],1,0)</f>
        <v>0</v>
      </c>
      <c r="AN147" s="5">
        <f>IF(Tabela2[[#This Row],[gols_mandante]]&gt;Tabela2[[#This Row],[gols_visitante]],1,0)</f>
        <v>1</v>
      </c>
      <c r="AO147" s="5">
        <f>IF(Tabela2[[#This Row],[gols_mandante]]&lt;Tabela2[[#This Row],[gols_visitante]],1,0)</f>
        <v>0</v>
      </c>
      <c r="AP147" s="5" t="s">
        <v>268</v>
      </c>
      <c r="AQ147" s="5">
        <v>0</v>
      </c>
    </row>
    <row r="148" spans="1:43" x14ac:dyDescent="0.25">
      <c r="A148" s="3">
        <v>2024</v>
      </c>
      <c r="B148" s="2">
        <v>45536</v>
      </c>
      <c r="C148" s="3">
        <v>25</v>
      </c>
      <c r="D148" s="3">
        <v>20923</v>
      </c>
      <c r="E148" s="3">
        <v>30618</v>
      </c>
      <c r="F148" s="3" t="str">
        <f t="shared" si="8"/>
        <v>0-4.999</v>
      </c>
      <c r="G148" s="3">
        <f>Tabela2[[#This Row],[publico]]/Tabela2[[#This Row],[publico_max]]</f>
        <v>0.68335619570187467</v>
      </c>
      <c r="H148" s="3" t="s">
        <v>94</v>
      </c>
      <c r="I148" s="3" t="s">
        <v>82</v>
      </c>
      <c r="J148" s="3">
        <v>18</v>
      </c>
      <c r="K148" s="3" t="str">
        <f t="shared" si="9"/>
        <v>16-20 (rebaixamento)</v>
      </c>
      <c r="L148" s="3">
        <v>8</v>
      </c>
      <c r="M148" s="3">
        <f t="shared" si="10"/>
        <v>-10</v>
      </c>
      <c r="N148" s="3">
        <v>1218</v>
      </c>
      <c r="O148" s="3" t="str">
        <f t="shared" si="11"/>
        <v>1–1.500 (rebaixamento)</v>
      </c>
      <c r="P148" s="3">
        <v>3550</v>
      </c>
      <c r="Q148" s="3" t="s">
        <v>100</v>
      </c>
      <c r="R148" s="3" t="s">
        <v>209</v>
      </c>
      <c r="S148" s="3">
        <v>0</v>
      </c>
      <c r="T148" s="3">
        <v>1</v>
      </c>
      <c r="U148" s="3">
        <v>0</v>
      </c>
      <c r="V148" s="3">
        <v>0</v>
      </c>
      <c r="W148" s="3">
        <v>10</v>
      </c>
      <c r="X148" s="3">
        <v>3</v>
      </c>
      <c r="Y148" s="3">
        <v>7</v>
      </c>
      <c r="Z148" s="3">
        <v>7</v>
      </c>
      <c r="AA148" s="3">
        <v>7</v>
      </c>
      <c r="AB148" s="3">
        <v>7</v>
      </c>
      <c r="AC148" s="3">
        <v>5</v>
      </c>
      <c r="AD148" s="3">
        <v>5</v>
      </c>
      <c r="AE148" s="3">
        <v>1</v>
      </c>
      <c r="AF148" s="3">
        <v>2</v>
      </c>
      <c r="AG148" s="3">
        <v>21</v>
      </c>
      <c r="AH148" s="3">
        <v>9</v>
      </c>
      <c r="AI148" s="3">
        <v>9</v>
      </c>
      <c r="AJ148" s="3">
        <v>2</v>
      </c>
      <c r="AK148" s="3">
        <v>-1</v>
      </c>
      <c r="AL148" s="3">
        <v>0</v>
      </c>
      <c r="AM148" s="3">
        <f>IF(Tabela2[[#This Row],[gols_mandante]]=Tabela2[[#This Row],[gols_visitante]],1,0)</f>
        <v>0</v>
      </c>
      <c r="AN148" s="3">
        <f>IF(Tabela2[[#This Row],[gols_mandante]]&gt;Tabela2[[#This Row],[gols_visitante]],1,0)</f>
        <v>0</v>
      </c>
      <c r="AO148" s="3">
        <f>IF(Tabela2[[#This Row],[gols_mandante]]&lt;Tabela2[[#This Row],[gols_visitante]],1,0)</f>
        <v>1</v>
      </c>
      <c r="AP148" s="3" t="s">
        <v>269</v>
      </c>
      <c r="AQ148" s="3">
        <v>0</v>
      </c>
    </row>
    <row r="149" spans="1:43" x14ac:dyDescent="0.25">
      <c r="A149" s="5">
        <v>2024</v>
      </c>
      <c r="B149" s="4">
        <v>45536</v>
      </c>
      <c r="C149" s="5">
        <v>25</v>
      </c>
      <c r="D149" s="5">
        <v>28334</v>
      </c>
      <c r="E149" s="5">
        <v>42372</v>
      </c>
      <c r="F149" s="5" t="str">
        <f t="shared" si="8"/>
        <v>20.000-29.999</v>
      </c>
      <c r="G149" s="5">
        <f>Tabela2[[#This Row],[publico]]/Tabela2[[#This Row],[publico_max]]</f>
        <v>0.66869630888322473</v>
      </c>
      <c r="H149" s="5" t="s">
        <v>69</v>
      </c>
      <c r="I149" s="5" t="s">
        <v>95</v>
      </c>
      <c r="J149" s="5">
        <v>11</v>
      </c>
      <c r="K149" s="3" t="str">
        <f t="shared" si="9"/>
        <v>11-15 (mediano)</v>
      </c>
      <c r="L149" s="5">
        <v>3</v>
      </c>
      <c r="M149" s="3">
        <f t="shared" si="10"/>
        <v>-8</v>
      </c>
      <c r="N149" s="5">
        <v>3830</v>
      </c>
      <c r="O149" s="3" t="str">
        <f t="shared" si="11"/>
        <v>3.501–7.000 (intermediário)</v>
      </c>
      <c r="P149" s="5">
        <v>10160</v>
      </c>
      <c r="Q149" s="5" t="s">
        <v>270</v>
      </c>
      <c r="R149" s="5" t="s">
        <v>120</v>
      </c>
      <c r="S149" s="5">
        <v>0</v>
      </c>
      <c r="T149" s="5">
        <v>2</v>
      </c>
      <c r="U149" s="5">
        <v>0</v>
      </c>
      <c r="V149" s="5">
        <v>1</v>
      </c>
      <c r="W149" s="5">
        <v>4</v>
      </c>
      <c r="X149" s="5">
        <v>4</v>
      </c>
      <c r="Y149" s="5">
        <v>10</v>
      </c>
      <c r="Z149" s="5">
        <v>9</v>
      </c>
      <c r="AA149" s="5">
        <v>7</v>
      </c>
      <c r="AB149" s="5">
        <v>10</v>
      </c>
      <c r="AC149" s="5">
        <v>8</v>
      </c>
      <c r="AD149" s="5">
        <v>9</v>
      </c>
      <c r="AE149" s="5">
        <v>0</v>
      </c>
      <c r="AF149" s="5">
        <v>2</v>
      </c>
      <c r="AG149" s="5">
        <v>15</v>
      </c>
      <c r="AH149" s="5">
        <v>19</v>
      </c>
      <c r="AI149" s="5">
        <v>4</v>
      </c>
      <c r="AJ149" s="5">
        <v>3</v>
      </c>
      <c r="AK149" s="5">
        <v>-2</v>
      </c>
      <c r="AL149" s="5">
        <v>0</v>
      </c>
      <c r="AM149" s="5">
        <f>IF(Tabela2[[#This Row],[gols_mandante]]=Tabela2[[#This Row],[gols_visitante]],1,0)</f>
        <v>0</v>
      </c>
      <c r="AN149" s="5">
        <f>IF(Tabela2[[#This Row],[gols_mandante]]&gt;Tabela2[[#This Row],[gols_visitante]],1,0)</f>
        <v>0</v>
      </c>
      <c r="AO149" s="5">
        <f>IF(Tabela2[[#This Row],[gols_mandante]]&lt;Tabela2[[#This Row],[gols_visitante]],1,0)</f>
        <v>1</v>
      </c>
      <c r="AP149" s="5" t="s">
        <v>271</v>
      </c>
      <c r="AQ149" s="5">
        <v>0</v>
      </c>
    </row>
    <row r="150" spans="1:43" x14ac:dyDescent="0.25">
      <c r="A150" s="3">
        <v>2024</v>
      </c>
      <c r="B150" s="2">
        <v>45536</v>
      </c>
      <c r="C150" s="3">
        <v>25</v>
      </c>
      <c r="D150" s="3">
        <v>27442</v>
      </c>
      <c r="E150" s="3">
        <v>60540</v>
      </c>
      <c r="F150" s="3" t="str">
        <f t="shared" si="8"/>
        <v>20.000-29.999</v>
      </c>
      <c r="G150" s="3">
        <f>Tabela2[[#This Row],[publico]]/Tabela2[[#This Row],[publico_max]]</f>
        <v>0.45328708292038322</v>
      </c>
      <c r="H150" s="3" t="s">
        <v>83</v>
      </c>
      <c r="I150" s="3" t="s">
        <v>89</v>
      </c>
      <c r="J150" s="3">
        <v>16</v>
      </c>
      <c r="K150" s="3" t="str">
        <f t="shared" si="9"/>
        <v>16-20 (rebaixamento)</v>
      </c>
      <c r="L150" s="3">
        <v>10</v>
      </c>
      <c r="M150" s="3">
        <f t="shared" si="10"/>
        <v>-6</v>
      </c>
      <c r="N150" s="3">
        <v>4100</v>
      </c>
      <c r="O150" s="3" t="str">
        <f t="shared" si="11"/>
        <v>3.501–7.000 (intermediário)</v>
      </c>
      <c r="P150" s="3">
        <v>4930</v>
      </c>
      <c r="Q150" s="3" t="s">
        <v>105</v>
      </c>
      <c r="R150" s="3" t="s">
        <v>48</v>
      </c>
      <c r="S150" s="3">
        <v>2</v>
      </c>
      <c r="T150" s="3">
        <v>3</v>
      </c>
      <c r="U150" s="3">
        <v>2</v>
      </c>
      <c r="V150" s="3">
        <v>0</v>
      </c>
      <c r="W150" s="3">
        <v>5</v>
      </c>
      <c r="X150" s="3">
        <v>9</v>
      </c>
      <c r="Y150" s="3">
        <v>11</v>
      </c>
      <c r="Z150" s="3">
        <v>17</v>
      </c>
      <c r="AA150" s="3">
        <v>15</v>
      </c>
      <c r="AB150" s="3">
        <v>9</v>
      </c>
      <c r="AC150" s="3">
        <v>10</v>
      </c>
      <c r="AD150" s="3">
        <v>2</v>
      </c>
      <c r="AE150" s="3">
        <v>0</v>
      </c>
      <c r="AF150" s="3">
        <v>3</v>
      </c>
      <c r="AG150" s="3">
        <v>11</v>
      </c>
      <c r="AH150" s="3">
        <v>27</v>
      </c>
      <c r="AI150" s="3">
        <v>5</v>
      </c>
      <c r="AJ150" s="3">
        <v>8</v>
      </c>
      <c r="AK150" s="3">
        <v>-1</v>
      </c>
      <c r="AL150" s="3">
        <v>0</v>
      </c>
      <c r="AM150" s="3">
        <f>IF(Tabela2[[#This Row],[gols_mandante]]=Tabela2[[#This Row],[gols_visitante]],1,0)</f>
        <v>0</v>
      </c>
      <c r="AN150" s="3">
        <f>IF(Tabela2[[#This Row],[gols_mandante]]&gt;Tabela2[[#This Row],[gols_visitante]],1,0)</f>
        <v>0</v>
      </c>
      <c r="AO150" s="3">
        <f>IF(Tabela2[[#This Row],[gols_mandante]]&lt;Tabela2[[#This Row],[gols_visitante]],1,0)</f>
        <v>1</v>
      </c>
      <c r="AP150" s="3" t="s">
        <v>272</v>
      </c>
      <c r="AQ150" s="3">
        <v>1</v>
      </c>
    </row>
    <row r="151" spans="1:43" x14ac:dyDescent="0.25">
      <c r="A151" s="5">
        <v>2024</v>
      </c>
      <c r="B151" s="4">
        <v>45536</v>
      </c>
      <c r="C151" s="5">
        <v>25</v>
      </c>
      <c r="D151" s="5">
        <v>50000</v>
      </c>
      <c r="E151" s="5">
        <v>61927</v>
      </c>
      <c r="F151" s="5" t="str">
        <f t="shared" si="8"/>
        <v>20.000-29.999</v>
      </c>
      <c r="G151" s="5">
        <f>Tabela2[[#This Row],[publico]]/Tabela2[[#This Row],[publico_max]]</f>
        <v>0.80740226395594816</v>
      </c>
      <c r="H151" s="5" t="s">
        <v>50</v>
      </c>
      <c r="I151" s="5" t="s">
        <v>76</v>
      </c>
      <c r="J151" s="5">
        <v>5</v>
      </c>
      <c r="K151" s="3" t="str">
        <f t="shared" si="9"/>
        <v>1-5 (elite)</v>
      </c>
      <c r="L151" s="5">
        <v>20</v>
      </c>
      <c r="M151" s="3">
        <f t="shared" si="10"/>
        <v>15</v>
      </c>
      <c r="N151" s="5">
        <v>4710</v>
      </c>
      <c r="O151" s="3" t="str">
        <f t="shared" si="11"/>
        <v>3.501–7.000 (intermediário)</v>
      </c>
      <c r="P151" s="5">
        <v>935</v>
      </c>
      <c r="Q151" s="5" t="s">
        <v>135</v>
      </c>
      <c r="R151" s="5" t="s">
        <v>86</v>
      </c>
      <c r="S151" s="5">
        <v>3</v>
      </c>
      <c r="T151" s="5">
        <v>1</v>
      </c>
      <c r="U151" s="5">
        <v>2</v>
      </c>
      <c r="V151" s="5">
        <v>1</v>
      </c>
      <c r="W151" s="5">
        <v>8</v>
      </c>
      <c r="X151" s="5">
        <v>3</v>
      </c>
      <c r="Y151" s="5">
        <v>13</v>
      </c>
      <c r="Z151" s="5">
        <v>7</v>
      </c>
      <c r="AA151" s="5">
        <v>6</v>
      </c>
      <c r="AB151" s="5">
        <v>13</v>
      </c>
      <c r="AC151" s="5">
        <v>3</v>
      </c>
      <c r="AD151" s="5">
        <v>3</v>
      </c>
      <c r="AE151" s="5">
        <v>0</v>
      </c>
      <c r="AF151" s="5">
        <v>3</v>
      </c>
      <c r="AG151" s="5">
        <v>11</v>
      </c>
      <c r="AH151" s="5">
        <v>17</v>
      </c>
      <c r="AI151" s="5">
        <v>3</v>
      </c>
      <c r="AJ151" s="5">
        <v>11</v>
      </c>
      <c r="AK151" s="5">
        <v>2</v>
      </c>
      <c r="AL151" s="5">
        <v>1</v>
      </c>
      <c r="AM151" s="5">
        <f>IF(Tabela2[[#This Row],[gols_mandante]]=Tabela2[[#This Row],[gols_visitante]],1,0)</f>
        <v>0</v>
      </c>
      <c r="AN151" s="5">
        <f>IF(Tabela2[[#This Row],[gols_mandante]]&gt;Tabela2[[#This Row],[gols_visitante]],1,0)</f>
        <v>1</v>
      </c>
      <c r="AO151" s="5">
        <f>IF(Tabela2[[#This Row],[gols_mandante]]&lt;Tabela2[[#This Row],[gols_visitante]],1,0)</f>
        <v>0</v>
      </c>
      <c r="AP151" s="5" t="s">
        <v>188</v>
      </c>
      <c r="AQ151" s="5">
        <v>0</v>
      </c>
    </row>
    <row r="152" spans="1:43" x14ac:dyDescent="0.25">
      <c r="A152" s="3">
        <v>2024</v>
      </c>
      <c r="B152" s="2">
        <v>45549</v>
      </c>
      <c r="C152" s="3">
        <v>26</v>
      </c>
      <c r="D152" s="3">
        <v>31551</v>
      </c>
      <c r="E152" s="3">
        <v>42372</v>
      </c>
      <c r="F152" s="3" t="str">
        <f t="shared" si="8"/>
        <v>&gt;=30.000</v>
      </c>
      <c r="G152" s="3">
        <f>Tabela2[[#This Row],[publico]]/Tabela2[[#This Row],[publico_max]]</f>
        <v>0.74461908807703203</v>
      </c>
      <c r="H152" s="3" t="s">
        <v>69</v>
      </c>
      <c r="I152" s="3" t="s">
        <v>63</v>
      </c>
      <c r="J152" s="3">
        <v>11</v>
      </c>
      <c r="K152" s="3" t="str">
        <f t="shared" si="9"/>
        <v>11-15 (mediano)</v>
      </c>
      <c r="L152" s="3">
        <v>3</v>
      </c>
      <c r="M152" s="3">
        <f t="shared" si="10"/>
        <v>-8</v>
      </c>
      <c r="N152" s="3">
        <v>3130</v>
      </c>
      <c r="O152" s="3" t="str">
        <f t="shared" si="11"/>
        <v>1.501–3.500 (mediano)</v>
      </c>
      <c r="P152" s="3">
        <v>1725</v>
      </c>
      <c r="Q152" s="3" t="s">
        <v>202</v>
      </c>
      <c r="R152" s="3" t="s">
        <v>137</v>
      </c>
      <c r="S152" s="3">
        <v>1</v>
      </c>
      <c r="T152" s="3">
        <v>1</v>
      </c>
      <c r="U152" s="3">
        <v>1</v>
      </c>
      <c r="V152" s="3">
        <v>1</v>
      </c>
      <c r="W152" s="3">
        <v>13</v>
      </c>
      <c r="X152" s="3">
        <v>4</v>
      </c>
      <c r="Y152" s="3">
        <v>12</v>
      </c>
      <c r="Z152" s="3">
        <v>10</v>
      </c>
      <c r="AA152" s="3">
        <v>7</v>
      </c>
      <c r="AB152" s="3">
        <v>11</v>
      </c>
      <c r="AC152" s="3">
        <v>2</v>
      </c>
      <c r="AD152" s="3">
        <v>7</v>
      </c>
      <c r="AE152" s="3">
        <v>3</v>
      </c>
      <c r="AF152" s="3">
        <v>0</v>
      </c>
      <c r="AG152" s="3">
        <v>30</v>
      </c>
      <c r="AH152" s="3">
        <v>10</v>
      </c>
      <c r="AI152" s="3">
        <v>11</v>
      </c>
      <c r="AJ152" s="3">
        <v>5</v>
      </c>
      <c r="AK152" s="3">
        <v>0</v>
      </c>
      <c r="AL152" s="3">
        <v>0</v>
      </c>
      <c r="AM152" s="3">
        <f>IF(Tabela2[[#This Row],[gols_mandante]]=Tabela2[[#This Row],[gols_visitante]],1,0)</f>
        <v>1</v>
      </c>
      <c r="AN152" s="3">
        <f>IF(Tabela2[[#This Row],[gols_mandante]]&gt;Tabela2[[#This Row],[gols_visitante]],1,0)</f>
        <v>0</v>
      </c>
      <c r="AO152" s="3">
        <f>IF(Tabela2[[#This Row],[gols_mandante]]&lt;Tabela2[[#This Row],[gols_visitante]],1,0)</f>
        <v>0</v>
      </c>
      <c r="AP152" s="3" t="s">
        <v>130</v>
      </c>
      <c r="AQ152" s="3">
        <v>0</v>
      </c>
    </row>
    <row r="153" spans="1:43" x14ac:dyDescent="0.25">
      <c r="A153" s="5">
        <v>2024</v>
      </c>
      <c r="B153" s="4">
        <v>45549</v>
      </c>
      <c r="C153" s="5">
        <v>26</v>
      </c>
      <c r="D153" s="5">
        <v>4938</v>
      </c>
      <c r="E153" s="5">
        <v>13000</v>
      </c>
      <c r="F153" s="5" t="str">
        <f t="shared" si="8"/>
        <v>&gt;=30.000</v>
      </c>
      <c r="G153" s="5">
        <f>Tabela2[[#This Row],[publico]]/Tabela2[[#This Row],[publico_max]]</f>
        <v>0.37984615384615383</v>
      </c>
      <c r="H153" s="5" t="s">
        <v>76</v>
      </c>
      <c r="I153" s="5" t="s">
        <v>94</v>
      </c>
      <c r="J153" s="5">
        <v>20</v>
      </c>
      <c r="K153" s="3" t="str">
        <f t="shared" si="9"/>
        <v>16-20 (rebaixamento)</v>
      </c>
      <c r="L153" s="5">
        <v>17</v>
      </c>
      <c r="M153" s="3">
        <f t="shared" si="10"/>
        <v>-3</v>
      </c>
      <c r="N153" s="5">
        <v>935</v>
      </c>
      <c r="O153" s="3" t="str">
        <f t="shared" si="11"/>
        <v>1–1.500 (rebaixamento)</v>
      </c>
      <c r="P153" s="5">
        <v>1450</v>
      </c>
      <c r="Q153" s="5" t="s">
        <v>98</v>
      </c>
      <c r="R153" s="5" t="s">
        <v>114</v>
      </c>
      <c r="S153" s="5">
        <v>0</v>
      </c>
      <c r="T153" s="5">
        <v>2</v>
      </c>
      <c r="U153" s="5">
        <v>0</v>
      </c>
      <c r="V153" s="5">
        <v>1</v>
      </c>
      <c r="W153" s="5">
        <v>9</v>
      </c>
      <c r="X153" s="5">
        <v>5</v>
      </c>
      <c r="Y153" s="5">
        <v>14</v>
      </c>
      <c r="Z153" s="5">
        <v>14</v>
      </c>
      <c r="AA153" s="5">
        <v>13</v>
      </c>
      <c r="AB153" s="5">
        <v>10</v>
      </c>
      <c r="AC153" s="5">
        <v>2</v>
      </c>
      <c r="AD153" s="5">
        <v>5</v>
      </c>
      <c r="AE153" s="5">
        <v>0</v>
      </c>
      <c r="AF153" s="5">
        <v>0</v>
      </c>
      <c r="AG153" s="5">
        <v>13</v>
      </c>
      <c r="AH153" s="5">
        <v>7</v>
      </c>
      <c r="AI153" s="5">
        <v>5</v>
      </c>
      <c r="AJ153" s="5">
        <v>2</v>
      </c>
      <c r="AK153" s="5">
        <v>-2</v>
      </c>
      <c r="AL153" s="5">
        <v>0</v>
      </c>
      <c r="AM153" s="5">
        <f>IF(Tabela2[[#This Row],[gols_mandante]]=Tabela2[[#This Row],[gols_visitante]],1,0)</f>
        <v>0</v>
      </c>
      <c r="AN153" s="5">
        <f>IF(Tabela2[[#This Row],[gols_mandante]]&gt;Tabela2[[#This Row],[gols_visitante]],1,0)</f>
        <v>0</v>
      </c>
      <c r="AO153" s="5">
        <f>IF(Tabela2[[#This Row],[gols_mandante]]&lt;Tabela2[[#This Row],[gols_visitante]],1,0)</f>
        <v>1</v>
      </c>
      <c r="AP153" s="5" t="s">
        <v>187</v>
      </c>
      <c r="AQ153" s="5">
        <v>0</v>
      </c>
    </row>
    <row r="154" spans="1:43" x14ac:dyDescent="0.25">
      <c r="A154" s="3">
        <v>2024</v>
      </c>
      <c r="B154" s="2">
        <v>45550</v>
      </c>
      <c r="C154" s="3">
        <v>26</v>
      </c>
      <c r="D154" s="3">
        <v>32718</v>
      </c>
      <c r="E154" s="3">
        <v>46931</v>
      </c>
      <c r="F154" s="3" t="str">
        <f t="shared" si="8"/>
        <v>0-4.999</v>
      </c>
      <c r="G154" s="3">
        <f>Tabela2[[#This Row],[publico]]/Tabela2[[#This Row],[publico_max]]</f>
        <v>0.69715113677526586</v>
      </c>
      <c r="H154" s="3" t="s">
        <v>51</v>
      </c>
      <c r="I154" s="3" t="s">
        <v>88</v>
      </c>
      <c r="J154" s="3">
        <v>1</v>
      </c>
      <c r="K154" s="3" t="str">
        <f t="shared" si="9"/>
        <v>1-5 (elite)</v>
      </c>
      <c r="L154" s="3">
        <v>18</v>
      </c>
      <c r="M154" s="3">
        <f t="shared" si="10"/>
        <v>17</v>
      </c>
      <c r="N154" s="3">
        <v>6290</v>
      </c>
      <c r="O154" s="3" t="str">
        <f t="shared" si="11"/>
        <v>3.501–7.000 (intermediário)</v>
      </c>
      <c r="P154" s="3">
        <v>3500</v>
      </c>
      <c r="Q154" s="3" t="s">
        <v>128</v>
      </c>
      <c r="R154" s="3" t="s">
        <v>41</v>
      </c>
      <c r="S154" s="3">
        <v>2</v>
      </c>
      <c r="T154" s="3">
        <v>1</v>
      </c>
      <c r="U154" s="3">
        <v>1</v>
      </c>
      <c r="V154" s="3">
        <v>0</v>
      </c>
      <c r="W154" s="3">
        <v>6</v>
      </c>
      <c r="X154" s="3">
        <v>3</v>
      </c>
      <c r="Y154" s="3">
        <v>12</v>
      </c>
      <c r="Z154" s="3">
        <v>7</v>
      </c>
      <c r="AA154" s="3">
        <v>7</v>
      </c>
      <c r="AB154" s="3">
        <v>11</v>
      </c>
      <c r="AC154" s="3">
        <v>1</v>
      </c>
      <c r="AD154" s="3">
        <v>8</v>
      </c>
      <c r="AE154" s="3">
        <v>0</v>
      </c>
      <c r="AF154" s="3">
        <v>1</v>
      </c>
      <c r="AG154" s="3">
        <v>21</v>
      </c>
      <c r="AH154" s="3">
        <v>12</v>
      </c>
      <c r="AI154" s="3">
        <v>4</v>
      </c>
      <c r="AJ154" s="3">
        <v>7</v>
      </c>
      <c r="AK154" s="3">
        <v>1</v>
      </c>
      <c r="AL154" s="3">
        <v>1</v>
      </c>
      <c r="AM154" s="3">
        <f>IF(Tabela2[[#This Row],[gols_mandante]]=Tabela2[[#This Row],[gols_visitante]],1,0)</f>
        <v>0</v>
      </c>
      <c r="AN154" s="3">
        <f>IF(Tabela2[[#This Row],[gols_mandante]]&gt;Tabela2[[#This Row],[gols_visitante]],1,0)</f>
        <v>1</v>
      </c>
      <c r="AO154" s="3">
        <f>IF(Tabela2[[#This Row],[gols_mandante]]&lt;Tabela2[[#This Row],[gols_visitante]],1,0)</f>
        <v>0</v>
      </c>
      <c r="AP154" s="3" t="s">
        <v>232</v>
      </c>
      <c r="AQ154" s="3">
        <v>0</v>
      </c>
    </row>
    <row r="155" spans="1:43" x14ac:dyDescent="0.25">
      <c r="A155" s="5">
        <v>2024</v>
      </c>
      <c r="B155" s="4">
        <v>45550</v>
      </c>
      <c r="C155" s="5">
        <v>26</v>
      </c>
      <c r="D155" s="5">
        <v>55000</v>
      </c>
      <c r="E155" s="5">
        <v>61927</v>
      </c>
      <c r="F155" s="5" t="str">
        <f t="shared" si="8"/>
        <v>&gt;=30.000</v>
      </c>
      <c r="G155" s="5">
        <f>Tabela2[[#This Row],[publico]]/Tabela2[[#This Row],[publico_max]]</f>
        <v>0.88814249035154291</v>
      </c>
      <c r="H155" s="5" t="s">
        <v>50</v>
      </c>
      <c r="I155" s="5" t="s">
        <v>62</v>
      </c>
      <c r="J155" s="5">
        <v>7</v>
      </c>
      <c r="K155" s="3" t="str">
        <f t="shared" si="9"/>
        <v>6-10 (intermediário)</v>
      </c>
      <c r="L155" s="5">
        <v>5</v>
      </c>
      <c r="M155" s="3">
        <f t="shared" si="10"/>
        <v>-2</v>
      </c>
      <c r="N155" s="5">
        <v>4220</v>
      </c>
      <c r="O155" s="3" t="str">
        <f t="shared" si="11"/>
        <v>3.501–7.000 (intermediário)</v>
      </c>
      <c r="P155" s="5">
        <v>2460</v>
      </c>
      <c r="Q155" s="5" t="s">
        <v>73</v>
      </c>
      <c r="R155" s="5" t="s">
        <v>239</v>
      </c>
      <c r="S155" s="5">
        <v>0</v>
      </c>
      <c r="T155" s="5">
        <v>1</v>
      </c>
      <c r="U155" s="5">
        <v>0</v>
      </c>
      <c r="V155" s="5">
        <v>0</v>
      </c>
      <c r="W155" s="5">
        <v>7</v>
      </c>
      <c r="X155" s="5">
        <v>7</v>
      </c>
      <c r="Y155" s="5">
        <v>11</v>
      </c>
      <c r="Z155" s="5">
        <v>10</v>
      </c>
      <c r="AA155" s="5">
        <v>10</v>
      </c>
      <c r="AB155" s="5">
        <v>11</v>
      </c>
      <c r="AC155" s="5">
        <v>3</v>
      </c>
      <c r="AD155" s="5">
        <v>1</v>
      </c>
      <c r="AE155" s="5">
        <v>1</v>
      </c>
      <c r="AF155" s="5">
        <v>1</v>
      </c>
      <c r="AG155" s="5">
        <v>14</v>
      </c>
      <c r="AH155" s="5">
        <v>14</v>
      </c>
      <c r="AI155" s="5">
        <v>9</v>
      </c>
      <c r="AJ155" s="5">
        <v>5</v>
      </c>
      <c r="AK155" s="5">
        <v>-1</v>
      </c>
      <c r="AL155" s="5">
        <v>0</v>
      </c>
      <c r="AM155" s="5">
        <f>IF(Tabela2[[#This Row],[gols_mandante]]=Tabela2[[#This Row],[gols_visitante]],1,0)</f>
        <v>0</v>
      </c>
      <c r="AN155" s="5">
        <f>IF(Tabela2[[#This Row],[gols_mandante]]&gt;Tabela2[[#This Row],[gols_visitante]],1,0)</f>
        <v>0</v>
      </c>
      <c r="AO155" s="5">
        <f>IF(Tabela2[[#This Row],[gols_mandante]]&lt;Tabela2[[#This Row],[gols_visitante]],1,0)</f>
        <v>1</v>
      </c>
      <c r="AP155" s="5" t="s">
        <v>178</v>
      </c>
      <c r="AQ155" s="5">
        <v>0</v>
      </c>
    </row>
    <row r="156" spans="1:43" x14ac:dyDescent="0.25">
      <c r="A156" s="3">
        <v>2024</v>
      </c>
      <c r="B156" s="2">
        <v>45550</v>
      </c>
      <c r="C156" s="3">
        <v>26</v>
      </c>
      <c r="D156" s="3">
        <v>65200</v>
      </c>
      <c r="E156" s="3">
        <v>78838</v>
      </c>
      <c r="F156" s="3" t="str">
        <f t="shared" si="8"/>
        <v>&gt;=30.000</v>
      </c>
      <c r="G156" s="3">
        <f>Tabela2[[#This Row],[publico]]/Tabela2[[#This Row],[publico_max]]</f>
        <v>0.82701235444836252</v>
      </c>
      <c r="H156" s="3" t="s">
        <v>77</v>
      </c>
      <c r="I156" s="3" t="s">
        <v>82</v>
      </c>
      <c r="J156" s="3">
        <v>4</v>
      </c>
      <c r="K156" s="3" t="str">
        <f t="shared" si="9"/>
        <v>1-5 (elite)</v>
      </c>
      <c r="L156" s="3">
        <v>9</v>
      </c>
      <c r="M156" s="3">
        <f t="shared" si="10"/>
        <v>5</v>
      </c>
      <c r="N156" s="3">
        <v>6350</v>
      </c>
      <c r="O156" s="3" t="str">
        <f t="shared" si="11"/>
        <v>3.501–7.000 (intermediário)</v>
      </c>
      <c r="P156" s="3">
        <v>3000</v>
      </c>
      <c r="Q156" s="3" t="s">
        <v>111</v>
      </c>
      <c r="R156" s="3" t="s">
        <v>200</v>
      </c>
      <c r="S156" s="3">
        <v>1</v>
      </c>
      <c r="T156" s="3">
        <v>1</v>
      </c>
      <c r="U156" s="3">
        <v>0</v>
      </c>
      <c r="V156" s="3">
        <v>0</v>
      </c>
      <c r="W156" s="3">
        <v>5</v>
      </c>
      <c r="X156" s="3">
        <v>6</v>
      </c>
      <c r="Y156" s="3">
        <v>10</v>
      </c>
      <c r="Z156" s="3">
        <v>10</v>
      </c>
      <c r="AA156" s="3">
        <v>10</v>
      </c>
      <c r="AB156" s="3">
        <v>8</v>
      </c>
      <c r="AC156" s="3">
        <v>1</v>
      </c>
      <c r="AD156" s="3">
        <v>2</v>
      </c>
      <c r="AE156" s="3">
        <v>3</v>
      </c>
      <c r="AF156" s="3">
        <v>1</v>
      </c>
      <c r="AG156" s="3">
        <v>17</v>
      </c>
      <c r="AH156" s="3">
        <v>9</v>
      </c>
      <c r="AI156" s="3">
        <v>9</v>
      </c>
      <c r="AJ156" s="3">
        <v>3</v>
      </c>
      <c r="AK156" s="3">
        <v>0</v>
      </c>
      <c r="AL156" s="3">
        <v>0</v>
      </c>
      <c r="AM156" s="3">
        <f>IF(Tabela2[[#This Row],[gols_mandante]]=Tabela2[[#This Row],[gols_visitante]],1,0)</f>
        <v>1</v>
      </c>
      <c r="AN156" s="3">
        <f>IF(Tabela2[[#This Row],[gols_mandante]]&gt;Tabela2[[#This Row],[gols_visitante]],1,0)</f>
        <v>0</v>
      </c>
      <c r="AO156" s="3">
        <f>IF(Tabela2[[#This Row],[gols_mandante]]&lt;Tabela2[[#This Row],[gols_visitante]],1,0)</f>
        <v>0</v>
      </c>
      <c r="AP156" s="3" t="s">
        <v>272</v>
      </c>
      <c r="AQ156" s="3">
        <v>0</v>
      </c>
    </row>
    <row r="157" spans="1:43" x14ac:dyDescent="0.25">
      <c r="A157" s="5">
        <v>2024</v>
      </c>
      <c r="B157" s="4">
        <v>45550</v>
      </c>
      <c r="C157" s="5">
        <v>26</v>
      </c>
      <c r="D157" s="5">
        <v>6232</v>
      </c>
      <c r="E157" s="5">
        <v>23726</v>
      </c>
      <c r="F157" s="5" t="str">
        <f t="shared" si="8"/>
        <v>&gt;=30.000</v>
      </c>
      <c r="G157" s="5">
        <f>Tabela2[[#This Row],[publico]]/Tabela2[[#This Row],[publico_max]]</f>
        <v>0.26266543032959622</v>
      </c>
      <c r="H157" s="5" t="s">
        <v>44</v>
      </c>
      <c r="I157" s="5" t="s">
        <v>55</v>
      </c>
      <c r="J157" s="5">
        <v>13</v>
      </c>
      <c r="K157" s="3" t="str">
        <f t="shared" si="9"/>
        <v>11-15 (mediano)</v>
      </c>
      <c r="L157" s="5">
        <v>15</v>
      </c>
      <c r="M157" s="3">
        <f t="shared" si="10"/>
        <v>2</v>
      </c>
      <c r="N157" s="5">
        <v>1040</v>
      </c>
      <c r="O157" s="3" t="str">
        <f t="shared" si="11"/>
        <v>1–1.500 (rebaixamento)</v>
      </c>
      <c r="P157" s="5">
        <v>3335</v>
      </c>
      <c r="Q157" s="5" t="s">
        <v>166</v>
      </c>
      <c r="R157" s="5">
        <v>31</v>
      </c>
      <c r="S157" s="5">
        <v>2</v>
      </c>
      <c r="T157" s="5">
        <v>1</v>
      </c>
      <c r="U157" s="5">
        <v>0</v>
      </c>
      <c r="V157" s="5">
        <v>1</v>
      </c>
      <c r="W157" s="5">
        <v>8</v>
      </c>
      <c r="X157" s="5">
        <v>5</v>
      </c>
      <c r="Y157" s="5">
        <v>8</v>
      </c>
      <c r="Z157" s="5">
        <v>9</v>
      </c>
      <c r="AA157" s="5">
        <v>9</v>
      </c>
      <c r="AB157" s="5">
        <v>7</v>
      </c>
      <c r="AC157" s="5">
        <v>0</v>
      </c>
      <c r="AD157" s="5">
        <v>3</v>
      </c>
      <c r="AE157" s="5">
        <v>2</v>
      </c>
      <c r="AF157" s="5">
        <v>1</v>
      </c>
      <c r="AG157" s="5">
        <v>12</v>
      </c>
      <c r="AH157" s="5">
        <v>8</v>
      </c>
      <c r="AI157" s="5">
        <v>4</v>
      </c>
      <c r="AJ157" s="5">
        <v>5</v>
      </c>
      <c r="AK157" s="5">
        <v>1</v>
      </c>
      <c r="AL157" s="5">
        <v>1</v>
      </c>
      <c r="AM157" s="5">
        <f>IF(Tabela2[[#This Row],[gols_mandante]]=Tabela2[[#This Row],[gols_visitante]],1,0)</f>
        <v>0</v>
      </c>
      <c r="AN157" s="5">
        <f>IF(Tabela2[[#This Row],[gols_mandante]]&gt;Tabela2[[#This Row],[gols_visitante]],1,0)</f>
        <v>1</v>
      </c>
      <c r="AO157" s="5">
        <f>IF(Tabela2[[#This Row],[gols_mandante]]&lt;Tabela2[[#This Row],[gols_visitante]],1,0)</f>
        <v>0</v>
      </c>
      <c r="AP157" s="5" t="s">
        <v>182</v>
      </c>
      <c r="AQ157" s="5">
        <v>0</v>
      </c>
    </row>
    <row r="158" spans="1:43" x14ac:dyDescent="0.25">
      <c r="A158" s="3">
        <v>2024</v>
      </c>
      <c r="B158" s="2">
        <v>45550</v>
      </c>
      <c r="C158" s="3">
        <v>26</v>
      </c>
      <c r="D158" s="3">
        <v>5228</v>
      </c>
      <c r="E158" s="3">
        <v>15010</v>
      </c>
      <c r="F158" s="3" t="str">
        <f t="shared" si="8"/>
        <v>5.000-9.999</v>
      </c>
      <c r="G158" s="3">
        <f>Tabela2[[#This Row],[publico]]/Tabela2[[#This Row],[publico_max]]</f>
        <v>0.34830113257828116</v>
      </c>
      <c r="H158" s="3" t="s">
        <v>56</v>
      </c>
      <c r="I158" s="3" t="s">
        <v>83</v>
      </c>
      <c r="J158" s="3">
        <v>12</v>
      </c>
      <c r="K158" s="3" t="str">
        <f t="shared" si="9"/>
        <v>11-15 (mediano)</v>
      </c>
      <c r="L158" s="3">
        <v>16</v>
      </c>
      <c r="M158" s="3">
        <f t="shared" si="10"/>
        <v>4</v>
      </c>
      <c r="N158" s="3">
        <v>3330</v>
      </c>
      <c r="O158" s="3" t="str">
        <f t="shared" si="11"/>
        <v>1.501–3.500 (mediano)</v>
      </c>
      <c r="P158" s="3">
        <v>3990</v>
      </c>
      <c r="Q158" s="3" t="s">
        <v>217</v>
      </c>
      <c r="R158" s="3" t="s">
        <v>166</v>
      </c>
      <c r="S158" s="3">
        <v>2</v>
      </c>
      <c r="T158" s="3">
        <v>2</v>
      </c>
      <c r="U158" s="3">
        <v>1</v>
      </c>
      <c r="V158" s="3">
        <v>1</v>
      </c>
      <c r="W158" s="3">
        <v>6</v>
      </c>
      <c r="X158" s="3">
        <v>7</v>
      </c>
      <c r="Y158" s="3">
        <v>12</v>
      </c>
      <c r="Z158" s="3">
        <v>7</v>
      </c>
      <c r="AA158" s="3">
        <v>7</v>
      </c>
      <c r="AB158" s="3">
        <v>12</v>
      </c>
      <c r="AC158" s="3">
        <v>2</v>
      </c>
      <c r="AD158" s="3">
        <v>4</v>
      </c>
      <c r="AE158" s="3">
        <v>2</v>
      </c>
      <c r="AF158" s="3">
        <v>1</v>
      </c>
      <c r="AG158" s="3">
        <v>23</v>
      </c>
      <c r="AH158" s="3">
        <v>8</v>
      </c>
      <c r="AI158" s="3">
        <v>9</v>
      </c>
      <c r="AJ158" s="3">
        <v>3</v>
      </c>
      <c r="AK158" s="3">
        <v>0</v>
      </c>
      <c r="AL158" s="3">
        <v>0</v>
      </c>
      <c r="AM158" s="3">
        <f>IF(Tabela2[[#This Row],[gols_mandante]]=Tabela2[[#This Row],[gols_visitante]],1,0)</f>
        <v>1</v>
      </c>
      <c r="AN158" s="3">
        <f>IF(Tabela2[[#This Row],[gols_mandante]]&gt;Tabela2[[#This Row],[gols_visitante]],1,0)</f>
        <v>0</v>
      </c>
      <c r="AO158" s="3">
        <f>IF(Tabela2[[#This Row],[gols_mandante]]&lt;Tabela2[[#This Row],[gols_visitante]],1,0)</f>
        <v>0</v>
      </c>
      <c r="AP158" s="3" t="s">
        <v>188</v>
      </c>
      <c r="AQ158" s="3">
        <v>0</v>
      </c>
    </row>
    <row r="159" spans="1:43" x14ac:dyDescent="0.25">
      <c r="A159" s="5">
        <v>2024</v>
      </c>
      <c r="B159" s="4">
        <v>45550</v>
      </c>
      <c r="C159" s="5">
        <v>26</v>
      </c>
      <c r="D159" s="5">
        <v>37244</v>
      </c>
      <c r="E159" s="5">
        <v>43713</v>
      </c>
      <c r="F159" s="5" t="str">
        <f t="shared" si="8"/>
        <v>5.000-9.999</v>
      </c>
      <c r="G159" s="5">
        <f>Tabela2[[#This Row],[publico]]/Tabela2[[#This Row],[publico_max]]</f>
        <v>0.85201198728067162</v>
      </c>
      <c r="H159" s="5" t="s">
        <v>95</v>
      </c>
      <c r="I159" s="5" t="s">
        <v>43</v>
      </c>
      <c r="J159" s="5">
        <v>2</v>
      </c>
      <c r="K159" s="3" t="str">
        <f t="shared" si="9"/>
        <v>1-5 (elite)</v>
      </c>
      <c r="L159" s="5">
        <v>14</v>
      </c>
      <c r="M159" s="3">
        <f t="shared" si="10"/>
        <v>12</v>
      </c>
      <c r="N159" s="5">
        <v>10160</v>
      </c>
      <c r="O159" s="3" t="str">
        <f t="shared" si="11"/>
        <v>7.001+ (elite)</v>
      </c>
      <c r="P159" s="5">
        <v>883</v>
      </c>
      <c r="Q159" s="5" t="s">
        <v>41</v>
      </c>
      <c r="R159" s="5" t="s">
        <v>74</v>
      </c>
      <c r="S159" s="5">
        <v>5</v>
      </c>
      <c r="T159" s="5">
        <v>0</v>
      </c>
      <c r="U159" s="5">
        <v>3</v>
      </c>
      <c r="V159" s="5">
        <v>0</v>
      </c>
      <c r="W159" s="5">
        <v>4</v>
      </c>
      <c r="X159" s="5">
        <v>6</v>
      </c>
      <c r="Y159" s="5">
        <v>12</v>
      </c>
      <c r="Z159" s="5">
        <v>11</v>
      </c>
      <c r="AA159" s="5">
        <v>11</v>
      </c>
      <c r="AB159" s="5">
        <v>11</v>
      </c>
      <c r="AC159" s="5">
        <v>5</v>
      </c>
      <c r="AD159" s="5">
        <v>4</v>
      </c>
      <c r="AE159" s="5">
        <v>3</v>
      </c>
      <c r="AF159" s="5">
        <v>2</v>
      </c>
      <c r="AG159" s="5">
        <v>14</v>
      </c>
      <c r="AH159" s="5">
        <v>14</v>
      </c>
      <c r="AI159" s="5">
        <v>3</v>
      </c>
      <c r="AJ159" s="5">
        <v>6</v>
      </c>
      <c r="AK159" s="5">
        <v>5</v>
      </c>
      <c r="AL159" s="5">
        <v>1</v>
      </c>
      <c r="AM159" s="5">
        <f>IF(Tabela2[[#This Row],[gols_mandante]]=Tabela2[[#This Row],[gols_visitante]],1,0)</f>
        <v>0</v>
      </c>
      <c r="AN159" s="5">
        <f>IF(Tabela2[[#This Row],[gols_mandante]]&gt;Tabela2[[#This Row],[gols_visitante]],1,0)</f>
        <v>1</v>
      </c>
      <c r="AO159" s="5">
        <f>IF(Tabela2[[#This Row],[gols_mandante]]&lt;Tabela2[[#This Row],[gols_visitante]],1,0)</f>
        <v>0</v>
      </c>
      <c r="AP159" s="5" t="s">
        <v>273</v>
      </c>
      <c r="AQ159" s="5">
        <v>1</v>
      </c>
    </row>
    <row r="160" spans="1:43" x14ac:dyDescent="0.25">
      <c r="A160" s="3">
        <v>2024</v>
      </c>
      <c r="B160" s="2">
        <v>45550</v>
      </c>
      <c r="C160" s="3">
        <v>26</v>
      </c>
      <c r="D160" s="3">
        <v>26420</v>
      </c>
      <c r="E160" s="3">
        <v>47364</v>
      </c>
      <c r="F160" s="3" t="str">
        <f t="shared" si="8"/>
        <v>&gt;=30.000</v>
      </c>
      <c r="G160" s="3">
        <f>Tabela2[[#This Row],[publico]]/Tabela2[[#This Row],[publico_max]]</f>
        <v>0.55780761759986486</v>
      </c>
      <c r="H160" s="3" t="s">
        <v>38</v>
      </c>
      <c r="I160" s="3" t="s">
        <v>89</v>
      </c>
      <c r="J160" s="3">
        <v>6</v>
      </c>
      <c r="K160" s="3" t="str">
        <f t="shared" si="9"/>
        <v>6-10 (intermediário)</v>
      </c>
      <c r="L160" s="3">
        <v>10</v>
      </c>
      <c r="M160" s="3">
        <f t="shared" si="10"/>
        <v>4</v>
      </c>
      <c r="N160" s="3">
        <v>3745</v>
      </c>
      <c r="O160" s="3" t="str">
        <f t="shared" si="11"/>
        <v>3.501–7.000 (intermediário)</v>
      </c>
      <c r="P160" s="3">
        <v>2455</v>
      </c>
      <c r="Q160" s="3" t="s">
        <v>100</v>
      </c>
      <c r="R160" s="3" t="s">
        <v>137</v>
      </c>
      <c r="S160" s="3">
        <v>3</v>
      </c>
      <c r="T160" s="3">
        <v>0</v>
      </c>
      <c r="U160" s="3">
        <v>0</v>
      </c>
      <c r="V160" s="3">
        <v>0</v>
      </c>
      <c r="W160" s="3">
        <v>6</v>
      </c>
      <c r="X160" s="3">
        <v>1</v>
      </c>
      <c r="Y160" s="3">
        <v>17</v>
      </c>
      <c r="Z160" s="3">
        <v>16</v>
      </c>
      <c r="AA160" s="3">
        <v>16</v>
      </c>
      <c r="AB160" s="3">
        <v>16</v>
      </c>
      <c r="AC160" s="3">
        <v>2</v>
      </c>
      <c r="AD160" s="3">
        <v>1</v>
      </c>
      <c r="AE160" s="3">
        <v>1</v>
      </c>
      <c r="AF160" s="3">
        <v>3</v>
      </c>
      <c r="AG160" s="3">
        <v>16</v>
      </c>
      <c r="AH160" s="3">
        <v>5</v>
      </c>
      <c r="AI160" s="3">
        <v>6</v>
      </c>
      <c r="AJ160" s="3">
        <v>1</v>
      </c>
      <c r="AK160" s="3">
        <v>3</v>
      </c>
      <c r="AL160" s="3">
        <v>1</v>
      </c>
      <c r="AM160" s="3">
        <f>IF(Tabela2[[#This Row],[gols_mandante]]=Tabela2[[#This Row],[gols_visitante]],1,0)</f>
        <v>0</v>
      </c>
      <c r="AN160" s="3">
        <f>IF(Tabela2[[#This Row],[gols_mandante]]&gt;Tabela2[[#This Row],[gols_visitante]],1,0)</f>
        <v>1</v>
      </c>
      <c r="AO160" s="3">
        <f>IF(Tabela2[[#This Row],[gols_mandante]]&lt;Tabela2[[#This Row],[gols_visitante]],1,0)</f>
        <v>0</v>
      </c>
      <c r="AP160" s="3" t="s">
        <v>274</v>
      </c>
      <c r="AQ160" s="3">
        <v>0</v>
      </c>
    </row>
    <row r="161" spans="1:43" x14ac:dyDescent="0.25">
      <c r="A161" s="5">
        <v>2024</v>
      </c>
      <c r="B161" s="4">
        <v>45552</v>
      </c>
      <c r="C161" s="5">
        <v>26</v>
      </c>
      <c r="D161" s="5">
        <v>35366</v>
      </c>
      <c r="E161" s="5">
        <v>50848</v>
      </c>
      <c r="F161" s="5" t="str">
        <f t="shared" si="8"/>
        <v>20.000-29.999</v>
      </c>
      <c r="G161" s="5">
        <f>Tabela2[[#This Row],[publico]]/Tabela2[[#This Row],[publico_max]]</f>
        <v>0.69552391441157957</v>
      </c>
      <c r="H161" s="5" t="s">
        <v>37</v>
      </c>
      <c r="I161" s="5" t="s">
        <v>70</v>
      </c>
      <c r="J161" s="5">
        <v>8</v>
      </c>
      <c r="K161" s="3" t="str">
        <f t="shared" si="9"/>
        <v>6-10 (intermediário)</v>
      </c>
      <c r="L161" s="5">
        <v>19</v>
      </c>
      <c r="M161" s="3">
        <f t="shared" si="10"/>
        <v>11</v>
      </c>
      <c r="N161" s="5">
        <v>4175</v>
      </c>
      <c r="O161" s="3" t="str">
        <f t="shared" si="11"/>
        <v>3.501–7.000 (intermediário)</v>
      </c>
      <c r="P161" s="5">
        <v>1620</v>
      </c>
      <c r="Q161" s="5" t="s">
        <v>66</v>
      </c>
      <c r="R161" s="5" t="s">
        <v>235</v>
      </c>
      <c r="S161" s="5">
        <v>3</v>
      </c>
      <c r="T161" s="5">
        <v>0</v>
      </c>
      <c r="U161" s="5">
        <v>2</v>
      </c>
      <c r="V161" s="5">
        <v>0</v>
      </c>
      <c r="W161" s="5">
        <v>2</v>
      </c>
      <c r="X161" s="5">
        <v>3</v>
      </c>
      <c r="Y161" s="5">
        <v>8</v>
      </c>
      <c r="Z161" s="5">
        <v>10</v>
      </c>
      <c r="AA161" s="5">
        <v>9</v>
      </c>
      <c r="AB161" s="5">
        <v>7</v>
      </c>
      <c r="AC161" s="5">
        <v>0</v>
      </c>
      <c r="AD161" s="5">
        <v>4</v>
      </c>
      <c r="AE161" s="5">
        <v>3</v>
      </c>
      <c r="AF161" s="5">
        <v>2</v>
      </c>
      <c r="AG161" s="5">
        <v>15</v>
      </c>
      <c r="AH161" s="5">
        <v>2</v>
      </c>
      <c r="AI161" s="5">
        <v>6</v>
      </c>
      <c r="AJ161" s="5">
        <v>2</v>
      </c>
      <c r="AK161" s="5">
        <v>3</v>
      </c>
      <c r="AL161" s="5">
        <v>1</v>
      </c>
      <c r="AM161" s="5">
        <f>IF(Tabela2[[#This Row],[gols_mandante]]=Tabela2[[#This Row],[gols_visitante]],1,0)</f>
        <v>0</v>
      </c>
      <c r="AN161" s="5">
        <f>IF(Tabela2[[#This Row],[gols_mandante]]&gt;Tabela2[[#This Row],[gols_visitante]],1,0)</f>
        <v>1</v>
      </c>
      <c r="AO161" s="5">
        <f>IF(Tabela2[[#This Row],[gols_mandante]]&lt;Tabela2[[#This Row],[gols_visitante]],1,0)</f>
        <v>0</v>
      </c>
      <c r="AP161" s="5" t="s">
        <v>275</v>
      </c>
      <c r="AQ161" s="5">
        <v>0</v>
      </c>
    </row>
    <row r="162" spans="1:43" x14ac:dyDescent="0.25">
      <c r="A162" s="3">
        <v>2024</v>
      </c>
      <c r="B162" s="2">
        <v>45556</v>
      </c>
      <c r="C162" s="3">
        <v>27</v>
      </c>
      <c r="D162" s="3">
        <v>24479</v>
      </c>
      <c r="E162" s="3">
        <v>30618</v>
      </c>
      <c r="F162" s="3" t="str">
        <f t="shared" si="8"/>
        <v>&gt;=30.000</v>
      </c>
      <c r="G162" s="3">
        <f>Tabela2[[#This Row],[publico]]/Tabela2[[#This Row],[publico_max]]</f>
        <v>0.79949702789208965</v>
      </c>
      <c r="H162" s="3" t="s">
        <v>94</v>
      </c>
      <c r="I162" s="3" t="s">
        <v>44</v>
      </c>
      <c r="J162" s="3">
        <v>17</v>
      </c>
      <c r="K162" s="3" t="str">
        <f t="shared" si="9"/>
        <v>16-20 (rebaixamento)</v>
      </c>
      <c r="L162" s="3">
        <v>13</v>
      </c>
      <c r="M162" s="3">
        <f t="shared" si="10"/>
        <v>-4</v>
      </c>
      <c r="N162" s="3">
        <v>1130</v>
      </c>
      <c r="O162" s="3" t="str">
        <f t="shared" si="11"/>
        <v>1–1.500 (rebaixamento)</v>
      </c>
      <c r="P162" s="3">
        <v>835</v>
      </c>
      <c r="Q162" s="3" t="s">
        <v>129</v>
      </c>
      <c r="R162" s="3" t="s">
        <v>193</v>
      </c>
      <c r="S162" s="3">
        <v>1</v>
      </c>
      <c r="T162" s="3">
        <v>0</v>
      </c>
      <c r="U162" s="3">
        <v>1</v>
      </c>
      <c r="V162" s="3">
        <v>0</v>
      </c>
      <c r="W162" s="3">
        <v>4</v>
      </c>
      <c r="X162" s="3">
        <v>5</v>
      </c>
      <c r="Y162" s="3">
        <v>12</v>
      </c>
      <c r="Z162" s="3">
        <v>15</v>
      </c>
      <c r="AA162" s="3">
        <v>15</v>
      </c>
      <c r="AB162" s="3">
        <v>10</v>
      </c>
      <c r="AC162" s="3">
        <v>2</v>
      </c>
      <c r="AD162" s="3">
        <v>1</v>
      </c>
      <c r="AE162" s="3">
        <v>3</v>
      </c>
      <c r="AF162" s="3">
        <v>0</v>
      </c>
      <c r="AG162" s="3">
        <v>13</v>
      </c>
      <c r="AH162" s="3">
        <v>11</v>
      </c>
      <c r="AI162" s="3">
        <v>8</v>
      </c>
      <c r="AJ162" s="3">
        <v>6</v>
      </c>
      <c r="AK162" s="3">
        <v>1</v>
      </c>
      <c r="AL162" s="3">
        <v>1</v>
      </c>
      <c r="AM162" s="3">
        <f>IF(Tabela2[[#This Row],[gols_mandante]]=Tabela2[[#This Row],[gols_visitante]],1,0)</f>
        <v>0</v>
      </c>
      <c r="AN162" s="3">
        <f>IF(Tabela2[[#This Row],[gols_mandante]]&gt;Tabela2[[#This Row],[gols_visitante]],1,0)</f>
        <v>1</v>
      </c>
      <c r="AO162" s="3">
        <f>IF(Tabela2[[#This Row],[gols_mandante]]&lt;Tabela2[[#This Row],[gols_visitante]],1,0)</f>
        <v>0</v>
      </c>
      <c r="AP162" s="3" t="s">
        <v>276</v>
      </c>
      <c r="AQ162" s="3">
        <v>0</v>
      </c>
    </row>
    <row r="163" spans="1:43" x14ac:dyDescent="0.25">
      <c r="A163" s="5">
        <v>2024</v>
      </c>
      <c r="B163" s="4">
        <v>45556</v>
      </c>
      <c r="C163" s="5">
        <v>27</v>
      </c>
      <c r="D163" s="5">
        <v>22000</v>
      </c>
      <c r="E163" s="5">
        <v>82238</v>
      </c>
      <c r="F163" s="5" t="str">
        <f t="shared" si="8"/>
        <v>20.000-29.999</v>
      </c>
      <c r="G163" s="5">
        <f>Tabela2[[#This Row],[publico]]/Tabela2[[#This Row],[publico_max]]</f>
        <v>0.26751623337143415</v>
      </c>
      <c r="H163" s="5" t="s">
        <v>55</v>
      </c>
      <c r="I163" s="5" t="s">
        <v>51</v>
      </c>
      <c r="J163" s="5">
        <v>16</v>
      </c>
      <c r="K163" s="3" t="str">
        <f t="shared" si="9"/>
        <v>16-20 (rebaixamento)</v>
      </c>
      <c r="L163" s="5">
        <v>1</v>
      </c>
      <c r="M163" s="3">
        <f t="shared" si="10"/>
        <v>-15</v>
      </c>
      <c r="N163" s="5">
        <v>3400</v>
      </c>
      <c r="O163" s="3" t="str">
        <f t="shared" si="11"/>
        <v>1.501–3.500 (mediano)</v>
      </c>
      <c r="P163" s="5">
        <v>4110</v>
      </c>
      <c r="Q163" s="5" t="s">
        <v>67</v>
      </c>
      <c r="R163" s="5" t="s">
        <v>66</v>
      </c>
      <c r="S163" s="5">
        <v>0</v>
      </c>
      <c r="T163" s="5">
        <v>1</v>
      </c>
      <c r="U163" s="5">
        <v>0</v>
      </c>
      <c r="V163" s="5">
        <v>0</v>
      </c>
      <c r="W163" s="5">
        <v>5</v>
      </c>
      <c r="X163" s="5">
        <v>4</v>
      </c>
      <c r="Y163" s="5">
        <v>13</v>
      </c>
      <c r="Z163" s="5">
        <v>17</v>
      </c>
      <c r="AA163" s="5">
        <v>16</v>
      </c>
      <c r="AB163" s="5">
        <v>13</v>
      </c>
      <c r="AC163" s="5">
        <v>6</v>
      </c>
      <c r="AD163" s="5">
        <v>5</v>
      </c>
      <c r="AE163" s="5">
        <v>0</v>
      </c>
      <c r="AF163" s="5">
        <v>3</v>
      </c>
      <c r="AG163" s="5">
        <v>13</v>
      </c>
      <c r="AH163" s="5">
        <v>9</v>
      </c>
      <c r="AI163" s="5">
        <v>7</v>
      </c>
      <c r="AJ163" s="5">
        <v>1</v>
      </c>
      <c r="AK163" s="5">
        <v>-1</v>
      </c>
      <c r="AL163" s="5">
        <v>0</v>
      </c>
      <c r="AM163" s="5">
        <f>IF(Tabela2[[#This Row],[gols_mandante]]=Tabela2[[#This Row],[gols_visitante]],1,0)</f>
        <v>0</v>
      </c>
      <c r="AN163" s="5">
        <f>IF(Tabela2[[#This Row],[gols_mandante]]&gt;Tabela2[[#This Row],[gols_visitante]],1,0)</f>
        <v>0</v>
      </c>
      <c r="AO163" s="5">
        <f>IF(Tabela2[[#This Row],[gols_mandante]]&lt;Tabela2[[#This Row],[gols_visitante]],1,0)</f>
        <v>1</v>
      </c>
      <c r="AP163" s="5" t="s">
        <v>127</v>
      </c>
      <c r="AQ163" s="5">
        <v>0</v>
      </c>
    </row>
    <row r="164" spans="1:43" x14ac:dyDescent="0.25">
      <c r="A164" s="3">
        <v>2024</v>
      </c>
      <c r="B164" s="2">
        <v>45557</v>
      </c>
      <c r="C164" s="3">
        <v>27</v>
      </c>
      <c r="D164" s="3">
        <v>5948</v>
      </c>
      <c r="E164" s="3">
        <v>42968</v>
      </c>
      <c r="F164" s="3" t="str">
        <f t="shared" si="8"/>
        <v>20.000-29.999</v>
      </c>
      <c r="G164" s="3">
        <f>Tabela2[[#This Row],[publico]]/Tabela2[[#This Row],[publico_max]]</f>
        <v>0.13842859802643828</v>
      </c>
      <c r="H164" s="3" t="s">
        <v>70</v>
      </c>
      <c r="I164" s="3" t="s">
        <v>50</v>
      </c>
      <c r="J164" s="3">
        <v>19</v>
      </c>
      <c r="K164" s="3" t="str">
        <f t="shared" si="9"/>
        <v>16-20 (rebaixamento)</v>
      </c>
      <c r="L164" s="3">
        <v>8</v>
      </c>
      <c r="M164" s="3">
        <f t="shared" si="10"/>
        <v>-11</v>
      </c>
      <c r="N164" s="3">
        <v>1390</v>
      </c>
      <c r="O164" s="3" t="str">
        <f t="shared" si="11"/>
        <v>1–1.500 (rebaixamento)</v>
      </c>
      <c r="P164" s="3">
        <v>2540</v>
      </c>
      <c r="Q164" s="3" t="s">
        <v>74</v>
      </c>
      <c r="R164" s="3" t="s">
        <v>80</v>
      </c>
      <c r="S164" s="3">
        <v>0</v>
      </c>
      <c r="T164" s="3">
        <v>0</v>
      </c>
      <c r="U164" s="3">
        <v>0</v>
      </c>
      <c r="V164" s="3">
        <v>0</v>
      </c>
      <c r="W164" s="3">
        <v>4</v>
      </c>
      <c r="X164" s="3">
        <v>5</v>
      </c>
      <c r="Y164" s="3">
        <v>10</v>
      </c>
      <c r="Z164" s="3">
        <v>10</v>
      </c>
      <c r="AA164" s="3">
        <v>10</v>
      </c>
      <c r="AB164" s="3">
        <v>10</v>
      </c>
      <c r="AC164" s="3">
        <v>2</v>
      </c>
      <c r="AD164" s="3">
        <v>4</v>
      </c>
      <c r="AE164" s="3">
        <v>2</v>
      </c>
      <c r="AF164" s="3">
        <v>0</v>
      </c>
      <c r="AG164" s="3">
        <v>9</v>
      </c>
      <c r="AH164" s="3">
        <v>13</v>
      </c>
      <c r="AI164" s="3">
        <v>5</v>
      </c>
      <c r="AJ164" s="3">
        <v>5</v>
      </c>
      <c r="AK164" s="3">
        <v>0</v>
      </c>
      <c r="AL164" s="3">
        <v>0</v>
      </c>
      <c r="AM164" s="3">
        <f>IF(Tabela2[[#This Row],[gols_mandante]]=Tabela2[[#This Row],[gols_visitante]],1,0)</f>
        <v>1</v>
      </c>
      <c r="AN164" s="3">
        <f>IF(Tabela2[[#This Row],[gols_mandante]]&gt;Tabela2[[#This Row],[gols_visitante]],1,0)</f>
        <v>0</v>
      </c>
      <c r="AO164" s="3">
        <f>IF(Tabela2[[#This Row],[gols_mandante]]&lt;Tabela2[[#This Row],[gols_visitante]],1,0)</f>
        <v>0</v>
      </c>
      <c r="AP164" s="3" t="s">
        <v>277</v>
      </c>
      <c r="AQ164" s="3">
        <v>0</v>
      </c>
    </row>
    <row r="165" spans="1:43" x14ac:dyDescent="0.25">
      <c r="A165" s="5">
        <v>2024</v>
      </c>
      <c r="B165" s="4">
        <v>45557</v>
      </c>
      <c r="C165" s="5">
        <v>27</v>
      </c>
      <c r="D165" s="5">
        <v>48504</v>
      </c>
      <c r="E165" s="5">
        <v>60540</v>
      </c>
      <c r="F165" s="5" t="str">
        <f t="shared" si="8"/>
        <v>5.000-9.999</v>
      </c>
      <c r="G165" s="5">
        <f>Tabela2[[#This Row],[publico]]/Tabela2[[#This Row],[publico_max]]</f>
        <v>0.80118929633300295</v>
      </c>
      <c r="H165" s="5" t="s">
        <v>83</v>
      </c>
      <c r="I165" s="5" t="s">
        <v>77</v>
      </c>
      <c r="J165" s="5">
        <v>15</v>
      </c>
      <c r="K165" s="3" t="str">
        <f t="shared" si="9"/>
        <v>11-15 (mediano)</v>
      </c>
      <c r="L165" s="5">
        <v>4</v>
      </c>
      <c r="M165" s="3">
        <f t="shared" si="10"/>
        <v>-11</v>
      </c>
      <c r="N165" s="5">
        <v>4100</v>
      </c>
      <c r="O165" s="3" t="str">
        <f t="shared" si="11"/>
        <v>3.501–7.000 (intermediário)</v>
      </c>
      <c r="P165" s="5">
        <v>5330</v>
      </c>
      <c r="Q165" s="5" t="s">
        <v>105</v>
      </c>
      <c r="R165" s="5" t="s">
        <v>278</v>
      </c>
      <c r="S165" s="5">
        <v>3</v>
      </c>
      <c r="T165" s="5">
        <v>2</v>
      </c>
      <c r="U165" s="5">
        <v>1</v>
      </c>
      <c r="V165" s="5">
        <v>1</v>
      </c>
      <c r="W165" s="5">
        <v>4</v>
      </c>
      <c r="X165" s="5">
        <v>6</v>
      </c>
      <c r="Y165" s="5">
        <v>6</v>
      </c>
      <c r="Z165" s="5">
        <v>13</v>
      </c>
      <c r="AA165" s="5">
        <v>12</v>
      </c>
      <c r="AB165" s="5">
        <v>5</v>
      </c>
      <c r="AC165" s="5">
        <v>6</v>
      </c>
      <c r="AD165" s="5">
        <v>1</v>
      </c>
      <c r="AE165" s="5">
        <v>1</v>
      </c>
      <c r="AF165" s="5">
        <v>1</v>
      </c>
      <c r="AG165" s="5">
        <v>12</v>
      </c>
      <c r="AH165" s="5">
        <v>20</v>
      </c>
      <c r="AI165" s="5">
        <v>5</v>
      </c>
      <c r="AJ165" s="5">
        <v>7</v>
      </c>
      <c r="AK165" s="5">
        <v>1</v>
      </c>
      <c r="AL165" s="5">
        <v>1</v>
      </c>
      <c r="AM165" s="5">
        <f>IF(Tabela2[[#This Row],[gols_mandante]]=Tabela2[[#This Row],[gols_visitante]],1,0)</f>
        <v>0</v>
      </c>
      <c r="AN165" s="5">
        <f>IF(Tabela2[[#This Row],[gols_mandante]]&gt;Tabela2[[#This Row],[gols_visitante]],1,0)</f>
        <v>1</v>
      </c>
      <c r="AO165" s="5">
        <f>IF(Tabela2[[#This Row],[gols_mandante]]&lt;Tabela2[[#This Row],[gols_visitante]],1,0)</f>
        <v>0</v>
      </c>
      <c r="AP165" s="5" t="s">
        <v>279</v>
      </c>
      <c r="AQ165" s="5">
        <v>0</v>
      </c>
    </row>
    <row r="166" spans="1:43" x14ac:dyDescent="0.25">
      <c r="A166" s="3">
        <v>2024</v>
      </c>
      <c r="B166" s="2">
        <v>45557</v>
      </c>
      <c r="C166" s="3">
        <v>27</v>
      </c>
      <c r="D166" s="3">
        <v>34533</v>
      </c>
      <c r="E166" s="3">
        <v>46000</v>
      </c>
      <c r="F166" s="3" t="str">
        <f t="shared" si="8"/>
        <v>&gt;=30.000</v>
      </c>
      <c r="G166" s="3">
        <f>Tabela2[[#This Row],[publico]]/Tabela2[[#This Row],[publico_max]]</f>
        <v>0.75071739130434778</v>
      </c>
      <c r="H166" s="3" t="s">
        <v>89</v>
      </c>
      <c r="I166" s="3" t="s">
        <v>56</v>
      </c>
      <c r="J166" s="3">
        <v>9</v>
      </c>
      <c r="K166" s="3" t="str">
        <f t="shared" si="9"/>
        <v>6-10 (intermediário)</v>
      </c>
      <c r="L166" s="3">
        <v>12</v>
      </c>
      <c r="M166" s="3">
        <f t="shared" si="10"/>
        <v>3</v>
      </c>
      <c r="N166" s="3">
        <v>3185</v>
      </c>
      <c r="O166" s="3" t="str">
        <f t="shared" si="11"/>
        <v>1.501–3.500 (mediano)</v>
      </c>
      <c r="P166" s="3">
        <v>3075</v>
      </c>
      <c r="Q166" s="3" t="s">
        <v>135</v>
      </c>
      <c r="R166" s="3" t="s">
        <v>99</v>
      </c>
      <c r="S166" s="3">
        <v>3</v>
      </c>
      <c r="T166" s="3">
        <v>0</v>
      </c>
      <c r="U166" s="3">
        <v>1</v>
      </c>
      <c r="V166" s="3">
        <v>0</v>
      </c>
      <c r="W166" s="3">
        <v>4</v>
      </c>
      <c r="X166" s="3">
        <v>2</v>
      </c>
      <c r="Y166" s="3">
        <v>14</v>
      </c>
      <c r="Z166" s="3">
        <v>9</v>
      </c>
      <c r="AA166" s="3">
        <v>9</v>
      </c>
      <c r="AB166" s="3">
        <v>14</v>
      </c>
      <c r="AC166" s="3">
        <v>3</v>
      </c>
      <c r="AD166" s="3">
        <v>5</v>
      </c>
      <c r="AE166" s="3">
        <v>2</v>
      </c>
      <c r="AF166" s="3">
        <v>1</v>
      </c>
      <c r="AG166" s="3">
        <v>13</v>
      </c>
      <c r="AH166" s="3">
        <v>8</v>
      </c>
      <c r="AI166" s="3">
        <v>5</v>
      </c>
      <c r="AJ166" s="3">
        <v>3</v>
      </c>
      <c r="AK166" s="3">
        <v>3</v>
      </c>
      <c r="AL166" s="3">
        <v>1</v>
      </c>
      <c r="AM166" s="3">
        <f>IF(Tabela2[[#This Row],[gols_mandante]]=Tabela2[[#This Row],[gols_visitante]],1,0)</f>
        <v>0</v>
      </c>
      <c r="AN166" s="3">
        <f>IF(Tabela2[[#This Row],[gols_mandante]]&gt;Tabela2[[#This Row],[gols_visitante]],1,0)</f>
        <v>1</v>
      </c>
      <c r="AO166" s="3">
        <f>IF(Tabela2[[#This Row],[gols_mandante]]&lt;Tabela2[[#This Row],[gols_visitante]],1,0)</f>
        <v>0</v>
      </c>
      <c r="AP166" s="3" t="s">
        <v>280</v>
      </c>
      <c r="AQ166" s="3">
        <v>0</v>
      </c>
    </row>
    <row r="167" spans="1:43" x14ac:dyDescent="0.25">
      <c r="A167" s="5">
        <v>2024</v>
      </c>
      <c r="B167" s="4">
        <v>45557</v>
      </c>
      <c r="C167" s="5">
        <v>27</v>
      </c>
      <c r="D167" s="5">
        <v>35111</v>
      </c>
      <c r="E167" s="5">
        <v>72039</v>
      </c>
      <c r="F167" s="5" t="str">
        <f t="shared" si="8"/>
        <v>&gt;=30.000</v>
      </c>
      <c r="G167" s="5">
        <f>Tabela2[[#This Row],[publico]]/Tabela2[[#This Row],[publico_max]]</f>
        <v>0.48738877552436877</v>
      </c>
      <c r="H167" s="5" t="s">
        <v>62</v>
      </c>
      <c r="I167" s="5" t="s">
        <v>37</v>
      </c>
      <c r="J167" s="5">
        <v>5</v>
      </c>
      <c r="K167" s="3" t="str">
        <f t="shared" si="9"/>
        <v>1-5 (elite)</v>
      </c>
      <c r="L167" s="5">
        <v>6</v>
      </c>
      <c r="M167" s="3">
        <f t="shared" si="10"/>
        <v>1</v>
      </c>
      <c r="N167" s="5">
        <v>2910</v>
      </c>
      <c r="O167" s="3" t="str">
        <f t="shared" si="11"/>
        <v>1.501–3.500 (mediano)</v>
      </c>
      <c r="P167" s="5">
        <v>4225</v>
      </c>
      <c r="Q167" s="5" t="s">
        <v>41</v>
      </c>
      <c r="R167" s="5" t="s">
        <v>129</v>
      </c>
      <c r="S167" s="5">
        <v>1</v>
      </c>
      <c r="T167" s="5">
        <v>3</v>
      </c>
      <c r="U167" s="5">
        <v>1</v>
      </c>
      <c r="V167" s="5">
        <v>1</v>
      </c>
      <c r="W167" s="5">
        <v>2</v>
      </c>
      <c r="X167" s="5">
        <v>4</v>
      </c>
      <c r="Y167" s="5">
        <v>18</v>
      </c>
      <c r="Z167" s="5">
        <v>16</v>
      </c>
      <c r="AA167" s="5">
        <v>15</v>
      </c>
      <c r="AB167" s="5">
        <v>17</v>
      </c>
      <c r="AC167" s="5">
        <v>3</v>
      </c>
      <c r="AD167" s="5">
        <v>1</v>
      </c>
      <c r="AE167" s="5">
        <v>6</v>
      </c>
      <c r="AF167" s="5">
        <v>2</v>
      </c>
      <c r="AG167" s="5">
        <v>7</v>
      </c>
      <c r="AH167" s="5">
        <v>14</v>
      </c>
      <c r="AI167" s="5">
        <v>3</v>
      </c>
      <c r="AJ167" s="5">
        <v>4</v>
      </c>
      <c r="AK167" s="5">
        <v>-2</v>
      </c>
      <c r="AL167" s="5">
        <v>0</v>
      </c>
      <c r="AM167" s="5">
        <f>IF(Tabela2[[#This Row],[gols_mandante]]=Tabela2[[#This Row],[gols_visitante]],1,0)</f>
        <v>0</v>
      </c>
      <c r="AN167" s="5">
        <f>IF(Tabela2[[#This Row],[gols_mandante]]&gt;Tabela2[[#This Row],[gols_visitante]],1,0)</f>
        <v>0</v>
      </c>
      <c r="AO167" s="5">
        <f>IF(Tabela2[[#This Row],[gols_mandante]]&lt;Tabela2[[#This Row],[gols_visitante]],1,0)</f>
        <v>1</v>
      </c>
      <c r="AP167" s="5" t="s">
        <v>187</v>
      </c>
      <c r="AQ167" s="5">
        <v>0</v>
      </c>
    </row>
    <row r="168" spans="1:43" x14ac:dyDescent="0.25">
      <c r="A168" s="3">
        <v>2024</v>
      </c>
      <c r="B168" s="2">
        <v>45557</v>
      </c>
      <c r="C168" s="3">
        <v>27</v>
      </c>
      <c r="D168" s="3">
        <v>25755</v>
      </c>
      <c r="E168" s="3">
        <v>72788</v>
      </c>
      <c r="F168" s="3" t="str">
        <f t="shared" si="8"/>
        <v>&gt;=30.000</v>
      </c>
      <c r="G168" s="3">
        <f>Tabela2[[#This Row],[publico]]/Tabela2[[#This Row],[publico_max]]</f>
        <v>0.35383579710941365</v>
      </c>
      <c r="H168" s="3" t="s">
        <v>82</v>
      </c>
      <c r="I168" s="3" t="s">
        <v>95</v>
      </c>
      <c r="J168" s="3">
        <v>10</v>
      </c>
      <c r="K168" s="3" t="str">
        <f t="shared" si="9"/>
        <v>6-10 (intermediário)</v>
      </c>
      <c r="L168" s="3">
        <v>2</v>
      </c>
      <c r="M168" s="3">
        <f t="shared" si="10"/>
        <v>-8</v>
      </c>
      <c r="N168" s="3">
        <v>3300</v>
      </c>
      <c r="O168" s="3" t="str">
        <f t="shared" si="11"/>
        <v>1.501–3.500 (mediano)</v>
      </c>
      <c r="P168" s="3">
        <v>9550</v>
      </c>
      <c r="Q168" s="3" t="s">
        <v>100</v>
      </c>
      <c r="R168" s="3" t="s">
        <v>116</v>
      </c>
      <c r="S168" s="3">
        <v>0</v>
      </c>
      <c r="T168" s="3">
        <v>1</v>
      </c>
      <c r="U168" s="3">
        <v>0</v>
      </c>
      <c r="V168" s="3">
        <v>1</v>
      </c>
      <c r="W168" s="3">
        <v>5</v>
      </c>
      <c r="X168" s="3">
        <v>5</v>
      </c>
      <c r="Y168" s="3">
        <v>8</v>
      </c>
      <c r="Z168" s="3">
        <v>14</v>
      </c>
      <c r="AA168" s="3">
        <v>14</v>
      </c>
      <c r="AB168" s="3">
        <v>8</v>
      </c>
      <c r="AC168" s="3">
        <v>2</v>
      </c>
      <c r="AD168" s="3">
        <v>3</v>
      </c>
      <c r="AE168" s="3">
        <v>0</v>
      </c>
      <c r="AF168" s="3">
        <v>2</v>
      </c>
      <c r="AG168" s="3">
        <v>10</v>
      </c>
      <c r="AH168" s="3">
        <v>14</v>
      </c>
      <c r="AI168" s="3">
        <v>6</v>
      </c>
      <c r="AJ168" s="3">
        <v>8</v>
      </c>
      <c r="AK168" s="3">
        <v>-1</v>
      </c>
      <c r="AL168" s="3">
        <v>0</v>
      </c>
      <c r="AM168" s="3">
        <f>IF(Tabela2[[#This Row],[gols_mandante]]=Tabela2[[#This Row],[gols_visitante]],1,0)</f>
        <v>0</v>
      </c>
      <c r="AN168" s="3">
        <f>IF(Tabela2[[#This Row],[gols_mandante]]&gt;Tabela2[[#This Row],[gols_visitante]],1,0)</f>
        <v>0</v>
      </c>
      <c r="AO168" s="3">
        <f>IF(Tabela2[[#This Row],[gols_mandante]]&lt;Tabela2[[#This Row],[gols_visitante]],1,0)</f>
        <v>1</v>
      </c>
      <c r="AP168" s="3" t="s">
        <v>121</v>
      </c>
      <c r="AQ168" s="3">
        <v>0</v>
      </c>
    </row>
    <row r="169" spans="1:43" x14ac:dyDescent="0.25">
      <c r="A169" s="5">
        <v>2024</v>
      </c>
      <c r="B169" s="4">
        <v>45557</v>
      </c>
      <c r="C169" s="5">
        <v>27</v>
      </c>
      <c r="D169" s="5">
        <v>42051</v>
      </c>
      <c r="E169" s="5">
        <v>60326</v>
      </c>
      <c r="F169" s="5" t="str">
        <f t="shared" si="8"/>
        <v>20.000-29.999</v>
      </c>
      <c r="G169" s="5">
        <f>Tabela2[[#This Row],[publico]]/Tabela2[[#This Row],[publico_max]]</f>
        <v>0.69706262639657857</v>
      </c>
      <c r="H169" s="5" t="s">
        <v>63</v>
      </c>
      <c r="I169" s="5" t="s">
        <v>38</v>
      </c>
      <c r="J169" s="5">
        <v>3</v>
      </c>
      <c r="K169" s="3" t="str">
        <f t="shared" si="9"/>
        <v>1-5 (elite)</v>
      </c>
      <c r="L169" s="5">
        <v>7</v>
      </c>
      <c r="M169" s="3">
        <f t="shared" si="10"/>
        <v>4</v>
      </c>
      <c r="N169" s="5">
        <v>1745</v>
      </c>
      <c r="O169" s="3" t="str">
        <f t="shared" si="11"/>
        <v>1.501–3.500 (mediano)</v>
      </c>
      <c r="P169" s="5">
        <v>3445</v>
      </c>
      <c r="Q169" s="5" t="s">
        <v>193</v>
      </c>
      <c r="R169" s="5" t="s">
        <v>111</v>
      </c>
      <c r="S169" s="5">
        <v>4</v>
      </c>
      <c r="T169" s="5">
        <v>1</v>
      </c>
      <c r="U169" s="5">
        <v>2</v>
      </c>
      <c r="V169" s="5">
        <v>1</v>
      </c>
      <c r="W169" s="5">
        <v>2</v>
      </c>
      <c r="X169" s="5">
        <v>1</v>
      </c>
      <c r="Y169" s="5">
        <v>13</v>
      </c>
      <c r="Z169" s="5">
        <v>9</v>
      </c>
      <c r="AA169" s="5">
        <v>9</v>
      </c>
      <c r="AB169" s="5">
        <v>10</v>
      </c>
      <c r="AC169" s="5">
        <v>3</v>
      </c>
      <c r="AD169" s="5">
        <v>3</v>
      </c>
      <c r="AE169" s="5">
        <v>3</v>
      </c>
      <c r="AF169" s="5">
        <v>4</v>
      </c>
      <c r="AG169" s="5">
        <v>11</v>
      </c>
      <c r="AH169" s="5">
        <v>9</v>
      </c>
      <c r="AI169" s="5">
        <v>1</v>
      </c>
      <c r="AJ169" s="5">
        <v>2</v>
      </c>
      <c r="AK169" s="5">
        <v>3</v>
      </c>
      <c r="AL169" s="5">
        <v>1</v>
      </c>
      <c r="AM169" s="5">
        <f>IF(Tabela2[[#This Row],[gols_mandante]]=Tabela2[[#This Row],[gols_visitante]],1,0)</f>
        <v>0</v>
      </c>
      <c r="AN169" s="5">
        <f>IF(Tabela2[[#This Row],[gols_mandante]]&gt;Tabela2[[#This Row],[gols_visitante]],1,0)</f>
        <v>1</v>
      </c>
      <c r="AO169" s="5">
        <f>IF(Tabela2[[#This Row],[gols_mandante]]&lt;Tabela2[[#This Row],[gols_visitante]],1,0)</f>
        <v>0</v>
      </c>
      <c r="AP169" s="5" t="s">
        <v>281</v>
      </c>
      <c r="AQ169" s="5">
        <v>1</v>
      </c>
    </row>
    <row r="170" spans="1:43" x14ac:dyDescent="0.25">
      <c r="A170" s="3">
        <v>2024</v>
      </c>
      <c r="B170" s="2">
        <v>45558</v>
      </c>
      <c r="C170" s="3">
        <v>27</v>
      </c>
      <c r="D170" s="3">
        <v>12765</v>
      </c>
      <c r="E170" s="3">
        <v>19225</v>
      </c>
      <c r="F170" s="3" t="str">
        <f t="shared" si="8"/>
        <v>&gt;=30.000</v>
      </c>
      <c r="G170" s="3">
        <f>Tabela2[[#This Row],[publico]]/Tabela2[[#This Row],[publico_max]]</f>
        <v>0.66397919375812742</v>
      </c>
      <c r="H170" s="3" t="s">
        <v>43</v>
      </c>
      <c r="I170" s="3" t="s">
        <v>69</v>
      </c>
      <c r="J170" s="3">
        <v>14</v>
      </c>
      <c r="K170" s="3" t="str">
        <f t="shared" si="9"/>
        <v>11-15 (mediano)</v>
      </c>
      <c r="L170" s="3">
        <v>11</v>
      </c>
      <c r="M170" s="3">
        <f t="shared" si="10"/>
        <v>-3</v>
      </c>
      <c r="N170" s="3">
        <v>680</v>
      </c>
      <c r="O170" s="3" t="str">
        <f t="shared" si="11"/>
        <v>1–1.500 (rebaixamento)</v>
      </c>
      <c r="P170" s="3">
        <v>2010</v>
      </c>
      <c r="Q170" s="3" t="s">
        <v>142</v>
      </c>
      <c r="R170" s="3" t="s">
        <v>233</v>
      </c>
      <c r="S170" s="3">
        <v>0</v>
      </c>
      <c r="T170" s="3">
        <v>0</v>
      </c>
      <c r="U170" s="3">
        <v>0</v>
      </c>
      <c r="V170" s="3">
        <v>0</v>
      </c>
      <c r="W170" s="3">
        <v>12</v>
      </c>
      <c r="X170" s="3">
        <v>1</v>
      </c>
      <c r="Y170" s="3">
        <v>11</v>
      </c>
      <c r="Z170" s="3">
        <v>12</v>
      </c>
      <c r="AA170" s="3">
        <v>12</v>
      </c>
      <c r="AB170" s="3">
        <v>10</v>
      </c>
      <c r="AC170" s="3">
        <v>3</v>
      </c>
      <c r="AD170" s="3">
        <v>7</v>
      </c>
      <c r="AE170" s="3">
        <v>0</v>
      </c>
      <c r="AF170" s="3">
        <v>0</v>
      </c>
      <c r="AG170" s="3">
        <v>25</v>
      </c>
      <c r="AH170" s="3">
        <v>10</v>
      </c>
      <c r="AI170" s="3">
        <v>12</v>
      </c>
      <c r="AJ170" s="3">
        <v>5</v>
      </c>
      <c r="AK170" s="3">
        <v>0</v>
      </c>
      <c r="AL170" s="3">
        <v>0</v>
      </c>
      <c r="AM170" s="3">
        <f>IF(Tabela2[[#This Row],[gols_mandante]]=Tabela2[[#This Row],[gols_visitante]],1,0)</f>
        <v>1</v>
      </c>
      <c r="AN170" s="3">
        <f>IF(Tabela2[[#This Row],[gols_mandante]]&gt;Tabela2[[#This Row],[gols_visitante]],1,0)</f>
        <v>0</v>
      </c>
      <c r="AO170" s="3">
        <f>IF(Tabela2[[#This Row],[gols_mandante]]&lt;Tabela2[[#This Row],[gols_visitante]],1,0)</f>
        <v>0</v>
      </c>
      <c r="AP170" s="3" t="s">
        <v>282</v>
      </c>
      <c r="AQ170" s="3">
        <v>0</v>
      </c>
    </row>
    <row r="171" spans="1:43" x14ac:dyDescent="0.25">
      <c r="A171" s="5">
        <v>2024</v>
      </c>
      <c r="B171" s="4">
        <v>45563</v>
      </c>
      <c r="C171" s="5">
        <v>28</v>
      </c>
      <c r="D171" s="5">
        <v>16040</v>
      </c>
      <c r="E171" s="5">
        <v>32713</v>
      </c>
      <c r="F171" s="5" t="str">
        <f t="shared" si="8"/>
        <v>10.000-14.999</v>
      </c>
      <c r="G171" s="5">
        <f>Tabela2[[#This Row],[publico]]/Tabela2[[#This Row],[publico_max]]</f>
        <v>0.49032494726866993</v>
      </c>
      <c r="H171" s="5" t="s">
        <v>95</v>
      </c>
      <c r="I171" s="5" t="s">
        <v>89</v>
      </c>
      <c r="J171" s="5">
        <v>2</v>
      </c>
      <c r="K171" s="3" t="str">
        <f t="shared" si="9"/>
        <v>1-5 (elite)</v>
      </c>
      <c r="L171" s="5">
        <v>10</v>
      </c>
      <c r="M171" s="3">
        <f t="shared" si="10"/>
        <v>8</v>
      </c>
      <c r="N171" s="5">
        <v>8650</v>
      </c>
      <c r="O171" s="3" t="str">
        <f t="shared" si="11"/>
        <v>7.001+ (elite)</v>
      </c>
      <c r="P171" s="5">
        <v>3960</v>
      </c>
      <c r="Q171" s="5" t="s">
        <v>168</v>
      </c>
      <c r="R171" s="5" t="s">
        <v>92</v>
      </c>
      <c r="S171" s="5">
        <v>2</v>
      </c>
      <c r="T171" s="5">
        <v>1</v>
      </c>
      <c r="U171" s="5">
        <v>1</v>
      </c>
      <c r="V171" s="5">
        <v>0</v>
      </c>
      <c r="W171" s="5">
        <v>7</v>
      </c>
      <c r="X171" s="5">
        <v>3</v>
      </c>
      <c r="Y171" s="5">
        <v>15</v>
      </c>
      <c r="Z171" s="5">
        <v>10</v>
      </c>
      <c r="AA171" s="5">
        <v>10</v>
      </c>
      <c r="AB171" s="5">
        <v>15</v>
      </c>
      <c r="AC171" s="5">
        <v>3</v>
      </c>
      <c r="AD171" s="5">
        <v>6</v>
      </c>
      <c r="AE171" s="5">
        <v>2</v>
      </c>
      <c r="AF171" s="5">
        <v>1</v>
      </c>
      <c r="AG171" s="5">
        <v>15</v>
      </c>
      <c r="AH171" s="5">
        <v>6</v>
      </c>
      <c r="AI171" s="5">
        <v>3</v>
      </c>
      <c r="AJ171" s="5">
        <v>2</v>
      </c>
      <c r="AK171" s="5">
        <v>1</v>
      </c>
      <c r="AL171" s="5">
        <v>1</v>
      </c>
      <c r="AM171" s="5">
        <f>IF(Tabela2[[#This Row],[gols_mandante]]=Tabela2[[#This Row],[gols_visitante]],1,0)</f>
        <v>0</v>
      </c>
      <c r="AN171" s="5">
        <f>IF(Tabela2[[#This Row],[gols_mandante]]&gt;Tabela2[[#This Row],[gols_visitante]],1,0)</f>
        <v>1</v>
      </c>
      <c r="AO171" s="5">
        <f>IF(Tabela2[[#This Row],[gols_mandante]]&lt;Tabela2[[#This Row],[gols_visitante]],1,0)</f>
        <v>0</v>
      </c>
      <c r="AP171" s="5" t="s">
        <v>283</v>
      </c>
      <c r="AQ171" s="5">
        <v>0</v>
      </c>
    </row>
    <row r="172" spans="1:43" x14ac:dyDescent="0.25">
      <c r="A172" s="3">
        <v>2024</v>
      </c>
      <c r="B172" s="2">
        <v>45564</v>
      </c>
      <c r="C172" s="3">
        <v>28</v>
      </c>
      <c r="D172" s="3">
        <v>42220</v>
      </c>
      <c r="E172" s="3">
        <v>46931</v>
      </c>
      <c r="F172" s="3" t="str">
        <f t="shared" si="8"/>
        <v>15.000-19.999</v>
      </c>
      <c r="G172" s="3">
        <f>Tabela2[[#This Row],[publico]]/Tabela2[[#This Row],[publico_max]]</f>
        <v>0.89961858899235048</v>
      </c>
      <c r="H172" s="3" t="s">
        <v>51</v>
      </c>
      <c r="I172" s="3" t="s">
        <v>83</v>
      </c>
      <c r="J172" s="3">
        <v>1</v>
      </c>
      <c r="K172" s="3" t="str">
        <f t="shared" si="9"/>
        <v>1-5 (elite)</v>
      </c>
      <c r="L172" s="3">
        <v>14</v>
      </c>
      <c r="M172" s="3">
        <f t="shared" si="10"/>
        <v>13</v>
      </c>
      <c r="N172" s="3">
        <v>6960</v>
      </c>
      <c r="O172" s="3" t="str">
        <f t="shared" si="11"/>
        <v>3.501–7.000 (intermediário)</v>
      </c>
      <c r="P172" s="3">
        <v>4150</v>
      </c>
      <c r="Q172" s="3" t="s">
        <v>100</v>
      </c>
      <c r="R172" s="3" t="s">
        <v>166</v>
      </c>
      <c r="S172" s="3">
        <v>0</v>
      </c>
      <c r="T172" s="3">
        <v>0</v>
      </c>
      <c r="U172" s="3">
        <v>0</v>
      </c>
      <c r="V172" s="3">
        <v>0</v>
      </c>
      <c r="W172" s="3">
        <v>5</v>
      </c>
      <c r="X172" s="3">
        <v>3</v>
      </c>
      <c r="Y172" s="3">
        <v>10</v>
      </c>
      <c r="Z172" s="3">
        <v>14</v>
      </c>
      <c r="AA172" s="3">
        <v>13</v>
      </c>
      <c r="AB172" s="3">
        <v>9</v>
      </c>
      <c r="AC172" s="3">
        <v>4</v>
      </c>
      <c r="AD172" s="3">
        <v>3</v>
      </c>
      <c r="AE172" s="3">
        <v>2</v>
      </c>
      <c r="AF172" s="3">
        <v>0</v>
      </c>
      <c r="AG172" s="3">
        <v>15</v>
      </c>
      <c r="AH172" s="3">
        <v>11</v>
      </c>
      <c r="AI172" s="3">
        <v>6</v>
      </c>
      <c r="AJ172" s="3">
        <v>5</v>
      </c>
      <c r="AK172" s="3">
        <v>0</v>
      </c>
      <c r="AL172" s="3">
        <v>0</v>
      </c>
      <c r="AM172" s="3">
        <f>IF(Tabela2[[#This Row],[gols_mandante]]=Tabela2[[#This Row],[gols_visitante]],1,0)</f>
        <v>1</v>
      </c>
      <c r="AN172" s="3">
        <f>IF(Tabela2[[#This Row],[gols_mandante]]&gt;Tabela2[[#This Row],[gols_visitante]],1,0)</f>
        <v>0</v>
      </c>
      <c r="AO172" s="3">
        <f>IF(Tabela2[[#This Row],[gols_mandante]]&lt;Tabela2[[#This Row],[gols_visitante]],1,0)</f>
        <v>0</v>
      </c>
      <c r="AP172" s="3" t="s">
        <v>285</v>
      </c>
      <c r="AQ172" s="3">
        <v>0</v>
      </c>
    </row>
    <row r="173" spans="1:43" x14ac:dyDescent="0.25">
      <c r="A173" s="5">
        <v>2024</v>
      </c>
      <c r="B173" s="4">
        <v>45564</v>
      </c>
      <c r="C173" s="5">
        <v>28</v>
      </c>
      <c r="D173" s="5">
        <v>56331</v>
      </c>
      <c r="E173" s="5">
        <v>61927</v>
      </c>
      <c r="F173" s="5" t="str">
        <f t="shared" si="8"/>
        <v>&gt;=30.000</v>
      </c>
      <c r="G173" s="5">
        <f>Tabela2[[#This Row],[publico]]/Tabela2[[#This Row],[publico_max]]</f>
        <v>0.90963553861805024</v>
      </c>
      <c r="H173" s="5" t="s">
        <v>50</v>
      </c>
      <c r="I173" s="5" t="s">
        <v>82</v>
      </c>
      <c r="J173" s="5">
        <v>8</v>
      </c>
      <c r="K173" s="3" t="str">
        <f t="shared" si="9"/>
        <v>6-10 (intermediário)</v>
      </c>
      <c r="L173" s="5">
        <v>9</v>
      </c>
      <c r="M173" s="3">
        <f t="shared" si="10"/>
        <v>1</v>
      </c>
      <c r="N173" s="5">
        <v>4180</v>
      </c>
      <c r="O173" s="3" t="str">
        <f t="shared" si="11"/>
        <v>3.501–7.000 (intermediário)</v>
      </c>
      <c r="P173" s="5">
        <v>3805</v>
      </c>
      <c r="Q173" s="5" t="s">
        <v>135</v>
      </c>
      <c r="R173" s="5" t="s">
        <v>135</v>
      </c>
      <c r="S173" s="5">
        <v>1</v>
      </c>
      <c r="T173" s="5">
        <v>1</v>
      </c>
      <c r="U173" s="5">
        <v>0</v>
      </c>
      <c r="V173" s="5">
        <v>1</v>
      </c>
      <c r="W173" s="5">
        <v>11</v>
      </c>
      <c r="X173" s="5">
        <v>4</v>
      </c>
      <c r="Y173" s="5">
        <v>7</v>
      </c>
      <c r="Z173" s="5">
        <v>6</v>
      </c>
      <c r="AA173" s="5">
        <v>6</v>
      </c>
      <c r="AB173" s="5">
        <v>6</v>
      </c>
      <c r="AC173" s="5">
        <v>3</v>
      </c>
      <c r="AD173" s="5">
        <v>5</v>
      </c>
      <c r="AE173" s="5">
        <v>1</v>
      </c>
      <c r="AF173" s="5">
        <v>0</v>
      </c>
      <c r="AG173" s="5">
        <v>15</v>
      </c>
      <c r="AH173" s="5">
        <v>13</v>
      </c>
      <c r="AI173" s="5">
        <v>8</v>
      </c>
      <c r="AJ173" s="5">
        <v>6</v>
      </c>
      <c r="AK173" s="5">
        <v>0</v>
      </c>
      <c r="AL173" s="5">
        <v>0</v>
      </c>
      <c r="AM173" s="5">
        <f>IF(Tabela2[[#This Row],[gols_mandante]]=Tabela2[[#This Row],[gols_visitante]],1,0)</f>
        <v>1</v>
      </c>
      <c r="AN173" s="5">
        <f>IF(Tabela2[[#This Row],[gols_mandante]]&gt;Tabela2[[#This Row],[gols_visitante]],1,0)</f>
        <v>0</v>
      </c>
      <c r="AO173" s="5">
        <f>IF(Tabela2[[#This Row],[gols_mandante]]&lt;Tabela2[[#This Row],[gols_visitante]],1,0)</f>
        <v>0</v>
      </c>
      <c r="AP173" s="5" t="s">
        <v>256</v>
      </c>
      <c r="AQ173" s="5">
        <v>0</v>
      </c>
    </row>
    <row r="174" spans="1:43" x14ac:dyDescent="0.25">
      <c r="A174" s="3">
        <v>2024</v>
      </c>
      <c r="B174" s="2">
        <v>45564</v>
      </c>
      <c r="C174" s="3">
        <v>28</v>
      </c>
      <c r="D174" s="3">
        <v>6285</v>
      </c>
      <c r="E174" s="3">
        <v>23726</v>
      </c>
      <c r="F174" s="3" t="str">
        <f t="shared" si="8"/>
        <v>&gt;=30.000</v>
      </c>
      <c r="G174" s="3">
        <f>Tabela2[[#This Row],[publico]]/Tabela2[[#This Row],[publico_max]]</f>
        <v>0.26489926662732866</v>
      </c>
      <c r="H174" s="3" t="s">
        <v>44</v>
      </c>
      <c r="I174" s="3" t="s">
        <v>56</v>
      </c>
      <c r="J174" s="3">
        <v>13</v>
      </c>
      <c r="K174" s="3" t="str">
        <f t="shared" si="9"/>
        <v>11-15 (mediano)</v>
      </c>
      <c r="L174" s="3">
        <v>12</v>
      </c>
      <c r="M174" s="3">
        <f t="shared" si="10"/>
        <v>-1</v>
      </c>
      <c r="N174" s="3">
        <v>765</v>
      </c>
      <c r="O174" s="3" t="str">
        <f t="shared" si="11"/>
        <v>1–1.500 (rebaixamento)</v>
      </c>
      <c r="P174" s="3">
        <v>3370</v>
      </c>
      <c r="Q174" s="3" t="s">
        <v>142</v>
      </c>
      <c r="R174" s="3" t="s">
        <v>233</v>
      </c>
      <c r="S174" s="3">
        <v>1</v>
      </c>
      <c r="T174" s="3">
        <v>1</v>
      </c>
      <c r="U174" s="3">
        <v>0</v>
      </c>
      <c r="V174" s="3">
        <v>0</v>
      </c>
      <c r="W174" s="3">
        <v>4</v>
      </c>
      <c r="X174" s="3">
        <v>5</v>
      </c>
      <c r="Y174" s="3">
        <v>9</v>
      </c>
      <c r="Z174" s="3">
        <v>19</v>
      </c>
      <c r="AA174" s="3">
        <v>18</v>
      </c>
      <c r="AB174" s="3">
        <v>9</v>
      </c>
      <c r="AC174" s="3">
        <v>5</v>
      </c>
      <c r="AD174" s="3">
        <v>5</v>
      </c>
      <c r="AE174" s="3">
        <v>1</v>
      </c>
      <c r="AF174" s="3">
        <v>0</v>
      </c>
      <c r="AG174" s="3">
        <v>12</v>
      </c>
      <c r="AH174" s="3">
        <v>15</v>
      </c>
      <c r="AI174" s="3">
        <v>5</v>
      </c>
      <c r="AJ174" s="3">
        <v>6</v>
      </c>
      <c r="AK174" s="3">
        <v>0</v>
      </c>
      <c r="AL174" s="3">
        <v>0</v>
      </c>
      <c r="AM174" s="3">
        <f>IF(Tabela2[[#This Row],[gols_mandante]]=Tabela2[[#This Row],[gols_visitante]],1,0)</f>
        <v>1</v>
      </c>
      <c r="AN174" s="3">
        <f>IF(Tabela2[[#This Row],[gols_mandante]]&gt;Tabela2[[#This Row],[gols_visitante]],1,0)</f>
        <v>0</v>
      </c>
      <c r="AO174" s="3">
        <f>IF(Tabela2[[#This Row],[gols_mandante]]&lt;Tabela2[[#This Row],[gols_visitante]],1,0)</f>
        <v>0</v>
      </c>
      <c r="AP174" s="3" t="s">
        <v>288</v>
      </c>
      <c r="AQ174" s="3">
        <v>0</v>
      </c>
    </row>
    <row r="175" spans="1:43" x14ac:dyDescent="0.25">
      <c r="A175" s="5">
        <v>2024</v>
      </c>
      <c r="B175" s="4">
        <v>45564</v>
      </c>
      <c r="C175" s="5">
        <v>28</v>
      </c>
      <c r="D175" s="5">
        <v>7871</v>
      </c>
      <c r="E175" s="5">
        <v>13000</v>
      </c>
      <c r="F175" s="5" t="str">
        <f t="shared" si="8"/>
        <v>5.000-9.999</v>
      </c>
      <c r="G175" s="5">
        <f>Tabela2[[#This Row],[publico]]/Tabela2[[#This Row],[publico_max]]</f>
        <v>0.6054615384615385</v>
      </c>
      <c r="H175" s="5" t="s">
        <v>76</v>
      </c>
      <c r="I175" s="5" t="s">
        <v>55</v>
      </c>
      <c r="J175" s="5">
        <v>20</v>
      </c>
      <c r="K175" s="3" t="str">
        <f t="shared" si="9"/>
        <v>16-20 (rebaixamento)</v>
      </c>
      <c r="L175" s="5">
        <v>16</v>
      </c>
      <c r="M175" s="3">
        <f t="shared" si="10"/>
        <v>-4</v>
      </c>
      <c r="N175" s="5">
        <v>950</v>
      </c>
      <c r="O175" s="3" t="str">
        <f t="shared" si="11"/>
        <v>1–1.500 (rebaixamento)</v>
      </c>
      <c r="P175" s="5">
        <v>3145</v>
      </c>
      <c r="Q175" s="5" t="s">
        <v>252</v>
      </c>
      <c r="R175" s="5" t="s">
        <v>289</v>
      </c>
      <c r="S175" s="5">
        <v>1</v>
      </c>
      <c r="T175" s="5">
        <v>0</v>
      </c>
      <c r="U175" s="5">
        <v>0</v>
      </c>
      <c r="V175" s="5">
        <v>0</v>
      </c>
      <c r="W175" s="5">
        <v>4</v>
      </c>
      <c r="X175" s="5">
        <v>3</v>
      </c>
      <c r="Y175" s="5">
        <v>15</v>
      </c>
      <c r="Z175" s="5">
        <v>14</v>
      </c>
      <c r="AA175" s="5">
        <v>14</v>
      </c>
      <c r="AB175" s="5">
        <v>14</v>
      </c>
      <c r="AC175" s="5">
        <v>2</v>
      </c>
      <c r="AD175" s="5">
        <v>6</v>
      </c>
      <c r="AE175" s="5">
        <v>2</v>
      </c>
      <c r="AF175" s="5">
        <v>0</v>
      </c>
      <c r="AG175" s="5">
        <v>16</v>
      </c>
      <c r="AH175" s="5">
        <v>13</v>
      </c>
      <c r="AI175" s="5">
        <v>7</v>
      </c>
      <c r="AJ175" s="5">
        <v>7</v>
      </c>
      <c r="AK175" s="5">
        <v>1</v>
      </c>
      <c r="AL175" s="5">
        <v>1</v>
      </c>
      <c r="AM175" s="5">
        <f>IF(Tabela2[[#This Row],[gols_mandante]]=Tabela2[[#This Row],[gols_visitante]],1,0)</f>
        <v>0</v>
      </c>
      <c r="AN175" s="5">
        <f>IF(Tabela2[[#This Row],[gols_mandante]]&gt;Tabela2[[#This Row],[gols_visitante]],1,0)</f>
        <v>1</v>
      </c>
      <c r="AO175" s="5">
        <f>IF(Tabela2[[#This Row],[gols_mandante]]&lt;Tabela2[[#This Row],[gols_visitante]],1,0)</f>
        <v>0</v>
      </c>
      <c r="AP175" s="5" t="s">
        <v>201</v>
      </c>
      <c r="AQ175" s="5">
        <v>0</v>
      </c>
    </row>
    <row r="176" spans="1:43" x14ac:dyDescent="0.25">
      <c r="A176" s="3">
        <v>2024</v>
      </c>
      <c r="B176" s="2">
        <v>45564</v>
      </c>
      <c r="C176" s="3">
        <v>28</v>
      </c>
      <c r="D176" s="3">
        <v>25888</v>
      </c>
      <c r="E176" s="3">
        <v>72039</v>
      </c>
      <c r="F176" s="3" t="str">
        <f t="shared" si="8"/>
        <v>5.000-9.999</v>
      </c>
      <c r="G176" s="3">
        <f>Tabela2[[#This Row],[publico]]/Tabela2[[#This Row],[publico_max]]</f>
        <v>0.3593609017337831</v>
      </c>
      <c r="H176" s="3" t="s">
        <v>62</v>
      </c>
      <c r="I176" s="3" t="s">
        <v>88</v>
      </c>
      <c r="J176" s="3">
        <v>5</v>
      </c>
      <c r="K176" s="3" t="str">
        <f t="shared" si="9"/>
        <v>1-5 (elite)</v>
      </c>
      <c r="L176" s="3">
        <v>18</v>
      </c>
      <c r="M176" s="3">
        <f t="shared" si="10"/>
        <v>13</v>
      </c>
      <c r="N176" s="3">
        <v>2375</v>
      </c>
      <c r="O176" s="3" t="str">
        <f t="shared" si="11"/>
        <v>1.501–3.500 (mediano)</v>
      </c>
      <c r="P176" s="3">
        <v>4140</v>
      </c>
      <c r="Q176" s="3" t="s">
        <v>179</v>
      </c>
      <c r="R176" s="3" t="s">
        <v>73</v>
      </c>
      <c r="S176" s="3">
        <v>3</v>
      </c>
      <c r="T176" s="3">
        <v>1</v>
      </c>
      <c r="U176" s="3">
        <v>1</v>
      </c>
      <c r="V176" s="3">
        <v>0</v>
      </c>
      <c r="W176" s="3">
        <v>7</v>
      </c>
      <c r="X176" s="3">
        <v>2</v>
      </c>
      <c r="Y176" s="3">
        <v>18</v>
      </c>
      <c r="Z176" s="3">
        <v>17</v>
      </c>
      <c r="AA176" s="3">
        <v>17</v>
      </c>
      <c r="AB176" s="3">
        <v>18</v>
      </c>
      <c r="AC176" s="3">
        <v>2</v>
      </c>
      <c r="AD176" s="3">
        <v>5</v>
      </c>
      <c r="AE176" s="3">
        <v>2</v>
      </c>
      <c r="AF176" s="3">
        <v>2</v>
      </c>
      <c r="AG176" s="3">
        <v>19</v>
      </c>
      <c r="AH176" s="3">
        <v>11</v>
      </c>
      <c r="AI176" s="3">
        <v>6</v>
      </c>
      <c r="AJ176" s="3">
        <v>5</v>
      </c>
      <c r="AK176" s="3">
        <v>2</v>
      </c>
      <c r="AL176" s="3">
        <v>1</v>
      </c>
      <c r="AM176" s="3">
        <f>IF(Tabela2[[#This Row],[gols_mandante]]=Tabela2[[#This Row],[gols_visitante]],1,0)</f>
        <v>0</v>
      </c>
      <c r="AN176" s="3">
        <f>IF(Tabela2[[#This Row],[gols_mandante]]&gt;Tabela2[[#This Row],[gols_visitante]],1,0)</f>
        <v>1</v>
      </c>
      <c r="AO176" s="3">
        <f>IF(Tabela2[[#This Row],[gols_mandante]]&lt;Tabela2[[#This Row],[gols_visitante]],1,0)</f>
        <v>0</v>
      </c>
      <c r="AP176" s="3" t="s">
        <v>290</v>
      </c>
      <c r="AQ176" s="3">
        <v>0</v>
      </c>
    </row>
    <row r="177" spans="1:43" x14ac:dyDescent="0.25">
      <c r="A177" s="5">
        <v>2024</v>
      </c>
      <c r="B177" s="4">
        <v>45564</v>
      </c>
      <c r="C177" s="5">
        <v>28</v>
      </c>
      <c r="D177" s="5">
        <v>45112</v>
      </c>
      <c r="E177" s="5">
        <v>50848</v>
      </c>
      <c r="F177" s="5" t="str">
        <f t="shared" si="8"/>
        <v>20.000-29.999</v>
      </c>
      <c r="G177" s="5">
        <f>Tabela2[[#This Row],[publico]]/Tabela2[[#This Row],[publico_max]]</f>
        <v>0.8871932032724984</v>
      </c>
      <c r="H177" s="5" t="s">
        <v>37</v>
      </c>
      <c r="I177" s="5" t="s">
        <v>94</v>
      </c>
      <c r="J177" s="5">
        <v>6</v>
      </c>
      <c r="K177" s="3" t="str">
        <f t="shared" si="9"/>
        <v>6-10 (intermediário)</v>
      </c>
      <c r="L177" s="5">
        <v>17</v>
      </c>
      <c r="M177" s="3">
        <f t="shared" si="10"/>
        <v>11</v>
      </c>
      <c r="N177" s="5">
        <v>4000</v>
      </c>
      <c r="O177" s="3" t="str">
        <f t="shared" si="11"/>
        <v>3.501–7.000 (intermediário)</v>
      </c>
      <c r="P177" s="5">
        <v>1550</v>
      </c>
      <c r="Q177" s="5" t="s">
        <v>41</v>
      </c>
      <c r="R177" s="5" t="s">
        <v>114</v>
      </c>
      <c r="S177" s="5">
        <v>3</v>
      </c>
      <c r="T177" s="5">
        <v>1</v>
      </c>
      <c r="U177" s="5">
        <v>1</v>
      </c>
      <c r="V177" s="5">
        <v>0</v>
      </c>
      <c r="W177" s="5">
        <v>2</v>
      </c>
      <c r="X177" s="5">
        <v>6</v>
      </c>
      <c r="Y177" s="5">
        <v>26</v>
      </c>
      <c r="Z177" s="5">
        <v>8</v>
      </c>
      <c r="AA177" s="5">
        <v>8</v>
      </c>
      <c r="AB177" s="5">
        <v>25</v>
      </c>
      <c r="AC177" s="5">
        <v>3</v>
      </c>
      <c r="AD177" s="5">
        <v>2</v>
      </c>
      <c r="AE177" s="5">
        <v>0</v>
      </c>
      <c r="AF177" s="5">
        <v>4</v>
      </c>
      <c r="AG177" s="5">
        <v>10</v>
      </c>
      <c r="AH177" s="5">
        <v>7</v>
      </c>
      <c r="AI177" s="5">
        <v>2</v>
      </c>
      <c r="AJ177" s="5">
        <v>1</v>
      </c>
      <c r="AK177" s="5">
        <v>2</v>
      </c>
      <c r="AL177" s="5">
        <v>1</v>
      </c>
      <c r="AM177" s="5">
        <f>IF(Tabela2[[#This Row],[gols_mandante]]=Tabela2[[#This Row],[gols_visitante]],1,0)</f>
        <v>0</v>
      </c>
      <c r="AN177" s="5">
        <f>IF(Tabela2[[#This Row],[gols_mandante]]&gt;Tabela2[[#This Row],[gols_visitante]],1,0)</f>
        <v>1</v>
      </c>
      <c r="AO177" s="5">
        <f>IF(Tabela2[[#This Row],[gols_mandante]]&lt;Tabela2[[#This Row],[gols_visitante]],1,0)</f>
        <v>0</v>
      </c>
      <c r="AP177" s="5" t="s">
        <v>291</v>
      </c>
      <c r="AQ177" s="5">
        <v>0</v>
      </c>
    </row>
    <row r="178" spans="1:43" x14ac:dyDescent="0.25">
      <c r="A178" s="3">
        <v>2024</v>
      </c>
      <c r="B178" s="2">
        <v>45564</v>
      </c>
      <c r="C178" s="3">
        <v>28</v>
      </c>
      <c r="D178" s="3">
        <v>24574</v>
      </c>
      <c r="E178" s="3">
        <v>47364</v>
      </c>
      <c r="F178" s="3" t="str">
        <f t="shared" si="8"/>
        <v>&gt;=30.000</v>
      </c>
      <c r="G178" s="3">
        <f>Tabela2[[#This Row],[publico]]/Tabela2[[#This Row],[publico_max]]</f>
        <v>0.5188328688455367</v>
      </c>
      <c r="H178" s="3" t="s">
        <v>38</v>
      </c>
      <c r="I178" s="3" t="s">
        <v>43</v>
      </c>
      <c r="J178" s="3">
        <v>7</v>
      </c>
      <c r="K178" s="3" t="str">
        <f t="shared" si="9"/>
        <v>6-10 (intermediário)</v>
      </c>
      <c r="L178" s="3">
        <v>15</v>
      </c>
      <c r="M178" s="3">
        <f t="shared" si="10"/>
        <v>8</v>
      </c>
      <c r="N178" s="3">
        <v>3745</v>
      </c>
      <c r="O178" s="3" t="str">
        <f t="shared" si="11"/>
        <v>3.501–7.000 (intermediário)</v>
      </c>
      <c r="P178" s="3">
        <v>785</v>
      </c>
      <c r="Q178" s="3" t="s">
        <v>123</v>
      </c>
      <c r="R178" s="3" t="s">
        <v>197</v>
      </c>
      <c r="S178" s="3">
        <v>1</v>
      </c>
      <c r="T178" s="3">
        <v>0</v>
      </c>
      <c r="U178" s="3">
        <v>1</v>
      </c>
      <c r="V178" s="3">
        <v>0</v>
      </c>
      <c r="W178" s="3">
        <v>9</v>
      </c>
      <c r="X178" s="3">
        <v>1</v>
      </c>
      <c r="Y178" s="3">
        <v>10</v>
      </c>
      <c r="Z178" s="3">
        <v>8</v>
      </c>
      <c r="AA178" s="3">
        <v>8</v>
      </c>
      <c r="AB178" s="3">
        <v>10</v>
      </c>
      <c r="AC178" s="3">
        <v>1</v>
      </c>
      <c r="AD178" s="3">
        <v>5</v>
      </c>
      <c r="AE178" s="3">
        <v>0</v>
      </c>
      <c r="AF178" s="3">
        <v>5</v>
      </c>
      <c r="AG178" s="3">
        <v>21</v>
      </c>
      <c r="AH178" s="3">
        <v>2</v>
      </c>
      <c r="AI178" s="3">
        <v>10</v>
      </c>
      <c r="AJ178" s="3">
        <v>1</v>
      </c>
      <c r="AK178" s="3">
        <v>1</v>
      </c>
      <c r="AL178" s="3">
        <v>1</v>
      </c>
      <c r="AM178" s="3">
        <f>IF(Tabela2[[#This Row],[gols_mandante]]=Tabela2[[#This Row],[gols_visitante]],1,0)</f>
        <v>0</v>
      </c>
      <c r="AN178" s="3">
        <f>IF(Tabela2[[#This Row],[gols_mandante]]&gt;Tabela2[[#This Row],[gols_visitante]],1,0)</f>
        <v>1</v>
      </c>
      <c r="AO178" s="3">
        <f>IF(Tabela2[[#This Row],[gols_mandante]]&lt;Tabela2[[#This Row],[gols_visitante]],1,0)</f>
        <v>0</v>
      </c>
      <c r="AP178" s="3" t="s">
        <v>292</v>
      </c>
      <c r="AQ178" s="3">
        <v>0</v>
      </c>
    </row>
    <row r="179" spans="1:43" x14ac:dyDescent="0.25">
      <c r="A179" s="5">
        <v>2024</v>
      </c>
      <c r="B179" s="4">
        <v>45564</v>
      </c>
      <c r="C179" s="5">
        <v>28</v>
      </c>
      <c r="D179" s="5">
        <v>42000</v>
      </c>
      <c r="E179" s="5">
        <v>60326</v>
      </c>
      <c r="F179" s="5" t="str">
        <f t="shared" si="8"/>
        <v>20.000-29.999</v>
      </c>
      <c r="G179" s="5">
        <f>Tabela2[[#This Row],[publico]]/Tabela2[[#This Row],[publico_max]]</f>
        <v>0.69621721977256901</v>
      </c>
      <c r="H179" s="5" t="s">
        <v>63</v>
      </c>
      <c r="I179" s="5" t="s">
        <v>70</v>
      </c>
      <c r="J179" s="5">
        <v>3</v>
      </c>
      <c r="K179" s="3" t="str">
        <f t="shared" si="9"/>
        <v>1-5 (elite)</v>
      </c>
      <c r="L179" s="5">
        <v>19</v>
      </c>
      <c r="M179" s="3">
        <f t="shared" si="10"/>
        <v>16</v>
      </c>
      <c r="N179" s="5">
        <v>1805</v>
      </c>
      <c r="O179" s="3" t="str">
        <f t="shared" si="11"/>
        <v>1.501–3.500 (mediano)</v>
      </c>
      <c r="P179" s="5">
        <v>1840</v>
      </c>
      <c r="Q179" s="5" t="s">
        <v>134</v>
      </c>
      <c r="R179" s="5" t="s">
        <v>74</v>
      </c>
      <c r="S179" s="5">
        <v>1</v>
      </c>
      <c r="T179" s="5">
        <v>0</v>
      </c>
      <c r="U179" s="5">
        <v>1</v>
      </c>
      <c r="V179" s="5">
        <v>0</v>
      </c>
      <c r="W179" s="5">
        <v>7</v>
      </c>
      <c r="X179" s="5">
        <v>3</v>
      </c>
      <c r="Y179" s="5">
        <v>18</v>
      </c>
      <c r="Z179" s="5">
        <v>9</v>
      </c>
      <c r="AA179" s="5">
        <v>9</v>
      </c>
      <c r="AB179" s="5">
        <v>16</v>
      </c>
      <c r="AC179" s="5">
        <v>1</v>
      </c>
      <c r="AD179" s="5">
        <v>6</v>
      </c>
      <c r="AE179" s="5">
        <v>2</v>
      </c>
      <c r="AF179" s="5">
        <v>7</v>
      </c>
      <c r="AG179" s="5">
        <v>15</v>
      </c>
      <c r="AH179" s="5">
        <v>2</v>
      </c>
      <c r="AI179" s="5">
        <v>7</v>
      </c>
      <c r="AJ179" s="5">
        <v>1</v>
      </c>
      <c r="AK179" s="5">
        <v>1</v>
      </c>
      <c r="AL179" s="5">
        <v>1</v>
      </c>
      <c r="AM179" s="5">
        <f>IF(Tabela2[[#This Row],[gols_mandante]]=Tabela2[[#This Row],[gols_visitante]],1,0)</f>
        <v>0</v>
      </c>
      <c r="AN179" s="5">
        <f>IF(Tabela2[[#This Row],[gols_mandante]]&gt;Tabela2[[#This Row],[gols_visitante]],1,0)</f>
        <v>1</v>
      </c>
      <c r="AO179" s="5">
        <f>IF(Tabela2[[#This Row],[gols_mandante]]&lt;Tabela2[[#This Row],[gols_visitante]],1,0)</f>
        <v>0</v>
      </c>
      <c r="AP179" s="5" t="s">
        <v>293</v>
      </c>
      <c r="AQ179" s="5">
        <v>0</v>
      </c>
    </row>
    <row r="180" spans="1:43" x14ac:dyDescent="0.25">
      <c r="A180" s="3">
        <v>2024</v>
      </c>
      <c r="B180" s="2">
        <v>45565</v>
      </c>
      <c r="C180" s="3">
        <v>28</v>
      </c>
      <c r="D180" s="3">
        <v>30022</v>
      </c>
      <c r="E180" s="3">
        <v>78838</v>
      </c>
      <c r="F180" s="3" t="str">
        <f t="shared" si="8"/>
        <v>&gt;=30.000</v>
      </c>
      <c r="G180" s="3">
        <f>Tabela2[[#This Row],[publico]]/Tabela2[[#This Row],[publico_max]]</f>
        <v>0.38080621020320149</v>
      </c>
      <c r="H180" s="3" t="s">
        <v>77</v>
      </c>
      <c r="I180" s="3" t="s">
        <v>69</v>
      </c>
      <c r="J180" s="3">
        <v>4</v>
      </c>
      <c r="K180" s="3" t="str">
        <f t="shared" si="9"/>
        <v>1-5 (elite)</v>
      </c>
      <c r="L180" s="3">
        <v>11</v>
      </c>
      <c r="M180" s="3">
        <f t="shared" si="10"/>
        <v>7</v>
      </c>
      <c r="N180" s="3">
        <v>8040</v>
      </c>
      <c r="O180" s="3" t="str">
        <f t="shared" si="11"/>
        <v>7.001+ (elite)</v>
      </c>
      <c r="P180" s="3">
        <v>3570</v>
      </c>
      <c r="Q180" s="3" t="s">
        <v>117</v>
      </c>
      <c r="R180" s="3" t="s">
        <v>221</v>
      </c>
      <c r="S180" s="3">
        <v>1</v>
      </c>
      <c r="T180" s="3">
        <v>0</v>
      </c>
      <c r="U180" s="3">
        <v>0</v>
      </c>
      <c r="V180" s="3">
        <v>0</v>
      </c>
      <c r="W180" s="3">
        <v>6</v>
      </c>
      <c r="X180" s="3">
        <v>1</v>
      </c>
      <c r="Y180" s="3">
        <v>12</v>
      </c>
      <c r="Z180" s="3">
        <v>13</v>
      </c>
      <c r="AA180" s="3">
        <v>13</v>
      </c>
      <c r="AB180" s="3">
        <v>12</v>
      </c>
      <c r="AC180" s="3">
        <v>1</v>
      </c>
      <c r="AD180" s="3">
        <v>3</v>
      </c>
      <c r="AE180" s="3">
        <v>2</v>
      </c>
      <c r="AF180" s="3">
        <v>3</v>
      </c>
      <c r="AG180" s="3">
        <v>17</v>
      </c>
      <c r="AH180" s="3">
        <v>7</v>
      </c>
      <c r="AI180" s="3">
        <v>3</v>
      </c>
      <c r="AJ180" s="3">
        <v>3</v>
      </c>
      <c r="AK180" s="3">
        <v>1</v>
      </c>
      <c r="AL180" s="3">
        <v>1</v>
      </c>
      <c r="AM180" s="3">
        <f>IF(Tabela2[[#This Row],[gols_mandante]]=Tabela2[[#This Row],[gols_visitante]],1,0)</f>
        <v>0</v>
      </c>
      <c r="AN180" s="3">
        <f>IF(Tabela2[[#This Row],[gols_mandante]]&gt;Tabela2[[#This Row],[gols_visitante]],1,0)</f>
        <v>1</v>
      </c>
      <c r="AO180" s="3">
        <f>IF(Tabela2[[#This Row],[gols_mandante]]&lt;Tabela2[[#This Row],[gols_visitante]],1,0)</f>
        <v>0</v>
      </c>
      <c r="AP180" s="3" t="s">
        <v>294</v>
      </c>
      <c r="AQ180" s="3">
        <v>0</v>
      </c>
    </row>
    <row r="181" spans="1:43" x14ac:dyDescent="0.25">
      <c r="A181" s="5">
        <v>2024</v>
      </c>
      <c r="B181" s="4">
        <v>45569</v>
      </c>
      <c r="C181" s="5">
        <v>29</v>
      </c>
      <c r="D181" s="5">
        <v>30242</v>
      </c>
      <c r="E181" s="5">
        <v>82238</v>
      </c>
      <c r="F181" s="5" t="str">
        <f t="shared" si="8"/>
        <v>&gt;=30.000</v>
      </c>
      <c r="G181" s="5">
        <f>Tabela2[[#This Row],[publico]]/Tabela2[[#This Row],[publico_max]]</f>
        <v>0.36773754225540506</v>
      </c>
      <c r="H181" s="5" t="s">
        <v>55</v>
      </c>
      <c r="I181" s="5" t="s">
        <v>50</v>
      </c>
      <c r="J181" s="5">
        <v>16</v>
      </c>
      <c r="K181" s="3" t="str">
        <f t="shared" si="9"/>
        <v>16-20 (rebaixamento)</v>
      </c>
      <c r="L181" s="5">
        <v>8</v>
      </c>
      <c r="M181" s="3">
        <f t="shared" si="10"/>
        <v>-8</v>
      </c>
      <c r="N181" s="5">
        <v>3585</v>
      </c>
      <c r="O181" s="3" t="str">
        <f t="shared" si="11"/>
        <v>3.501–7.000 (intermediário)</v>
      </c>
      <c r="P181" s="5">
        <v>4730</v>
      </c>
      <c r="Q181" s="5" t="s">
        <v>67</v>
      </c>
      <c r="R181" s="5" t="s">
        <v>128</v>
      </c>
      <c r="S181" s="5">
        <v>1</v>
      </c>
      <c r="T181" s="5">
        <v>0</v>
      </c>
      <c r="U181" s="5">
        <v>0</v>
      </c>
      <c r="V181" s="5">
        <v>0</v>
      </c>
      <c r="W181" s="5">
        <v>2</v>
      </c>
      <c r="X181" s="5">
        <v>2</v>
      </c>
      <c r="Y181" s="5">
        <v>19</v>
      </c>
      <c r="Z181" s="5">
        <v>16</v>
      </c>
      <c r="AA181" s="5">
        <v>16</v>
      </c>
      <c r="AB181" s="5">
        <v>19</v>
      </c>
      <c r="AC181" s="5">
        <v>4</v>
      </c>
      <c r="AD181" s="5">
        <v>4</v>
      </c>
      <c r="AE181" s="5">
        <v>1</v>
      </c>
      <c r="AF181" s="5">
        <v>1</v>
      </c>
      <c r="AG181" s="5">
        <v>14</v>
      </c>
      <c r="AH181" s="5">
        <v>13</v>
      </c>
      <c r="AI181" s="5">
        <v>6</v>
      </c>
      <c r="AJ181" s="5">
        <v>6</v>
      </c>
      <c r="AK181" s="5">
        <v>1</v>
      </c>
      <c r="AL181" s="5">
        <v>1</v>
      </c>
      <c r="AM181" s="5">
        <f>IF(Tabela2[[#This Row],[gols_mandante]]=Tabela2[[#This Row],[gols_visitante]],1,0)</f>
        <v>0</v>
      </c>
      <c r="AN181" s="5">
        <f>IF(Tabela2[[#This Row],[gols_mandante]]&gt;Tabela2[[#This Row],[gols_visitante]],1,0)</f>
        <v>1</v>
      </c>
      <c r="AO181" s="5">
        <f>IF(Tabela2[[#This Row],[gols_mandante]]&lt;Tabela2[[#This Row],[gols_visitante]],1,0)</f>
        <v>0</v>
      </c>
      <c r="AP181" s="5" t="s">
        <v>81</v>
      </c>
      <c r="AQ181" s="5">
        <v>0</v>
      </c>
    </row>
    <row r="182" spans="1:43" x14ac:dyDescent="0.25">
      <c r="A182" s="3">
        <v>2024</v>
      </c>
      <c r="B182" s="2">
        <v>45569</v>
      </c>
      <c r="C182" s="3">
        <v>29</v>
      </c>
      <c r="D182" s="3">
        <v>12343</v>
      </c>
      <c r="E182" s="3">
        <v>19225</v>
      </c>
      <c r="F182" s="3" t="str">
        <f t="shared" si="8"/>
        <v>&gt;=30.000</v>
      </c>
      <c r="G182" s="3">
        <f>Tabela2[[#This Row],[publico]]/Tabela2[[#This Row],[publico_max]]</f>
        <v>0.64202860858257482</v>
      </c>
      <c r="H182" s="3" t="s">
        <v>43</v>
      </c>
      <c r="I182" s="3" t="s">
        <v>76</v>
      </c>
      <c r="J182" s="3">
        <v>12</v>
      </c>
      <c r="K182" s="3" t="str">
        <f t="shared" si="9"/>
        <v>11-15 (mediano)</v>
      </c>
      <c r="L182" s="3">
        <v>20</v>
      </c>
      <c r="M182" s="3">
        <f t="shared" si="10"/>
        <v>8</v>
      </c>
      <c r="N182" s="3">
        <v>730</v>
      </c>
      <c r="O182" s="3" t="str">
        <f t="shared" si="11"/>
        <v>1–1.500 (rebaixamento)</v>
      </c>
      <c r="P182" s="3">
        <v>890</v>
      </c>
      <c r="Q182" s="3" t="s">
        <v>142</v>
      </c>
      <c r="R182" s="3" t="s">
        <v>189</v>
      </c>
      <c r="S182" s="3">
        <v>2</v>
      </c>
      <c r="T182" s="3">
        <v>0</v>
      </c>
      <c r="U182" s="3">
        <v>1</v>
      </c>
      <c r="V182" s="3">
        <v>0</v>
      </c>
      <c r="W182" s="3">
        <v>7</v>
      </c>
      <c r="X182" s="3">
        <v>6</v>
      </c>
      <c r="Y182" s="3">
        <v>16</v>
      </c>
      <c r="Z182" s="3">
        <v>8</v>
      </c>
      <c r="AA182" s="3">
        <v>5</v>
      </c>
      <c r="AB182" s="3">
        <v>16</v>
      </c>
      <c r="AC182" s="3">
        <v>3</v>
      </c>
      <c r="AD182" s="3">
        <v>3</v>
      </c>
      <c r="AE182" s="3">
        <v>1</v>
      </c>
      <c r="AF182" s="3">
        <v>1</v>
      </c>
      <c r="AG182" s="3">
        <v>17</v>
      </c>
      <c r="AH182" s="3">
        <v>14</v>
      </c>
      <c r="AI182" s="3">
        <v>7</v>
      </c>
      <c r="AJ182" s="3">
        <v>9</v>
      </c>
      <c r="AK182" s="3">
        <v>2</v>
      </c>
      <c r="AL182" s="3">
        <v>1</v>
      </c>
      <c r="AM182" s="3">
        <f>IF(Tabela2[[#This Row],[gols_mandante]]=Tabela2[[#This Row],[gols_visitante]],1,0)</f>
        <v>0</v>
      </c>
      <c r="AN182" s="3">
        <f>IF(Tabela2[[#This Row],[gols_mandante]]&gt;Tabela2[[#This Row],[gols_visitante]],1,0)</f>
        <v>1</v>
      </c>
      <c r="AO182" s="3">
        <f>IF(Tabela2[[#This Row],[gols_mandante]]&lt;Tabela2[[#This Row],[gols_visitante]],1,0)</f>
        <v>0</v>
      </c>
      <c r="AP182" s="3" t="s">
        <v>282</v>
      </c>
      <c r="AQ182" s="3">
        <v>0</v>
      </c>
    </row>
    <row r="183" spans="1:43" x14ac:dyDescent="0.25">
      <c r="A183" s="5">
        <v>2024</v>
      </c>
      <c r="B183" s="4">
        <v>45570</v>
      </c>
      <c r="C183" s="5">
        <v>29</v>
      </c>
      <c r="D183" s="5">
        <v>9989</v>
      </c>
      <c r="E183" s="5">
        <v>15010</v>
      </c>
      <c r="F183" s="5" t="str">
        <f t="shared" si="8"/>
        <v>10.000-14.999</v>
      </c>
      <c r="G183" s="5">
        <f>Tabela2[[#This Row],[publico]]/Tabela2[[#This Row],[publico_max]]</f>
        <v>0.665489673550966</v>
      </c>
      <c r="H183" s="5" t="s">
        <v>56</v>
      </c>
      <c r="I183" s="5" t="s">
        <v>95</v>
      </c>
      <c r="J183" s="5">
        <v>14</v>
      </c>
      <c r="K183" s="3" t="str">
        <f t="shared" si="9"/>
        <v>11-15 (mediano)</v>
      </c>
      <c r="L183" s="5">
        <v>2</v>
      </c>
      <c r="M183" s="3">
        <f t="shared" si="10"/>
        <v>-12</v>
      </c>
      <c r="N183" s="5">
        <v>3300</v>
      </c>
      <c r="O183" s="3" t="str">
        <f t="shared" si="11"/>
        <v>1.501–3.500 (mediano)</v>
      </c>
      <c r="P183" s="5">
        <v>9450</v>
      </c>
      <c r="Q183" s="5" t="s">
        <v>80</v>
      </c>
      <c r="R183" s="5" t="s">
        <v>209</v>
      </c>
      <c r="S183" s="5">
        <v>0</v>
      </c>
      <c r="T183" s="5">
        <v>0</v>
      </c>
      <c r="U183" s="5">
        <v>0</v>
      </c>
      <c r="V183" s="5">
        <v>0</v>
      </c>
      <c r="W183" s="5">
        <v>1</v>
      </c>
      <c r="X183" s="5">
        <v>3</v>
      </c>
      <c r="Y183" s="5">
        <v>7</v>
      </c>
      <c r="Z183" s="5">
        <v>14</v>
      </c>
      <c r="AA183" s="5">
        <v>13</v>
      </c>
      <c r="AB183" s="5">
        <v>7</v>
      </c>
      <c r="AC183" s="5">
        <v>5</v>
      </c>
      <c r="AD183" s="5">
        <v>5</v>
      </c>
      <c r="AE183" s="5">
        <v>3</v>
      </c>
      <c r="AF183" s="5">
        <v>0</v>
      </c>
      <c r="AG183" s="5">
        <v>17</v>
      </c>
      <c r="AH183" s="5">
        <v>14</v>
      </c>
      <c r="AI183" s="5">
        <v>5</v>
      </c>
      <c r="AJ183" s="5">
        <v>6</v>
      </c>
      <c r="AK183" s="5">
        <v>0</v>
      </c>
      <c r="AL183" s="5">
        <v>0</v>
      </c>
      <c r="AM183" s="5">
        <f>IF(Tabela2[[#This Row],[gols_mandante]]=Tabela2[[#This Row],[gols_visitante]],1,0)</f>
        <v>1</v>
      </c>
      <c r="AN183" s="5">
        <f>IF(Tabela2[[#This Row],[gols_mandante]]&gt;Tabela2[[#This Row],[gols_visitante]],1,0)</f>
        <v>0</v>
      </c>
      <c r="AO183" s="5">
        <f>IF(Tabela2[[#This Row],[gols_mandante]]&lt;Tabela2[[#This Row],[gols_visitante]],1,0)</f>
        <v>0</v>
      </c>
      <c r="AP183" s="5" t="s">
        <v>295</v>
      </c>
      <c r="AQ183" s="5">
        <v>0</v>
      </c>
    </row>
    <row r="184" spans="1:43" x14ac:dyDescent="0.25">
      <c r="A184" s="3">
        <v>2024</v>
      </c>
      <c r="B184" s="2">
        <v>45570</v>
      </c>
      <c r="C184" s="3">
        <v>29</v>
      </c>
      <c r="D184" s="3">
        <v>22204</v>
      </c>
      <c r="E184" s="3">
        <v>60540</v>
      </c>
      <c r="F184" s="3" t="str">
        <f t="shared" si="8"/>
        <v>5.000-9.999</v>
      </c>
      <c r="G184" s="3">
        <f>Tabela2[[#This Row],[publico]]/Tabela2[[#This Row],[publico_max]]</f>
        <v>0.3667657746944169</v>
      </c>
      <c r="H184" s="3" t="s">
        <v>83</v>
      </c>
      <c r="I184" s="3" t="s">
        <v>63</v>
      </c>
      <c r="J184" s="3">
        <v>11</v>
      </c>
      <c r="K184" s="3" t="str">
        <f t="shared" si="9"/>
        <v>11-15 (mediano)</v>
      </c>
      <c r="L184" s="3">
        <v>3</v>
      </c>
      <c r="M184" s="3">
        <f t="shared" si="10"/>
        <v>-8</v>
      </c>
      <c r="N184" s="3">
        <v>3290</v>
      </c>
      <c r="O184" s="3" t="str">
        <f t="shared" si="11"/>
        <v>1.501–3.500 (mediano)</v>
      </c>
      <c r="P184" s="3">
        <v>1960</v>
      </c>
      <c r="Q184" s="3" t="s">
        <v>105</v>
      </c>
      <c r="R184" s="3" t="s">
        <v>166</v>
      </c>
      <c r="S184" s="3">
        <v>3</v>
      </c>
      <c r="T184" s="3">
        <v>1</v>
      </c>
      <c r="U184" s="3">
        <v>1</v>
      </c>
      <c r="V184" s="3">
        <v>1</v>
      </c>
      <c r="W184" s="3">
        <v>10</v>
      </c>
      <c r="X184" s="3">
        <v>2</v>
      </c>
      <c r="Y184" s="3">
        <v>11</v>
      </c>
      <c r="Z184" s="3">
        <v>9</v>
      </c>
      <c r="AA184" s="3">
        <v>9</v>
      </c>
      <c r="AB184" s="3">
        <v>10</v>
      </c>
      <c r="AC184" s="3">
        <v>4</v>
      </c>
      <c r="AD184" s="3">
        <v>2</v>
      </c>
      <c r="AE184" s="3">
        <v>2</v>
      </c>
      <c r="AF184" s="3">
        <v>1</v>
      </c>
      <c r="AG184" s="3">
        <v>16</v>
      </c>
      <c r="AH184" s="3">
        <v>7</v>
      </c>
      <c r="AI184" s="3">
        <v>5</v>
      </c>
      <c r="AJ184" s="3">
        <v>2</v>
      </c>
      <c r="AK184" s="3">
        <v>2</v>
      </c>
      <c r="AL184" s="3">
        <v>1</v>
      </c>
      <c r="AM184" s="3">
        <f>IF(Tabela2[[#This Row],[gols_mandante]]=Tabela2[[#This Row],[gols_visitante]],1,0)</f>
        <v>0</v>
      </c>
      <c r="AN184" s="3">
        <f>IF(Tabela2[[#This Row],[gols_mandante]]&gt;Tabela2[[#This Row],[gols_visitante]],1,0)</f>
        <v>1</v>
      </c>
      <c r="AO184" s="3">
        <f>IF(Tabela2[[#This Row],[gols_mandante]]&lt;Tabela2[[#This Row],[gols_visitante]],1,0)</f>
        <v>0</v>
      </c>
      <c r="AP184" s="3" t="s">
        <v>131</v>
      </c>
      <c r="AQ184" s="3">
        <v>0</v>
      </c>
    </row>
    <row r="185" spans="1:43" x14ac:dyDescent="0.25">
      <c r="A185" s="5">
        <v>2024</v>
      </c>
      <c r="B185" s="4">
        <v>45570</v>
      </c>
      <c r="C185" s="5">
        <v>29</v>
      </c>
      <c r="D185" s="5">
        <v>22726</v>
      </c>
      <c r="E185" s="5">
        <v>42372</v>
      </c>
      <c r="F185" s="5" t="str">
        <f t="shared" si="8"/>
        <v>20.000-29.999</v>
      </c>
      <c r="G185" s="5">
        <f>Tabela2[[#This Row],[publico]]/Tabela2[[#This Row],[publico_max]]</f>
        <v>0.53634475597092424</v>
      </c>
      <c r="H185" s="5" t="s">
        <v>69</v>
      </c>
      <c r="I185" s="5" t="s">
        <v>51</v>
      </c>
      <c r="J185" s="5">
        <v>13</v>
      </c>
      <c r="K185" s="3" t="str">
        <f t="shared" si="9"/>
        <v>11-15 (mediano)</v>
      </c>
      <c r="L185" s="5">
        <v>1</v>
      </c>
      <c r="M185" s="3">
        <f t="shared" si="10"/>
        <v>-12</v>
      </c>
      <c r="N185" s="5">
        <v>3180</v>
      </c>
      <c r="O185" s="3" t="str">
        <f t="shared" si="11"/>
        <v>1.501–3.500 (mediano)</v>
      </c>
      <c r="P185" s="5">
        <v>8000</v>
      </c>
      <c r="Q185" s="5" t="s">
        <v>99</v>
      </c>
      <c r="R185" s="5">
        <v>28</v>
      </c>
      <c r="S185" s="5">
        <v>0</v>
      </c>
      <c r="T185" s="5">
        <v>1</v>
      </c>
      <c r="U185" s="5">
        <v>0</v>
      </c>
      <c r="V185" s="5">
        <v>1</v>
      </c>
      <c r="W185" s="5">
        <v>8</v>
      </c>
      <c r="X185" s="5">
        <v>3</v>
      </c>
      <c r="Y185" s="5">
        <v>8</v>
      </c>
      <c r="Z185" s="5">
        <v>20</v>
      </c>
      <c r="AA185" s="5">
        <v>19</v>
      </c>
      <c r="AB185" s="5">
        <v>8</v>
      </c>
      <c r="AC185" s="5">
        <v>2</v>
      </c>
      <c r="AD185" s="5">
        <v>3</v>
      </c>
      <c r="AE185" s="5">
        <v>0</v>
      </c>
      <c r="AF185" s="5">
        <v>2</v>
      </c>
      <c r="AG185" s="5">
        <v>26</v>
      </c>
      <c r="AH185" s="5">
        <v>11</v>
      </c>
      <c r="AI185" s="5">
        <v>14</v>
      </c>
      <c r="AJ185" s="5">
        <v>5</v>
      </c>
      <c r="AK185" s="5">
        <v>-1</v>
      </c>
      <c r="AL185" s="5">
        <v>0</v>
      </c>
      <c r="AM185" s="5">
        <f>IF(Tabela2[[#This Row],[gols_mandante]]=Tabela2[[#This Row],[gols_visitante]],1,0)</f>
        <v>0</v>
      </c>
      <c r="AN185" s="5">
        <f>IF(Tabela2[[#This Row],[gols_mandante]]&gt;Tabela2[[#This Row],[gols_visitante]],1,0)</f>
        <v>0</v>
      </c>
      <c r="AO185" s="5">
        <f>IF(Tabela2[[#This Row],[gols_mandante]]&lt;Tabela2[[#This Row],[gols_visitante]],1,0)</f>
        <v>1</v>
      </c>
      <c r="AP185" s="5" t="s">
        <v>258</v>
      </c>
      <c r="AQ185" s="5">
        <v>0</v>
      </c>
    </row>
    <row r="186" spans="1:43" x14ac:dyDescent="0.25">
      <c r="A186" s="3">
        <v>2024</v>
      </c>
      <c r="B186" s="2">
        <v>45570</v>
      </c>
      <c r="C186" s="3">
        <v>29</v>
      </c>
      <c r="D186" s="3">
        <v>34910</v>
      </c>
      <c r="E186" s="3">
        <v>46000</v>
      </c>
      <c r="F186" s="3" t="str">
        <f t="shared" si="8"/>
        <v>20.000-29.999</v>
      </c>
      <c r="G186" s="3">
        <f>Tabela2[[#This Row],[publico]]/Tabela2[[#This Row],[publico_max]]</f>
        <v>0.75891304347826083</v>
      </c>
      <c r="H186" s="3" t="s">
        <v>89</v>
      </c>
      <c r="I186" s="3" t="s">
        <v>94</v>
      </c>
      <c r="J186" s="3">
        <v>10</v>
      </c>
      <c r="K186" s="3" t="str">
        <f t="shared" si="9"/>
        <v>6-10 (intermediário)</v>
      </c>
      <c r="L186" s="3">
        <v>17</v>
      </c>
      <c r="M186" s="3">
        <f t="shared" si="10"/>
        <v>7</v>
      </c>
      <c r="N186" s="3">
        <v>3510</v>
      </c>
      <c r="O186" s="3" t="str">
        <f t="shared" si="11"/>
        <v>3.501–7.000 (intermediário)</v>
      </c>
      <c r="P186" s="3">
        <v>1500</v>
      </c>
      <c r="Q186" s="3" t="s">
        <v>129</v>
      </c>
      <c r="R186" s="3" t="s">
        <v>73</v>
      </c>
      <c r="S186" s="3">
        <v>2</v>
      </c>
      <c r="T186" s="3">
        <v>2</v>
      </c>
      <c r="U186" s="3">
        <v>2</v>
      </c>
      <c r="V186" s="3">
        <v>0</v>
      </c>
      <c r="W186" s="3">
        <v>2</v>
      </c>
      <c r="X186" s="3">
        <v>5</v>
      </c>
      <c r="Y186" s="3">
        <v>13</v>
      </c>
      <c r="Z186" s="3">
        <v>14</v>
      </c>
      <c r="AA186" s="3">
        <v>14</v>
      </c>
      <c r="AB186" s="3">
        <v>12</v>
      </c>
      <c r="AC186" s="3">
        <v>1</v>
      </c>
      <c r="AD186" s="3">
        <v>1</v>
      </c>
      <c r="AE186" s="3">
        <v>1</v>
      </c>
      <c r="AF186" s="3">
        <v>3</v>
      </c>
      <c r="AG186" s="3">
        <v>14</v>
      </c>
      <c r="AH186" s="3">
        <v>9</v>
      </c>
      <c r="AI186" s="3">
        <v>8</v>
      </c>
      <c r="AJ186" s="3">
        <v>5</v>
      </c>
      <c r="AK186" s="3">
        <v>0</v>
      </c>
      <c r="AL186" s="3">
        <v>0</v>
      </c>
      <c r="AM186" s="3">
        <f>IF(Tabela2[[#This Row],[gols_mandante]]=Tabela2[[#This Row],[gols_visitante]],1,0)</f>
        <v>1</v>
      </c>
      <c r="AN186" s="3">
        <f>IF(Tabela2[[#This Row],[gols_mandante]]&gt;Tabela2[[#This Row],[gols_visitante]],1,0)</f>
        <v>0</v>
      </c>
      <c r="AO186" s="3">
        <f>IF(Tabela2[[#This Row],[gols_mandante]]&lt;Tabela2[[#This Row],[gols_visitante]],1,0)</f>
        <v>0</v>
      </c>
      <c r="AP186" s="3" t="s">
        <v>288</v>
      </c>
      <c r="AQ186" s="3">
        <v>1</v>
      </c>
    </row>
    <row r="187" spans="1:43" x14ac:dyDescent="0.25">
      <c r="A187" s="5">
        <v>2024</v>
      </c>
      <c r="B187" s="4">
        <v>45571</v>
      </c>
      <c r="C187" s="5">
        <v>29</v>
      </c>
      <c r="D187" s="5">
        <v>44866</v>
      </c>
      <c r="E187" s="5">
        <v>49205</v>
      </c>
      <c r="F187" s="5" t="str">
        <f t="shared" si="8"/>
        <v>&gt;=30.000</v>
      </c>
      <c r="G187" s="5">
        <f>Tabela2[[#This Row],[publico]]/Tabela2[[#This Row],[publico_max]]</f>
        <v>0.91181790468448332</v>
      </c>
      <c r="H187" s="5" t="s">
        <v>88</v>
      </c>
      <c r="I187" s="5" t="s">
        <v>37</v>
      </c>
      <c r="J187" s="5">
        <v>18</v>
      </c>
      <c r="K187" s="3" t="str">
        <f t="shared" si="9"/>
        <v>16-20 (rebaixamento)</v>
      </c>
      <c r="L187" s="5">
        <v>6</v>
      </c>
      <c r="M187" s="3">
        <f t="shared" si="10"/>
        <v>-12</v>
      </c>
      <c r="N187" s="5">
        <v>5250</v>
      </c>
      <c r="O187" s="3" t="str">
        <f t="shared" si="11"/>
        <v>3.501–7.000 (intermediário)</v>
      </c>
      <c r="P187" s="5">
        <v>3890</v>
      </c>
      <c r="Q187" s="5" t="s">
        <v>116</v>
      </c>
      <c r="R187" s="5" t="s">
        <v>122</v>
      </c>
      <c r="S187" s="5">
        <v>2</v>
      </c>
      <c r="T187" s="5">
        <v>2</v>
      </c>
      <c r="U187" s="5">
        <v>1</v>
      </c>
      <c r="V187" s="5">
        <v>1</v>
      </c>
      <c r="W187" s="5">
        <v>9</v>
      </c>
      <c r="X187" s="5">
        <v>9</v>
      </c>
      <c r="Y187" s="5">
        <v>11</v>
      </c>
      <c r="Z187" s="5">
        <v>14</v>
      </c>
      <c r="AA187" s="5">
        <v>12</v>
      </c>
      <c r="AB187" s="5">
        <v>11</v>
      </c>
      <c r="AC187" s="5">
        <v>0</v>
      </c>
      <c r="AD187" s="5">
        <v>4</v>
      </c>
      <c r="AE187" s="5">
        <v>3</v>
      </c>
      <c r="AF187" s="5">
        <v>0</v>
      </c>
      <c r="AG187" s="5">
        <v>15</v>
      </c>
      <c r="AH187" s="5">
        <v>9</v>
      </c>
      <c r="AI187" s="5">
        <v>6</v>
      </c>
      <c r="AJ187" s="5">
        <v>2</v>
      </c>
      <c r="AK187" s="5">
        <v>0</v>
      </c>
      <c r="AL187" s="5">
        <v>0</v>
      </c>
      <c r="AM187" s="5">
        <f>IF(Tabela2[[#This Row],[gols_mandante]]=Tabela2[[#This Row],[gols_visitante]],1,0)</f>
        <v>1</v>
      </c>
      <c r="AN187" s="5">
        <f>IF(Tabela2[[#This Row],[gols_mandante]]&gt;Tabela2[[#This Row],[gols_visitante]],1,0)</f>
        <v>0</v>
      </c>
      <c r="AO187" s="5">
        <f>IF(Tabela2[[#This Row],[gols_mandante]]&lt;Tabela2[[#This Row],[gols_visitante]],1,0)</f>
        <v>0</v>
      </c>
      <c r="AP187" s="5" t="s">
        <v>75</v>
      </c>
      <c r="AQ187" s="5">
        <v>0</v>
      </c>
    </row>
    <row r="188" spans="1:43" x14ac:dyDescent="0.25">
      <c r="A188" s="3">
        <v>2024</v>
      </c>
      <c r="B188" s="2">
        <v>45571</v>
      </c>
      <c r="C188" s="3">
        <v>29</v>
      </c>
      <c r="D188" s="3">
        <v>11883</v>
      </c>
      <c r="E188" s="3">
        <v>42968</v>
      </c>
      <c r="F188" s="3" t="str">
        <f t="shared" si="8"/>
        <v>&gt;=30.000</v>
      </c>
      <c r="G188" s="3">
        <f>Tabela2[[#This Row],[publico]]/Tabela2[[#This Row],[publico_max]]</f>
        <v>0.27655464531744556</v>
      </c>
      <c r="H188" s="3" t="s">
        <v>70</v>
      </c>
      <c r="I188" s="3" t="s">
        <v>62</v>
      </c>
      <c r="J188" s="3">
        <v>19</v>
      </c>
      <c r="K188" s="3" t="str">
        <f t="shared" si="9"/>
        <v>16-20 (rebaixamento)</v>
      </c>
      <c r="L188" s="3">
        <v>5</v>
      </c>
      <c r="M188" s="3">
        <f t="shared" si="10"/>
        <v>-14</v>
      </c>
      <c r="N188" s="3">
        <v>1750</v>
      </c>
      <c r="O188" s="3" t="str">
        <f t="shared" si="11"/>
        <v>1.501–3.500 (mediano)</v>
      </c>
      <c r="P188" s="3">
        <v>2175</v>
      </c>
      <c r="Q188" s="3" t="s">
        <v>296</v>
      </c>
      <c r="R188" s="3" t="s">
        <v>59</v>
      </c>
      <c r="S188" s="3">
        <v>2</v>
      </c>
      <c r="T188" s="3">
        <v>0</v>
      </c>
      <c r="U188" s="3">
        <v>2</v>
      </c>
      <c r="V188" s="3">
        <v>0</v>
      </c>
      <c r="W188" s="3">
        <v>3</v>
      </c>
      <c r="X188" s="3">
        <v>7</v>
      </c>
      <c r="Y188" s="3">
        <v>12</v>
      </c>
      <c r="Z188" s="3">
        <v>8</v>
      </c>
      <c r="AA188" s="3">
        <v>8</v>
      </c>
      <c r="AB188" s="3">
        <v>11</v>
      </c>
      <c r="AC188" s="3">
        <v>3</v>
      </c>
      <c r="AD188" s="3">
        <v>1</v>
      </c>
      <c r="AE188" s="3">
        <v>1</v>
      </c>
      <c r="AF188" s="3">
        <v>1</v>
      </c>
      <c r="AG188" s="3">
        <v>7</v>
      </c>
      <c r="AH188" s="3">
        <v>12</v>
      </c>
      <c r="AI188" s="3">
        <v>1</v>
      </c>
      <c r="AJ188" s="3">
        <v>7</v>
      </c>
      <c r="AK188" s="3">
        <v>2</v>
      </c>
      <c r="AL188" s="3">
        <v>1</v>
      </c>
      <c r="AM188" s="3">
        <f>IF(Tabela2[[#This Row],[gols_mandante]]=Tabela2[[#This Row],[gols_visitante]],1,0)</f>
        <v>0</v>
      </c>
      <c r="AN188" s="3">
        <f>IF(Tabela2[[#This Row],[gols_mandante]]&gt;Tabela2[[#This Row],[gols_visitante]],1,0)</f>
        <v>1</v>
      </c>
      <c r="AO188" s="3">
        <f>IF(Tabela2[[#This Row],[gols_mandante]]&lt;Tabela2[[#This Row],[gols_visitante]],1,0)</f>
        <v>0</v>
      </c>
      <c r="AP188" s="3" t="s">
        <v>271</v>
      </c>
      <c r="AQ188" s="3">
        <v>0</v>
      </c>
    </row>
    <row r="189" spans="1:43" x14ac:dyDescent="0.25">
      <c r="A189" s="5">
        <v>2024</v>
      </c>
      <c r="B189" s="4">
        <v>45571</v>
      </c>
      <c r="C189" s="5">
        <v>29</v>
      </c>
      <c r="D189" s="5">
        <v>18036</v>
      </c>
      <c r="E189" s="5">
        <v>24584</v>
      </c>
      <c r="F189" s="5" t="str">
        <f t="shared" si="8"/>
        <v>10.000-14.999</v>
      </c>
      <c r="G189" s="5">
        <f>Tabela2[[#This Row],[publico]]/Tabela2[[#This Row],[publico_max]]</f>
        <v>0.73364790107386924</v>
      </c>
      <c r="H189" s="5" t="s">
        <v>82</v>
      </c>
      <c r="I189" s="5" t="s">
        <v>44</v>
      </c>
      <c r="J189" s="5">
        <v>9</v>
      </c>
      <c r="K189" s="3" t="str">
        <f t="shared" si="9"/>
        <v>6-10 (intermediário)</v>
      </c>
      <c r="L189" s="5">
        <v>15</v>
      </c>
      <c r="M189" s="3">
        <f t="shared" si="10"/>
        <v>6</v>
      </c>
      <c r="N189" s="5">
        <v>3300</v>
      </c>
      <c r="O189" s="3" t="str">
        <f t="shared" si="11"/>
        <v>1.501–3.500 (mediano)</v>
      </c>
      <c r="P189" s="5">
        <v>920</v>
      </c>
      <c r="Q189" s="5">
        <v>29</v>
      </c>
      <c r="R189" s="5" t="s">
        <v>123</v>
      </c>
      <c r="S189" s="5">
        <v>1</v>
      </c>
      <c r="T189" s="5">
        <v>1</v>
      </c>
      <c r="U189" s="5">
        <v>1</v>
      </c>
      <c r="V189" s="5">
        <v>1</v>
      </c>
      <c r="W189" s="5">
        <v>3</v>
      </c>
      <c r="X189" s="5">
        <v>6</v>
      </c>
      <c r="Y189" s="5">
        <v>14</v>
      </c>
      <c r="Z189" s="5">
        <v>13</v>
      </c>
      <c r="AA189" s="5">
        <v>13</v>
      </c>
      <c r="AB189" s="5">
        <v>14</v>
      </c>
      <c r="AC189" s="5">
        <v>4</v>
      </c>
      <c r="AD189" s="5">
        <v>2</v>
      </c>
      <c r="AE189" s="5">
        <v>3</v>
      </c>
      <c r="AF189" s="5">
        <v>1</v>
      </c>
      <c r="AG189" s="5">
        <v>16</v>
      </c>
      <c r="AH189" s="5">
        <v>17</v>
      </c>
      <c r="AI189" s="5">
        <v>6</v>
      </c>
      <c r="AJ189" s="5">
        <v>7</v>
      </c>
      <c r="AK189" s="5">
        <v>0</v>
      </c>
      <c r="AL189" s="5">
        <v>0</v>
      </c>
      <c r="AM189" s="5">
        <f>IF(Tabela2[[#This Row],[gols_mandante]]=Tabela2[[#This Row],[gols_visitante]],1,0)</f>
        <v>1</v>
      </c>
      <c r="AN189" s="5">
        <f>IF(Tabela2[[#This Row],[gols_mandante]]&gt;Tabela2[[#This Row],[gols_visitante]],1,0)</f>
        <v>0</v>
      </c>
      <c r="AO189" s="5">
        <f>IF(Tabela2[[#This Row],[gols_mandante]]&lt;Tabela2[[#This Row],[gols_visitante]],1,0)</f>
        <v>0</v>
      </c>
      <c r="AP189" s="5" t="s">
        <v>297</v>
      </c>
      <c r="AQ189" s="5">
        <v>1</v>
      </c>
    </row>
    <row r="190" spans="1:43" x14ac:dyDescent="0.25">
      <c r="A190" s="3">
        <v>2024</v>
      </c>
      <c r="B190" s="2">
        <v>45571</v>
      </c>
      <c r="C190" s="3">
        <v>29</v>
      </c>
      <c r="D190" s="3">
        <v>43433</v>
      </c>
      <c r="E190" s="3">
        <v>47364</v>
      </c>
      <c r="F190" s="3" t="str">
        <f t="shared" si="8"/>
        <v>15.000-19.999</v>
      </c>
      <c r="G190" s="3">
        <f>Tabela2[[#This Row],[publico]]/Tabela2[[#This Row],[publico_max]]</f>
        <v>0.91700447597331303</v>
      </c>
      <c r="H190" s="3" t="s">
        <v>38</v>
      </c>
      <c r="I190" s="3" t="s">
        <v>77</v>
      </c>
      <c r="J190" s="3">
        <v>7</v>
      </c>
      <c r="K190" s="3" t="str">
        <f t="shared" si="9"/>
        <v>6-10 (intermediário)</v>
      </c>
      <c r="L190" s="3">
        <v>4</v>
      </c>
      <c r="M190" s="3">
        <f t="shared" si="10"/>
        <v>-3</v>
      </c>
      <c r="N190" s="3">
        <v>3735</v>
      </c>
      <c r="O190" s="3" t="str">
        <f t="shared" si="11"/>
        <v>3.501–7.000 (intermediário)</v>
      </c>
      <c r="P190" s="3">
        <v>9980</v>
      </c>
      <c r="Q190" s="3" t="s">
        <v>129</v>
      </c>
      <c r="R190" s="3" t="s">
        <v>137</v>
      </c>
      <c r="S190" s="3">
        <v>0</v>
      </c>
      <c r="T190" s="3">
        <v>2</v>
      </c>
      <c r="U190" s="3">
        <v>0</v>
      </c>
      <c r="V190" s="3">
        <v>1</v>
      </c>
      <c r="W190" s="3">
        <v>3</v>
      </c>
      <c r="X190" s="3">
        <v>7</v>
      </c>
      <c r="Y190" s="3">
        <v>20</v>
      </c>
      <c r="Z190" s="3">
        <v>11</v>
      </c>
      <c r="AA190" s="3">
        <v>11</v>
      </c>
      <c r="AB190" s="3">
        <v>20</v>
      </c>
      <c r="AC190" s="3">
        <v>4</v>
      </c>
      <c r="AD190" s="3">
        <v>2</v>
      </c>
      <c r="AE190" s="3">
        <v>3</v>
      </c>
      <c r="AF190" s="3">
        <v>4</v>
      </c>
      <c r="AG190" s="3">
        <v>9</v>
      </c>
      <c r="AH190" s="3">
        <v>13</v>
      </c>
      <c r="AI190" s="3">
        <v>5</v>
      </c>
      <c r="AJ190" s="3">
        <v>4</v>
      </c>
      <c r="AK190" s="3">
        <v>-2</v>
      </c>
      <c r="AL190" s="3">
        <v>0</v>
      </c>
      <c r="AM190" s="3">
        <f>IF(Tabela2[[#This Row],[gols_mandante]]=Tabela2[[#This Row],[gols_visitante]],1,0)</f>
        <v>0</v>
      </c>
      <c r="AN190" s="3">
        <f>IF(Tabela2[[#This Row],[gols_mandante]]&gt;Tabela2[[#This Row],[gols_visitante]],1,0)</f>
        <v>0</v>
      </c>
      <c r="AO190" s="3">
        <f>IF(Tabela2[[#This Row],[gols_mandante]]&lt;Tabela2[[#This Row],[gols_visitante]],1,0)</f>
        <v>1</v>
      </c>
      <c r="AP190" s="3" t="s">
        <v>256</v>
      </c>
      <c r="AQ190" s="3">
        <v>1</v>
      </c>
    </row>
    <row r="191" spans="1:43" x14ac:dyDescent="0.25">
      <c r="A191" s="5">
        <v>2024</v>
      </c>
      <c r="B191" s="4">
        <v>45582</v>
      </c>
      <c r="C191" s="5">
        <v>30</v>
      </c>
      <c r="D191" s="5">
        <v>15497</v>
      </c>
      <c r="E191" s="5">
        <v>32039</v>
      </c>
      <c r="F191" s="5" t="str">
        <f t="shared" si="8"/>
        <v>&gt;=30.000</v>
      </c>
      <c r="G191" s="5">
        <f>Tabela2[[#This Row],[publico]]/Tabela2[[#This Row],[publico_max]]</f>
        <v>0.48369175067886017</v>
      </c>
      <c r="H191" s="5" t="s">
        <v>62</v>
      </c>
      <c r="I191" s="5" t="s">
        <v>82</v>
      </c>
      <c r="J191" s="5">
        <v>5</v>
      </c>
      <c r="K191" s="3" t="str">
        <f t="shared" si="9"/>
        <v>1-5 (elite)</v>
      </c>
      <c r="L191" s="5">
        <v>10</v>
      </c>
      <c r="M191" s="3">
        <f t="shared" si="10"/>
        <v>5</v>
      </c>
      <c r="N191" s="5">
        <v>2685</v>
      </c>
      <c r="O191" s="3" t="str">
        <f t="shared" si="11"/>
        <v>1.501–3.500 (mediano)</v>
      </c>
      <c r="P191" s="5">
        <v>3380</v>
      </c>
      <c r="Q191" s="5" t="s">
        <v>174</v>
      </c>
      <c r="R191" s="5" t="s">
        <v>174</v>
      </c>
      <c r="S191" s="5">
        <v>3</v>
      </c>
      <c r="T191" s="5">
        <v>0</v>
      </c>
      <c r="U191" s="5">
        <v>1</v>
      </c>
      <c r="V191" s="5">
        <v>0</v>
      </c>
      <c r="W191" s="5">
        <v>3</v>
      </c>
      <c r="X191" s="5">
        <v>5</v>
      </c>
      <c r="Y191" s="5">
        <v>8</v>
      </c>
      <c r="Z191" s="5">
        <v>6</v>
      </c>
      <c r="AA191" s="5">
        <v>6</v>
      </c>
      <c r="AB191" s="5">
        <v>8</v>
      </c>
      <c r="AC191" s="5">
        <v>3</v>
      </c>
      <c r="AD191" s="5">
        <v>4</v>
      </c>
      <c r="AE191" s="5">
        <v>1</v>
      </c>
      <c r="AF191" s="5">
        <v>1</v>
      </c>
      <c r="AG191" s="5">
        <v>14</v>
      </c>
      <c r="AH191" s="5">
        <v>9</v>
      </c>
      <c r="AI191" s="5">
        <v>6</v>
      </c>
      <c r="AJ191" s="5">
        <v>4</v>
      </c>
      <c r="AK191" s="5">
        <v>3</v>
      </c>
      <c r="AL191" s="5">
        <v>1</v>
      </c>
      <c r="AM191" s="5">
        <f>IF(Tabela2[[#This Row],[gols_mandante]]=Tabela2[[#This Row],[gols_visitante]],1,0)</f>
        <v>0</v>
      </c>
      <c r="AN191" s="5">
        <f>IF(Tabela2[[#This Row],[gols_mandante]]&gt;Tabela2[[#This Row],[gols_visitante]],1,0)</f>
        <v>1</v>
      </c>
      <c r="AO191" s="5">
        <f>IF(Tabela2[[#This Row],[gols_mandante]]&lt;Tabela2[[#This Row],[gols_visitante]],1,0)</f>
        <v>0</v>
      </c>
      <c r="AP191" s="5" t="s">
        <v>125</v>
      </c>
      <c r="AQ191" s="5">
        <v>0</v>
      </c>
    </row>
    <row r="192" spans="1:43" x14ac:dyDescent="0.25">
      <c r="A192" s="3">
        <v>2024</v>
      </c>
      <c r="B192" s="2">
        <v>45582</v>
      </c>
      <c r="C192" s="3">
        <v>30</v>
      </c>
      <c r="D192" s="3">
        <v>23046</v>
      </c>
      <c r="E192" s="3">
        <v>60326</v>
      </c>
      <c r="F192" s="3" t="str">
        <f t="shared" si="8"/>
        <v>15.000-19.999</v>
      </c>
      <c r="G192" s="3">
        <f>Tabela2[[#This Row],[publico]]/Tabela2[[#This Row],[publico_max]]</f>
        <v>0.38202433444949108</v>
      </c>
      <c r="H192" s="3" t="s">
        <v>63</v>
      </c>
      <c r="I192" s="3" t="s">
        <v>89</v>
      </c>
      <c r="J192" s="3">
        <v>3</v>
      </c>
      <c r="K192" s="3" t="str">
        <f t="shared" si="9"/>
        <v>1-5 (elite)</v>
      </c>
      <c r="L192" s="3">
        <v>9</v>
      </c>
      <c r="M192" s="3">
        <f t="shared" si="10"/>
        <v>6</v>
      </c>
      <c r="N192" s="3">
        <v>1260</v>
      </c>
      <c r="O192" s="3" t="str">
        <f t="shared" si="11"/>
        <v>1–1.500 (rebaixamento)</v>
      </c>
      <c r="P192" s="3">
        <v>2350</v>
      </c>
      <c r="Q192" s="3" t="s">
        <v>299</v>
      </c>
      <c r="R192" s="3" t="s">
        <v>98</v>
      </c>
      <c r="S192" s="3">
        <v>1</v>
      </c>
      <c r="T192" s="3">
        <v>1</v>
      </c>
      <c r="U192" s="3">
        <v>1</v>
      </c>
      <c r="V192" s="3">
        <v>0</v>
      </c>
      <c r="W192" s="3">
        <v>7</v>
      </c>
      <c r="X192" s="3">
        <v>3</v>
      </c>
      <c r="Y192" s="3">
        <v>9</v>
      </c>
      <c r="Z192" s="3">
        <v>10</v>
      </c>
      <c r="AA192" s="3">
        <v>10</v>
      </c>
      <c r="AB192" s="3">
        <v>9</v>
      </c>
      <c r="AC192" s="3">
        <v>4</v>
      </c>
      <c r="AD192" s="3">
        <v>0</v>
      </c>
      <c r="AE192" s="3">
        <v>0</v>
      </c>
      <c r="AF192" s="3">
        <v>3</v>
      </c>
      <c r="AG192" s="3">
        <v>14</v>
      </c>
      <c r="AH192" s="3">
        <v>18</v>
      </c>
      <c r="AI192" s="3">
        <v>8</v>
      </c>
      <c r="AJ192" s="3">
        <v>9</v>
      </c>
      <c r="AK192" s="3">
        <v>0</v>
      </c>
      <c r="AL192" s="3">
        <v>0</v>
      </c>
      <c r="AM192" s="3">
        <f>IF(Tabela2[[#This Row],[gols_mandante]]=Tabela2[[#This Row],[gols_visitante]],1,0)</f>
        <v>1</v>
      </c>
      <c r="AN192" s="3">
        <f>IF(Tabela2[[#This Row],[gols_mandante]]&gt;Tabela2[[#This Row],[gols_visitante]],1,0)</f>
        <v>0</v>
      </c>
      <c r="AO192" s="3">
        <f>IF(Tabela2[[#This Row],[gols_mandante]]&lt;Tabela2[[#This Row],[gols_visitante]],1,0)</f>
        <v>0</v>
      </c>
      <c r="AP192" s="3" t="s">
        <v>300</v>
      </c>
      <c r="AQ192" s="3">
        <v>1</v>
      </c>
    </row>
    <row r="193" spans="1:46" x14ac:dyDescent="0.25">
      <c r="A193" s="5">
        <v>2024</v>
      </c>
      <c r="B193" s="4">
        <v>45583</v>
      </c>
      <c r="C193" s="5">
        <v>30</v>
      </c>
      <c r="D193" s="5">
        <v>58117</v>
      </c>
      <c r="E193" s="5">
        <v>78838</v>
      </c>
      <c r="F193" s="5" t="str">
        <f t="shared" si="8"/>
        <v>20.000-29.999</v>
      </c>
      <c r="G193" s="5">
        <f>Tabela2[[#This Row],[publico]]/Tabela2[[#This Row],[publico_max]]</f>
        <v>0.7371698926913417</v>
      </c>
      <c r="H193" s="5" t="s">
        <v>77</v>
      </c>
      <c r="I193" s="5" t="s">
        <v>55</v>
      </c>
      <c r="J193" s="5">
        <v>4</v>
      </c>
      <c r="K193" s="3" t="str">
        <f t="shared" si="9"/>
        <v>1-5 (elite)</v>
      </c>
      <c r="L193" s="5">
        <v>11</v>
      </c>
      <c r="M193" s="3">
        <f t="shared" si="10"/>
        <v>7</v>
      </c>
      <c r="N193" s="5">
        <v>7780</v>
      </c>
      <c r="O193" s="3" t="str">
        <f t="shared" si="11"/>
        <v>7.001+ (elite)</v>
      </c>
      <c r="P193" s="5">
        <v>3075</v>
      </c>
      <c r="Q193" s="5" t="s">
        <v>117</v>
      </c>
      <c r="R193" s="5" t="s">
        <v>166</v>
      </c>
      <c r="S193" s="5">
        <v>0</v>
      </c>
      <c r="T193" s="5">
        <v>2</v>
      </c>
      <c r="U193" s="5">
        <v>0</v>
      </c>
      <c r="V193" s="5">
        <v>0</v>
      </c>
      <c r="W193" s="5">
        <v>5</v>
      </c>
      <c r="X193" s="5">
        <v>1</v>
      </c>
      <c r="Y193" s="5">
        <v>15</v>
      </c>
      <c r="Z193" s="5">
        <v>15</v>
      </c>
      <c r="AA193" s="5">
        <v>14</v>
      </c>
      <c r="AB193" s="5">
        <v>15</v>
      </c>
      <c r="AC193" s="5">
        <v>1</v>
      </c>
      <c r="AD193" s="5">
        <v>5</v>
      </c>
      <c r="AE193" s="5">
        <v>3</v>
      </c>
      <c r="AF193" s="5">
        <v>1</v>
      </c>
      <c r="AG193" s="5">
        <v>20</v>
      </c>
      <c r="AH193" s="5">
        <v>12</v>
      </c>
      <c r="AI193" s="5">
        <v>7</v>
      </c>
      <c r="AJ193" s="5">
        <v>3</v>
      </c>
      <c r="AK193" s="5">
        <v>-2</v>
      </c>
      <c r="AL193" s="5">
        <v>0</v>
      </c>
      <c r="AM193" s="5">
        <f>IF(Tabela2[[#This Row],[gols_mandante]]=Tabela2[[#This Row],[gols_visitante]],1,0)</f>
        <v>0</v>
      </c>
      <c r="AN193" s="5">
        <f>IF(Tabela2[[#This Row],[gols_mandante]]&gt;Tabela2[[#This Row],[gols_visitante]],1,0)</f>
        <v>0</v>
      </c>
      <c r="AO193" s="5">
        <f>IF(Tabela2[[#This Row],[gols_mandante]]&lt;Tabela2[[#This Row],[gols_visitante]],1,0)</f>
        <v>1</v>
      </c>
      <c r="AP193" s="5" t="s">
        <v>281</v>
      </c>
      <c r="AQ193" s="5">
        <v>0</v>
      </c>
    </row>
    <row r="194" spans="1:46" x14ac:dyDescent="0.25">
      <c r="A194" s="3">
        <v>2024</v>
      </c>
      <c r="B194" s="2">
        <v>45583</v>
      </c>
      <c r="C194" s="3">
        <v>30</v>
      </c>
      <c r="D194" s="3">
        <v>44399</v>
      </c>
      <c r="E194" s="3">
        <v>49205</v>
      </c>
      <c r="F194" s="3" t="str">
        <f t="shared" ref="F194:F205" si="12">IF(D193="","",IF(D193&lt;5000,"0-4.999",
  IF(D193&lt;10000,"5.000-9.999",
    IF(D193&lt;15000,"10.000-14.999",
      IF(D193&lt;20000,"15.000-19.999",
        IF(D193&lt;30000,"20.000-29.999","&gt;=30.000"))))))</f>
        <v>&gt;=30.000</v>
      </c>
      <c r="G194" s="3">
        <f>Tabela2[[#This Row],[publico]]/Tabela2[[#This Row],[publico_max]]</f>
        <v>0.9023269992886902</v>
      </c>
      <c r="H194" s="3" t="s">
        <v>88</v>
      </c>
      <c r="I194" s="3" t="s">
        <v>69</v>
      </c>
      <c r="J194" s="3">
        <v>18</v>
      </c>
      <c r="K194" s="3" t="str">
        <f t="shared" si="9"/>
        <v>16-20 (rebaixamento)</v>
      </c>
      <c r="L194" s="3">
        <v>14</v>
      </c>
      <c r="M194" s="3">
        <f t="shared" si="10"/>
        <v>-4</v>
      </c>
      <c r="N194" s="3">
        <v>5400</v>
      </c>
      <c r="O194" s="3" t="str">
        <f t="shared" si="11"/>
        <v>3.501–7.000 (intermediário)</v>
      </c>
      <c r="P194" s="3">
        <v>2280</v>
      </c>
      <c r="Q194" s="3" t="s">
        <v>163</v>
      </c>
      <c r="R194" s="3" t="s">
        <v>209</v>
      </c>
      <c r="S194" s="3">
        <v>5</v>
      </c>
      <c r="T194" s="3">
        <v>2</v>
      </c>
      <c r="U194" s="3">
        <v>2</v>
      </c>
      <c r="V194" s="3">
        <v>2</v>
      </c>
      <c r="W194" s="3">
        <v>3</v>
      </c>
      <c r="X194" s="3">
        <v>8</v>
      </c>
      <c r="Y194" s="3">
        <v>9</v>
      </c>
      <c r="Z194" s="3">
        <v>7</v>
      </c>
      <c r="AA194" s="3">
        <v>7</v>
      </c>
      <c r="AB194" s="3">
        <v>6</v>
      </c>
      <c r="AC194" s="3">
        <v>4</v>
      </c>
      <c r="AD194" s="3">
        <v>4</v>
      </c>
      <c r="AE194" s="3">
        <v>0</v>
      </c>
      <c r="AF194" s="3">
        <v>2</v>
      </c>
      <c r="AG194" s="3">
        <v>14</v>
      </c>
      <c r="AH194" s="3">
        <v>22</v>
      </c>
      <c r="AI194" s="3">
        <v>4</v>
      </c>
      <c r="AJ194" s="3">
        <v>12</v>
      </c>
      <c r="AK194" s="3">
        <v>3</v>
      </c>
      <c r="AL194" s="3">
        <v>1</v>
      </c>
      <c r="AM194" s="3">
        <f>IF(Tabela2[[#This Row],[gols_mandante]]=Tabela2[[#This Row],[gols_visitante]],1,0)</f>
        <v>0</v>
      </c>
      <c r="AN194" s="3">
        <f>IF(Tabela2[[#This Row],[gols_mandante]]&gt;Tabela2[[#This Row],[gols_visitante]],1,0)</f>
        <v>1</v>
      </c>
      <c r="AO194" s="3">
        <f>IF(Tabela2[[#This Row],[gols_mandante]]&lt;Tabela2[[#This Row],[gols_visitante]],1,0)</f>
        <v>0</v>
      </c>
      <c r="AP194" s="3" t="s">
        <v>245</v>
      </c>
      <c r="AQ194" s="3">
        <v>0</v>
      </c>
    </row>
    <row r="195" spans="1:46" x14ac:dyDescent="0.25">
      <c r="A195" s="5">
        <v>2024</v>
      </c>
      <c r="B195" s="4">
        <v>45584</v>
      </c>
      <c r="C195" s="5">
        <v>30</v>
      </c>
      <c r="D195" s="5">
        <v>25189</v>
      </c>
      <c r="E195" s="5">
        <v>30618</v>
      </c>
      <c r="F195" s="5" t="str">
        <f t="shared" si="12"/>
        <v>&gt;=30.000</v>
      </c>
      <c r="G195" s="5">
        <f>Tabela2[[#This Row],[publico]]/Tabela2[[#This Row],[publico_max]]</f>
        <v>0.82268600169834738</v>
      </c>
      <c r="H195" s="5" t="s">
        <v>94</v>
      </c>
      <c r="I195" s="5" t="s">
        <v>56</v>
      </c>
      <c r="J195" s="5">
        <v>17</v>
      </c>
      <c r="K195" s="3" t="str">
        <f t="shared" ref="K195:K205" si="13">IF(J195="", "", IF(J195&lt;=5, "1-5 (elite)", IF(J195&lt;=10, "6-10 (intermediário)", IF(J195&lt;=15, "11-15 (mediano)", "16-20 (rebaixamento)"))))</f>
        <v>16-20 (rebaixamento)</v>
      </c>
      <c r="L195" s="5">
        <v>15</v>
      </c>
      <c r="M195" s="3">
        <f t="shared" ref="M195:M205" si="14">L195-J195</f>
        <v>-2</v>
      </c>
      <c r="N195" s="5">
        <v>1285</v>
      </c>
      <c r="O195" s="3" t="str">
        <f t="shared" ref="O195:O205" si="15">IF(N195="", "",
   IF(N195&lt;=1500, "1–1.500 (rebaixamento)",
   IF(N195&lt;=3500, "1.501–3.500 (mediano)",
   IF(N195&lt;=7000, "3.501–7.000 (intermediário)",
   "7.001+ (elite)"))))</f>
        <v>1–1.500 (rebaixamento)</v>
      </c>
      <c r="P195" s="5">
        <v>3720</v>
      </c>
      <c r="Q195" s="5">
        <v>28</v>
      </c>
      <c r="R195" s="5" t="s">
        <v>233</v>
      </c>
      <c r="S195" s="5">
        <v>1</v>
      </c>
      <c r="T195" s="5">
        <v>0</v>
      </c>
      <c r="U195" s="5">
        <v>0</v>
      </c>
      <c r="V195" s="5">
        <v>0</v>
      </c>
      <c r="W195" s="5">
        <v>5</v>
      </c>
      <c r="X195" s="5">
        <v>5</v>
      </c>
      <c r="Y195" s="5">
        <v>15</v>
      </c>
      <c r="Z195" s="5">
        <v>8</v>
      </c>
      <c r="AA195" s="5">
        <v>8</v>
      </c>
      <c r="AB195" s="5">
        <v>14</v>
      </c>
      <c r="AC195" s="5">
        <v>0</v>
      </c>
      <c r="AD195" s="5">
        <v>2</v>
      </c>
      <c r="AE195" s="5">
        <v>2</v>
      </c>
      <c r="AF195" s="5">
        <v>0</v>
      </c>
      <c r="AG195" s="5">
        <v>11</v>
      </c>
      <c r="AH195" s="5">
        <v>9</v>
      </c>
      <c r="AI195" s="5">
        <v>5</v>
      </c>
      <c r="AJ195" s="5">
        <v>7</v>
      </c>
      <c r="AK195" s="5">
        <v>1</v>
      </c>
      <c r="AL195" s="5">
        <v>1</v>
      </c>
      <c r="AM195" s="5">
        <f>IF(Tabela2[[#This Row],[gols_mandante]]=Tabela2[[#This Row],[gols_visitante]],1,0)</f>
        <v>0</v>
      </c>
      <c r="AN195" s="5">
        <f>IF(Tabela2[[#This Row],[gols_mandante]]&gt;Tabela2[[#This Row],[gols_visitante]],1,0)</f>
        <v>1</v>
      </c>
      <c r="AO195" s="5">
        <f>IF(Tabela2[[#This Row],[gols_mandante]]&lt;Tabela2[[#This Row],[gols_visitante]],1,0)</f>
        <v>0</v>
      </c>
      <c r="AP195" s="5" t="s">
        <v>143</v>
      </c>
      <c r="AQ195" s="5">
        <v>0</v>
      </c>
      <c r="AS195" t="s">
        <v>505</v>
      </c>
      <c r="AT195" s="12">
        <f>SUM(Tabela2[derrota])</f>
        <v>48</v>
      </c>
    </row>
    <row r="196" spans="1:46" x14ac:dyDescent="0.25">
      <c r="A196" s="3">
        <v>2024</v>
      </c>
      <c r="B196" s="2">
        <v>45584</v>
      </c>
      <c r="C196" s="3">
        <v>30</v>
      </c>
      <c r="D196" s="3">
        <v>3622</v>
      </c>
      <c r="E196" s="3">
        <v>13000</v>
      </c>
      <c r="F196" s="3" t="str">
        <f t="shared" si="12"/>
        <v>20.000-29.999</v>
      </c>
      <c r="G196" s="3">
        <f>Tabela2[[#This Row],[publico]]/Tabela2[[#This Row],[publico_max]]</f>
        <v>0.2786153846153846</v>
      </c>
      <c r="H196" s="3" t="s">
        <v>76</v>
      </c>
      <c r="I196" s="3" t="s">
        <v>70</v>
      </c>
      <c r="J196" s="3">
        <v>20</v>
      </c>
      <c r="K196" s="3" t="str">
        <f t="shared" si="13"/>
        <v>16-20 (rebaixamento)</v>
      </c>
      <c r="L196" s="3">
        <v>19</v>
      </c>
      <c r="M196" s="3">
        <f t="shared" si="14"/>
        <v>-1</v>
      </c>
      <c r="N196" s="3">
        <v>970</v>
      </c>
      <c r="O196" s="3" t="str">
        <f t="shared" si="15"/>
        <v>1–1.500 (rebaixamento)</v>
      </c>
      <c r="P196" s="3">
        <v>1615</v>
      </c>
      <c r="Q196" s="3" t="s">
        <v>104</v>
      </c>
      <c r="R196" s="3" t="s">
        <v>74</v>
      </c>
      <c r="S196" s="3">
        <v>0</v>
      </c>
      <c r="T196" s="3">
        <v>0</v>
      </c>
      <c r="U196" s="3">
        <v>0</v>
      </c>
      <c r="V196" s="3">
        <v>0</v>
      </c>
      <c r="W196" s="3">
        <v>8</v>
      </c>
      <c r="X196" s="3">
        <v>4</v>
      </c>
      <c r="Y196" s="3">
        <v>17</v>
      </c>
      <c r="Z196" s="3">
        <v>15</v>
      </c>
      <c r="AA196" s="3">
        <v>14</v>
      </c>
      <c r="AB196" s="3">
        <v>16</v>
      </c>
      <c r="AC196" s="3">
        <v>0</v>
      </c>
      <c r="AD196" s="3">
        <v>4</v>
      </c>
      <c r="AE196" s="3">
        <v>0</v>
      </c>
      <c r="AF196" s="3">
        <v>1</v>
      </c>
      <c r="AG196" s="3">
        <v>16</v>
      </c>
      <c r="AH196" s="3">
        <v>6</v>
      </c>
      <c r="AI196" s="3">
        <v>7</v>
      </c>
      <c r="AJ196" s="3">
        <v>2</v>
      </c>
      <c r="AK196" s="3">
        <v>0</v>
      </c>
      <c r="AL196" s="3">
        <v>0</v>
      </c>
      <c r="AM196" s="3">
        <f>IF(Tabela2[[#This Row],[gols_mandante]]=Tabela2[[#This Row],[gols_visitante]],1,0)</f>
        <v>1</v>
      </c>
      <c r="AN196" s="3">
        <f>IF(Tabela2[[#This Row],[gols_mandante]]&gt;Tabela2[[#This Row],[gols_visitante]],1,0)</f>
        <v>0</v>
      </c>
      <c r="AO196" s="3">
        <f>IF(Tabela2[[#This Row],[gols_mandante]]&lt;Tabela2[[#This Row],[gols_visitante]],1,0)</f>
        <v>0</v>
      </c>
      <c r="AP196" s="3" t="s">
        <v>143</v>
      </c>
      <c r="AQ196" s="3">
        <v>0</v>
      </c>
      <c r="AS196" t="s">
        <v>492</v>
      </c>
      <c r="AT196" s="12">
        <f>SUM(Tabela2[empate])</f>
        <v>57</v>
      </c>
    </row>
    <row r="197" spans="1:46" x14ac:dyDescent="0.25">
      <c r="A197" s="5">
        <v>2024</v>
      </c>
      <c r="B197" s="4">
        <v>45584</v>
      </c>
      <c r="C197" s="5">
        <v>30</v>
      </c>
      <c r="D197" s="5">
        <v>48049</v>
      </c>
      <c r="E197" s="5">
        <v>50848</v>
      </c>
      <c r="F197" s="5" t="str">
        <f t="shared" si="12"/>
        <v>0-4.999</v>
      </c>
      <c r="G197" s="5">
        <f>Tabela2[[#This Row],[publico]]/Tabela2[[#This Row],[publico_max]]</f>
        <v>0.94495358716173694</v>
      </c>
      <c r="H197" s="5" t="s">
        <v>37</v>
      </c>
      <c r="I197" s="5" t="s">
        <v>83</v>
      </c>
      <c r="J197" s="5">
        <v>6</v>
      </c>
      <c r="K197" s="3" t="str">
        <f t="shared" si="13"/>
        <v>6-10 (intermediário)</v>
      </c>
      <c r="L197" s="5">
        <v>13</v>
      </c>
      <c r="M197" s="3">
        <f t="shared" si="14"/>
        <v>7</v>
      </c>
      <c r="N197" s="5">
        <v>3890</v>
      </c>
      <c r="O197" s="3" t="str">
        <f t="shared" si="15"/>
        <v>3.501–7.000 (intermediário)</v>
      </c>
      <c r="P197" s="5">
        <v>4010</v>
      </c>
      <c r="Q197" s="5" t="s">
        <v>151</v>
      </c>
      <c r="R197" s="5" t="s">
        <v>166</v>
      </c>
      <c r="S197" s="5">
        <v>1</v>
      </c>
      <c r="T197" s="5">
        <v>0</v>
      </c>
      <c r="U197" s="5">
        <v>0</v>
      </c>
      <c r="V197" s="5">
        <v>0</v>
      </c>
      <c r="W197" s="5">
        <v>3</v>
      </c>
      <c r="X197" s="5">
        <v>6</v>
      </c>
      <c r="Y197" s="5">
        <v>14</v>
      </c>
      <c r="Z197" s="5">
        <v>15</v>
      </c>
      <c r="AA197" s="5">
        <v>14</v>
      </c>
      <c r="AB197" s="5">
        <v>14</v>
      </c>
      <c r="AC197" s="5">
        <v>7</v>
      </c>
      <c r="AD197" s="5">
        <v>5</v>
      </c>
      <c r="AE197" s="5">
        <v>1</v>
      </c>
      <c r="AF197" s="5">
        <v>1</v>
      </c>
      <c r="AG197" s="5">
        <v>18</v>
      </c>
      <c r="AH197" s="5">
        <v>9</v>
      </c>
      <c r="AI197" s="5">
        <v>6</v>
      </c>
      <c r="AJ197" s="5">
        <v>1</v>
      </c>
      <c r="AK197" s="5">
        <v>1</v>
      </c>
      <c r="AL197" s="5">
        <v>1</v>
      </c>
      <c r="AM197" s="5">
        <f>IF(Tabela2[[#This Row],[gols_mandante]]=Tabela2[[#This Row],[gols_visitante]],1,0)</f>
        <v>0</v>
      </c>
      <c r="AN197" s="5">
        <f>IF(Tabela2[[#This Row],[gols_mandante]]&gt;Tabela2[[#This Row],[gols_visitante]],1,0)</f>
        <v>1</v>
      </c>
      <c r="AO197" s="5">
        <f>IF(Tabela2[[#This Row],[gols_mandante]]&lt;Tabela2[[#This Row],[gols_visitante]],1,0)</f>
        <v>0</v>
      </c>
      <c r="AP197" s="5" t="s">
        <v>301</v>
      </c>
      <c r="AQ197" s="5">
        <v>0</v>
      </c>
    </row>
    <row r="198" spans="1:46" x14ac:dyDescent="0.25">
      <c r="A198" s="3">
        <v>2024</v>
      </c>
      <c r="B198" s="2">
        <v>45584</v>
      </c>
      <c r="C198" s="3">
        <v>30</v>
      </c>
      <c r="D198" s="3">
        <v>64727</v>
      </c>
      <c r="E198" s="3">
        <v>76931</v>
      </c>
      <c r="F198" s="3" t="str">
        <f t="shared" si="12"/>
        <v>&gt;=30.000</v>
      </c>
      <c r="G198" s="3">
        <f>Tabela2[[#This Row],[publico]]/Tabela2[[#This Row],[publico_max]]</f>
        <v>0.84136433947303424</v>
      </c>
      <c r="H198" s="3" t="s">
        <v>51</v>
      </c>
      <c r="I198" s="3" t="s">
        <v>43</v>
      </c>
      <c r="J198" s="3">
        <v>1</v>
      </c>
      <c r="K198" s="3" t="str">
        <f t="shared" si="13"/>
        <v>1-5 (elite)</v>
      </c>
      <c r="L198" s="3">
        <v>12</v>
      </c>
      <c r="M198" s="3">
        <f t="shared" si="14"/>
        <v>11</v>
      </c>
      <c r="N198" s="3">
        <v>8300</v>
      </c>
      <c r="O198" s="3" t="str">
        <f t="shared" si="15"/>
        <v>7.001+ (elite)</v>
      </c>
      <c r="P198" s="3">
        <v>940</v>
      </c>
      <c r="Q198" s="3" t="s">
        <v>114</v>
      </c>
      <c r="R198" s="3" t="s">
        <v>205</v>
      </c>
      <c r="S198" s="3">
        <v>1</v>
      </c>
      <c r="T198" s="3">
        <v>1</v>
      </c>
      <c r="U198" s="3">
        <v>0</v>
      </c>
      <c r="V198" s="3">
        <v>0</v>
      </c>
      <c r="W198" s="3">
        <v>9</v>
      </c>
      <c r="X198" s="3">
        <v>1</v>
      </c>
      <c r="Y198" s="3">
        <v>12</v>
      </c>
      <c r="Z198" s="3">
        <v>10</v>
      </c>
      <c r="AA198" s="3">
        <v>9</v>
      </c>
      <c r="AB198" s="3">
        <v>11</v>
      </c>
      <c r="AC198" s="3">
        <v>2</v>
      </c>
      <c r="AD198" s="3">
        <v>6</v>
      </c>
      <c r="AE198" s="3">
        <v>1</v>
      </c>
      <c r="AF198" s="3">
        <v>2</v>
      </c>
      <c r="AG198" s="3">
        <v>25</v>
      </c>
      <c r="AH198" s="3">
        <v>6</v>
      </c>
      <c r="AI198" s="3">
        <v>8</v>
      </c>
      <c r="AJ198" s="3">
        <v>3</v>
      </c>
      <c r="AK198" s="3">
        <v>0</v>
      </c>
      <c r="AL198" s="3">
        <v>0</v>
      </c>
      <c r="AM198" s="3">
        <f>IF(Tabela2[[#This Row],[gols_mandante]]=Tabela2[[#This Row],[gols_visitante]],1,0)</f>
        <v>1</v>
      </c>
      <c r="AN198" s="3">
        <f>IF(Tabela2[[#This Row],[gols_mandante]]&gt;Tabela2[[#This Row],[gols_visitante]],1,0)</f>
        <v>0</v>
      </c>
      <c r="AO198" s="3">
        <f>IF(Tabela2[[#This Row],[gols_mandante]]&lt;Tabela2[[#This Row],[gols_visitante]],1,0)</f>
        <v>0</v>
      </c>
      <c r="AP198" s="3" t="s">
        <v>302</v>
      </c>
      <c r="AQ198" s="3">
        <v>0</v>
      </c>
    </row>
    <row r="199" spans="1:46" x14ac:dyDescent="0.25">
      <c r="A199" s="5">
        <v>2024</v>
      </c>
      <c r="B199" s="4">
        <v>45584</v>
      </c>
      <c r="C199" s="5">
        <v>30</v>
      </c>
      <c r="D199" s="5">
        <v>34473</v>
      </c>
      <c r="E199" s="5">
        <v>61927</v>
      </c>
      <c r="F199" s="5" t="str">
        <f t="shared" si="12"/>
        <v>&gt;=30.000</v>
      </c>
      <c r="G199" s="5">
        <f>Tabela2[[#This Row],[publico]]/Tabela2[[#This Row],[publico_max]]</f>
        <v>0.55667156490706804</v>
      </c>
      <c r="H199" s="5" t="s">
        <v>50</v>
      </c>
      <c r="I199" s="5" t="s">
        <v>38</v>
      </c>
      <c r="J199" s="5">
        <v>8</v>
      </c>
      <c r="K199" s="3" t="str">
        <f t="shared" si="13"/>
        <v>6-10 (intermediário)</v>
      </c>
      <c r="L199" s="5">
        <v>7</v>
      </c>
      <c r="M199" s="3">
        <f t="shared" si="14"/>
        <v>-1</v>
      </c>
      <c r="N199" s="5">
        <v>4910</v>
      </c>
      <c r="O199" s="3" t="str">
        <f t="shared" si="15"/>
        <v>3.501–7.000 (intermediário)</v>
      </c>
      <c r="P199" s="5">
        <v>3545</v>
      </c>
      <c r="Q199" s="5" t="s">
        <v>135</v>
      </c>
      <c r="R199" s="5" t="s">
        <v>129</v>
      </c>
      <c r="S199" s="5">
        <v>1</v>
      </c>
      <c r="T199" s="5">
        <v>1</v>
      </c>
      <c r="U199" s="5">
        <v>0</v>
      </c>
      <c r="V199" s="5">
        <v>0</v>
      </c>
      <c r="W199" s="5">
        <v>5</v>
      </c>
      <c r="X199" s="5">
        <v>7</v>
      </c>
      <c r="Y199" s="5">
        <v>10</v>
      </c>
      <c r="Z199" s="5">
        <v>8</v>
      </c>
      <c r="AA199" s="5">
        <v>8</v>
      </c>
      <c r="AB199" s="5">
        <v>9</v>
      </c>
      <c r="AC199" s="5">
        <v>3</v>
      </c>
      <c r="AD199" s="5">
        <v>2</v>
      </c>
      <c r="AE199" s="5">
        <v>2</v>
      </c>
      <c r="AF199" s="5">
        <v>5</v>
      </c>
      <c r="AG199" s="5">
        <v>11</v>
      </c>
      <c r="AH199" s="5">
        <v>10</v>
      </c>
      <c r="AI199" s="5">
        <v>7</v>
      </c>
      <c r="AJ199" s="5">
        <v>6</v>
      </c>
      <c r="AK199" s="5">
        <v>0</v>
      </c>
      <c r="AL199" s="5">
        <v>0</v>
      </c>
      <c r="AM199" s="5">
        <f>IF(Tabela2[[#This Row],[gols_mandante]]=Tabela2[[#This Row],[gols_visitante]],1,0)</f>
        <v>1</v>
      </c>
      <c r="AN199" s="5">
        <f>IF(Tabela2[[#This Row],[gols_mandante]]&gt;Tabela2[[#This Row],[gols_visitante]],1,0)</f>
        <v>0</v>
      </c>
      <c r="AO199" s="5">
        <f>IF(Tabela2[[#This Row],[gols_mandante]]&lt;Tabela2[[#This Row],[gols_visitante]],1,0)</f>
        <v>0</v>
      </c>
      <c r="AP199" s="5" t="s">
        <v>148</v>
      </c>
      <c r="AQ199" s="5">
        <v>0</v>
      </c>
    </row>
    <row r="200" spans="1:46" x14ac:dyDescent="0.25">
      <c r="A200" s="3">
        <v>2024</v>
      </c>
      <c r="B200" s="2">
        <v>45586</v>
      </c>
      <c r="C200" s="3">
        <v>30</v>
      </c>
      <c r="D200" s="3">
        <v>10102</v>
      </c>
      <c r="E200" s="3">
        <v>23726</v>
      </c>
      <c r="F200" s="3" t="str">
        <f t="shared" si="12"/>
        <v>&gt;=30.000</v>
      </c>
      <c r="G200" s="3">
        <f>Tabela2[[#This Row],[publico]]/Tabela2[[#This Row],[publico_max]]</f>
        <v>0.42577762791873891</v>
      </c>
      <c r="H200" s="3" t="s">
        <v>44</v>
      </c>
      <c r="I200" s="3" t="s">
        <v>95</v>
      </c>
      <c r="J200" s="3">
        <v>16</v>
      </c>
      <c r="K200" s="3" t="str">
        <f t="shared" si="13"/>
        <v>16-20 (rebaixamento)</v>
      </c>
      <c r="L200" s="3">
        <v>2</v>
      </c>
      <c r="M200" s="3">
        <f t="shared" si="14"/>
        <v>-14</v>
      </c>
      <c r="N200" s="3">
        <v>930</v>
      </c>
      <c r="O200" s="3" t="str">
        <f t="shared" si="15"/>
        <v>1–1.500 (rebaixamento)</v>
      </c>
      <c r="P200" s="3">
        <v>11600</v>
      </c>
      <c r="Q200" s="3" t="s">
        <v>98</v>
      </c>
      <c r="R200" s="3" t="s">
        <v>114</v>
      </c>
      <c r="S200" s="3">
        <v>3</v>
      </c>
      <c r="T200" s="3">
        <v>5</v>
      </c>
      <c r="U200" s="3">
        <v>1</v>
      </c>
      <c r="V200" s="3">
        <v>2</v>
      </c>
      <c r="W200" s="3">
        <v>7</v>
      </c>
      <c r="X200" s="3">
        <v>5</v>
      </c>
      <c r="Y200" s="3">
        <v>15</v>
      </c>
      <c r="Z200" s="3">
        <v>19</v>
      </c>
      <c r="AA200" s="3">
        <v>18</v>
      </c>
      <c r="AB200" s="3">
        <v>14</v>
      </c>
      <c r="AC200" s="3">
        <v>2</v>
      </c>
      <c r="AD200" s="3">
        <v>3</v>
      </c>
      <c r="AE200" s="3">
        <v>1</v>
      </c>
      <c r="AF200" s="3">
        <v>5</v>
      </c>
      <c r="AG200" s="3">
        <v>25</v>
      </c>
      <c r="AH200" s="3">
        <v>14</v>
      </c>
      <c r="AI200" s="3">
        <v>13</v>
      </c>
      <c r="AJ200" s="3">
        <v>2</v>
      </c>
      <c r="AK200" s="3">
        <v>-2</v>
      </c>
      <c r="AL200" s="3">
        <v>0</v>
      </c>
      <c r="AM200" s="3">
        <f>IF(Tabela2[[#This Row],[gols_mandante]]=Tabela2[[#This Row],[gols_visitante]],1,0)</f>
        <v>0</v>
      </c>
      <c r="AN200" s="3">
        <f>IF(Tabela2[[#This Row],[gols_mandante]]&gt;Tabela2[[#This Row],[gols_visitante]],1,0)</f>
        <v>0</v>
      </c>
      <c r="AO200" s="3">
        <f>IF(Tabela2[[#This Row],[gols_mandante]]&lt;Tabela2[[#This Row],[gols_visitante]],1,0)</f>
        <v>1</v>
      </c>
      <c r="AP200" s="3" t="s">
        <v>242</v>
      </c>
      <c r="AQ200" s="3">
        <v>0</v>
      </c>
    </row>
    <row r="201" spans="1:46" x14ac:dyDescent="0.25">
      <c r="A201" s="5">
        <v>2024</v>
      </c>
      <c r="B201" s="4">
        <v>45591</v>
      </c>
      <c r="C201" s="5">
        <v>31</v>
      </c>
      <c r="D201" s="5">
        <v>36959</v>
      </c>
      <c r="E201" s="5">
        <v>60540</v>
      </c>
      <c r="F201" s="5" t="str">
        <f t="shared" si="12"/>
        <v>10.000-14.999</v>
      </c>
      <c r="G201" s="5">
        <f>Tabela2[[#This Row],[publico]]/Tabela2[[#This Row],[publico_max]]</f>
        <v>0.61048893293690121</v>
      </c>
      <c r="H201" s="5" t="s">
        <v>83</v>
      </c>
      <c r="I201" s="5" t="s">
        <v>76</v>
      </c>
      <c r="J201" s="5">
        <v>11</v>
      </c>
      <c r="K201" s="3" t="str">
        <f t="shared" si="13"/>
        <v>11-15 (mediano)</v>
      </c>
      <c r="L201" s="5">
        <v>20</v>
      </c>
      <c r="M201" s="3">
        <f t="shared" si="14"/>
        <v>9</v>
      </c>
      <c r="N201" s="5">
        <v>4420</v>
      </c>
      <c r="O201" s="3" t="str">
        <f t="shared" si="15"/>
        <v>3.501–7.000 (intermediário)</v>
      </c>
      <c r="P201" s="5">
        <v>1000</v>
      </c>
      <c r="Q201" s="5" t="s">
        <v>74</v>
      </c>
      <c r="R201" s="5" t="s">
        <v>209</v>
      </c>
      <c r="S201" s="5">
        <v>3</v>
      </c>
      <c r="T201" s="5">
        <v>1</v>
      </c>
      <c r="U201" s="5">
        <v>1</v>
      </c>
      <c r="V201" s="5">
        <v>1</v>
      </c>
      <c r="W201" s="5">
        <v>4</v>
      </c>
      <c r="X201" s="5">
        <v>3</v>
      </c>
      <c r="Y201" s="5">
        <v>14</v>
      </c>
      <c r="Z201" s="5">
        <v>18</v>
      </c>
      <c r="AA201" s="5">
        <v>18</v>
      </c>
      <c r="AB201" s="5">
        <v>13</v>
      </c>
      <c r="AC201" s="5">
        <v>4</v>
      </c>
      <c r="AD201" s="5">
        <v>3</v>
      </c>
      <c r="AE201" s="5">
        <v>0</v>
      </c>
      <c r="AF201" s="5">
        <v>0</v>
      </c>
      <c r="AG201" s="5">
        <v>11</v>
      </c>
      <c r="AH201" s="5">
        <v>13</v>
      </c>
      <c r="AI201" s="5">
        <v>3</v>
      </c>
      <c r="AJ201" s="5">
        <v>4</v>
      </c>
      <c r="AK201" s="5">
        <v>2</v>
      </c>
      <c r="AL201" s="5">
        <v>1</v>
      </c>
      <c r="AM201" s="5">
        <f>IF(Tabela2[[#This Row],[gols_mandante]]=Tabela2[[#This Row],[gols_visitante]],1,0)</f>
        <v>0</v>
      </c>
      <c r="AN201" s="5">
        <f>IF(Tabela2[[#This Row],[gols_mandante]]&gt;Tabela2[[#This Row],[gols_visitante]],1,0)</f>
        <v>1</v>
      </c>
      <c r="AO201" s="5">
        <f>IF(Tabela2[[#This Row],[gols_mandante]]&lt;Tabela2[[#This Row],[gols_visitante]],1,0)</f>
        <v>0</v>
      </c>
      <c r="AP201" s="5" t="s">
        <v>303</v>
      </c>
      <c r="AQ201" s="5">
        <v>0</v>
      </c>
    </row>
    <row r="202" spans="1:46" x14ac:dyDescent="0.25">
      <c r="A202" s="3">
        <v>2024</v>
      </c>
      <c r="B202" s="2">
        <v>45591</v>
      </c>
      <c r="C202" s="3">
        <v>31</v>
      </c>
      <c r="D202" s="3">
        <v>40321</v>
      </c>
      <c r="E202" s="3">
        <v>43713</v>
      </c>
      <c r="F202" s="3" t="str">
        <f t="shared" si="12"/>
        <v>&gt;=30.000</v>
      </c>
      <c r="G202" s="3">
        <f>Tabela2[[#This Row],[publico]]/Tabela2[[#This Row],[publico_max]]</f>
        <v>0.92240294649189025</v>
      </c>
      <c r="H202" s="3" t="s">
        <v>95</v>
      </c>
      <c r="I202" s="3" t="s">
        <v>63</v>
      </c>
      <c r="J202" s="3">
        <v>2</v>
      </c>
      <c r="K202" s="3" t="str">
        <f t="shared" si="13"/>
        <v>1-5 (elite)</v>
      </c>
      <c r="L202" s="3">
        <v>3</v>
      </c>
      <c r="M202" s="3">
        <f t="shared" si="14"/>
        <v>1</v>
      </c>
      <c r="N202" s="3">
        <v>11300</v>
      </c>
      <c r="O202" s="3" t="str">
        <f t="shared" si="15"/>
        <v>7.001+ (elite)</v>
      </c>
      <c r="P202" s="3">
        <v>1655</v>
      </c>
      <c r="Q202" s="3" t="s">
        <v>41</v>
      </c>
      <c r="R202" s="3" t="s">
        <v>142</v>
      </c>
      <c r="S202" s="3">
        <v>2</v>
      </c>
      <c r="T202" s="3">
        <v>2</v>
      </c>
      <c r="U202" s="3">
        <v>1</v>
      </c>
      <c r="V202" s="3">
        <v>1</v>
      </c>
      <c r="W202" s="3">
        <v>3</v>
      </c>
      <c r="X202" s="3">
        <v>3</v>
      </c>
      <c r="Y202" s="3">
        <v>9</v>
      </c>
      <c r="Z202" s="3">
        <v>17</v>
      </c>
      <c r="AA202" s="3">
        <v>15</v>
      </c>
      <c r="AB202" s="3">
        <v>9</v>
      </c>
      <c r="AC202" s="3">
        <v>1</v>
      </c>
      <c r="AD202" s="3">
        <v>4</v>
      </c>
      <c r="AE202" s="3">
        <v>0</v>
      </c>
      <c r="AF202" s="3">
        <v>0</v>
      </c>
      <c r="AG202" s="3">
        <v>16</v>
      </c>
      <c r="AH202" s="3">
        <v>11</v>
      </c>
      <c r="AI202" s="3">
        <v>5</v>
      </c>
      <c r="AJ202" s="3">
        <v>6</v>
      </c>
      <c r="AK202" s="3">
        <v>0</v>
      </c>
      <c r="AL202" s="3">
        <v>0</v>
      </c>
      <c r="AM202" s="3">
        <f>IF(Tabela2[[#This Row],[gols_mandante]]=Tabela2[[#This Row],[gols_visitante]],1,0)</f>
        <v>1</v>
      </c>
      <c r="AN202" s="3">
        <f>IF(Tabela2[[#This Row],[gols_mandante]]&gt;Tabela2[[#This Row],[gols_visitante]],1,0)</f>
        <v>0</v>
      </c>
      <c r="AO202" s="3">
        <f>IF(Tabela2[[#This Row],[gols_mandante]]&lt;Tabela2[[#This Row],[gols_visitante]],1,0)</f>
        <v>0</v>
      </c>
      <c r="AP202" s="3" t="s">
        <v>304</v>
      </c>
      <c r="AQ202" s="3">
        <v>0</v>
      </c>
    </row>
    <row r="203" spans="1:46" x14ac:dyDescent="0.25">
      <c r="A203" s="5">
        <v>2024</v>
      </c>
      <c r="B203" s="4">
        <v>45591</v>
      </c>
      <c r="C203" s="5">
        <v>31</v>
      </c>
      <c r="D203" s="5">
        <v>35959</v>
      </c>
      <c r="E203" s="5">
        <v>42372</v>
      </c>
      <c r="F203" s="5" t="str">
        <f t="shared" si="12"/>
        <v>&gt;=30.000</v>
      </c>
      <c r="G203" s="5">
        <f>Tabela2[[#This Row],[publico]]/Tabela2[[#This Row],[publico_max]]</f>
        <v>0.84865005192108001</v>
      </c>
      <c r="H203" s="5" t="s">
        <v>69</v>
      </c>
      <c r="I203" s="5" t="s">
        <v>50</v>
      </c>
      <c r="J203" s="5">
        <v>12</v>
      </c>
      <c r="K203" s="3" t="str">
        <f t="shared" si="13"/>
        <v>11-15 (mediano)</v>
      </c>
      <c r="L203" s="5">
        <v>8</v>
      </c>
      <c r="M203" s="3">
        <f t="shared" si="14"/>
        <v>-4</v>
      </c>
      <c r="N203" s="5">
        <v>1465</v>
      </c>
      <c r="O203" s="3" t="str">
        <f t="shared" si="15"/>
        <v>1–1.500 (rebaixamento)</v>
      </c>
      <c r="P203" s="5">
        <v>1740</v>
      </c>
      <c r="Q203" s="5" t="s">
        <v>151</v>
      </c>
      <c r="R203" s="5" t="s">
        <v>116</v>
      </c>
      <c r="S203" s="5">
        <v>3</v>
      </c>
      <c r="T203" s="5">
        <v>0</v>
      </c>
      <c r="U203" s="5">
        <v>1</v>
      </c>
      <c r="V203" s="5">
        <v>0</v>
      </c>
      <c r="W203" s="5">
        <v>7</v>
      </c>
      <c r="X203" s="5">
        <v>1</v>
      </c>
      <c r="Y203" s="5">
        <v>14</v>
      </c>
      <c r="Z203" s="5">
        <v>14</v>
      </c>
      <c r="AA203" s="5">
        <v>13</v>
      </c>
      <c r="AB203" s="5">
        <v>14</v>
      </c>
      <c r="AC203" s="5">
        <v>0</v>
      </c>
      <c r="AD203" s="5">
        <v>3</v>
      </c>
      <c r="AE203" s="5">
        <v>0</v>
      </c>
      <c r="AF203" s="5">
        <v>0</v>
      </c>
      <c r="AG203" s="5">
        <v>19</v>
      </c>
      <c r="AH203" s="5">
        <v>2</v>
      </c>
      <c r="AI203" s="5">
        <v>8</v>
      </c>
      <c r="AJ203" s="5">
        <v>2</v>
      </c>
      <c r="AK203" s="5">
        <v>3</v>
      </c>
      <c r="AL203" s="5">
        <v>1</v>
      </c>
      <c r="AM203" s="5">
        <f>IF(Tabela2[[#This Row],[gols_mandante]]=Tabela2[[#This Row],[gols_visitante]],1,0)</f>
        <v>0</v>
      </c>
      <c r="AN203" s="5">
        <f>IF(Tabela2[[#This Row],[gols_mandante]]&gt;Tabela2[[#This Row],[gols_visitante]],1,0)</f>
        <v>1</v>
      </c>
      <c r="AO203" s="5">
        <f>IF(Tabela2[[#This Row],[gols_mandante]]&lt;Tabela2[[#This Row],[gols_visitante]],1,0)</f>
        <v>0</v>
      </c>
      <c r="AP203" s="5" t="s">
        <v>305</v>
      </c>
      <c r="AQ203" s="5">
        <v>0</v>
      </c>
    </row>
    <row r="204" spans="1:46" x14ac:dyDescent="0.25">
      <c r="A204" s="3">
        <v>2024</v>
      </c>
      <c r="B204" s="2">
        <v>45591</v>
      </c>
      <c r="C204" s="3">
        <v>31</v>
      </c>
      <c r="D204" s="3">
        <v>65700</v>
      </c>
      <c r="E204" s="3">
        <v>78838</v>
      </c>
      <c r="F204" s="3" t="str">
        <f t="shared" si="12"/>
        <v>&gt;=30.000</v>
      </c>
      <c r="G204" s="3">
        <f>Tabela2[[#This Row],[publico]]/Tabela2[[#This Row],[publico_max]]</f>
        <v>0.83335447373094196</v>
      </c>
      <c r="H204" s="3" t="s">
        <v>77</v>
      </c>
      <c r="I204" s="3" t="s">
        <v>44</v>
      </c>
      <c r="J204" s="3">
        <v>4</v>
      </c>
      <c r="K204" s="3" t="str">
        <f t="shared" si="13"/>
        <v>1-5 (elite)</v>
      </c>
      <c r="L204" s="3">
        <v>18</v>
      </c>
      <c r="M204" s="3">
        <f t="shared" si="14"/>
        <v>14</v>
      </c>
      <c r="N204" s="3">
        <v>8900</v>
      </c>
      <c r="O204" s="3" t="str">
        <f t="shared" si="15"/>
        <v>7.001+ (elite)</v>
      </c>
      <c r="P204" s="3">
        <v>815</v>
      </c>
      <c r="Q204" s="3" t="s">
        <v>120</v>
      </c>
      <c r="R204" s="3" t="s">
        <v>137</v>
      </c>
      <c r="S204" s="3">
        <v>4</v>
      </c>
      <c r="T204" s="3">
        <v>2</v>
      </c>
      <c r="U204" s="3">
        <v>1</v>
      </c>
      <c r="V204" s="3">
        <v>1</v>
      </c>
      <c r="W204" s="3">
        <v>8</v>
      </c>
      <c r="X204" s="3">
        <v>1</v>
      </c>
      <c r="Y204" s="3">
        <v>8</v>
      </c>
      <c r="Z204" s="3">
        <v>14</v>
      </c>
      <c r="AA204" s="3">
        <v>13</v>
      </c>
      <c r="AB204" s="3">
        <v>8</v>
      </c>
      <c r="AC204" s="3">
        <v>1</v>
      </c>
      <c r="AD204" s="3">
        <v>6</v>
      </c>
      <c r="AE204" s="3">
        <v>2</v>
      </c>
      <c r="AF204" s="3">
        <v>1</v>
      </c>
      <c r="AG204" s="3">
        <v>20</v>
      </c>
      <c r="AH204" s="3">
        <v>5</v>
      </c>
      <c r="AI204" s="3">
        <v>7</v>
      </c>
      <c r="AJ204" s="3">
        <v>2</v>
      </c>
      <c r="AK204" s="3">
        <v>2</v>
      </c>
      <c r="AL204" s="3">
        <v>1</v>
      </c>
      <c r="AM204" s="3">
        <f>IF(Tabela2[[#This Row],[gols_mandante]]=Tabela2[[#This Row],[gols_visitante]],1,0)</f>
        <v>0</v>
      </c>
      <c r="AN204" s="3">
        <f>IF(Tabela2[[#This Row],[gols_mandante]]&gt;Tabela2[[#This Row],[gols_visitante]],1,0)</f>
        <v>1</v>
      </c>
      <c r="AO204" s="3">
        <f>IF(Tabela2[[#This Row],[gols_mandante]]&lt;Tabela2[[#This Row],[gols_visitante]],1,0)</f>
        <v>0</v>
      </c>
      <c r="AP204" s="3" t="s">
        <v>306</v>
      </c>
      <c r="AQ204" s="3">
        <v>0</v>
      </c>
    </row>
    <row r="205" spans="1:46" x14ac:dyDescent="0.25">
      <c r="A205" s="7">
        <v>2024</v>
      </c>
      <c r="B205" s="8">
        <v>45591</v>
      </c>
      <c r="C205" s="7">
        <v>31</v>
      </c>
      <c r="D205" s="7">
        <v>29497</v>
      </c>
      <c r="E205" s="7">
        <v>30618</v>
      </c>
      <c r="F205" s="7" t="str">
        <f t="shared" si="12"/>
        <v>&gt;=30.000</v>
      </c>
      <c r="G205" s="7">
        <f>Tabela2[[#This Row],[publico]]/Tabela2[[#This Row],[publico_max]]</f>
        <v>0.9633875498073029</v>
      </c>
      <c r="H205" s="7" t="s">
        <v>94</v>
      </c>
      <c r="I205" s="7" t="s">
        <v>55</v>
      </c>
      <c r="J205" s="7">
        <v>15</v>
      </c>
      <c r="K205" s="3" t="str">
        <f t="shared" si="13"/>
        <v>11-15 (mediano)</v>
      </c>
      <c r="L205" s="7">
        <v>14</v>
      </c>
      <c r="M205" s="9">
        <f t="shared" si="14"/>
        <v>-1</v>
      </c>
      <c r="N205" s="7">
        <v>1205</v>
      </c>
      <c r="O205" s="3" t="str">
        <f t="shared" si="15"/>
        <v>1–1.500 (rebaixamento)</v>
      </c>
      <c r="P205" s="7">
        <v>3735</v>
      </c>
      <c r="Q205" s="7" t="s">
        <v>137</v>
      </c>
      <c r="R205" s="7" t="s">
        <v>208</v>
      </c>
      <c r="S205" s="7">
        <v>2</v>
      </c>
      <c r="T205" s="7">
        <v>1</v>
      </c>
      <c r="U205" s="7">
        <v>1</v>
      </c>
      <c r="V205" s="7">
        <v>0</v>
      </c>
      <c r="W205" s="7">
        <v>7</v>
      </c>
      <c r="X205" s="7">
        <v>5</v>
      </c>
      <c r="Y205" s="7">
        <v>15</v>
      </c>
      <c r="Z205" s="7">
        <v>7</v>
      </c>
      <c r="AA205" s="7">
        <v>7</v>
      </c>
      <c r="AB205" s="7">
        <v>15</v>
      </c>
      <c r="AC205" s="7">
        <v>4</v>
      </c>
      <c r="AD205" s="7">
        <v>1</v>
      </c>
      <c r="AE205" s="7">
        <v>2</v>
      </c>
      <c r="AF205" s="7">
        <v>2</v>
      </c>
      <c r="AG205" s="7">
        <v>12</v>
      </c>
      <c r="AH205" s="7">
        <v>11</v>
      </c>
      <c r="AI205" s="7">
        <v>5</v>
      </c>
      <c r="AJ205" s="7">
        <v>3</v>
      </c>
      <c r="AK205" s="7">
        <v>1</v>
      </c>
      <c r="AL205" s="7">
        <v>1</v>
      </c>
      <c r="AM205" s="7">
        <f>IF(Tabela2[[#This Row],[gols_mandante]]=Tabela2[[#This Row],[gols_visitante]],1,0)</f>
        <v>0</v>
      </c>
      <c r="AN205" s="7">
        <f>IF(Tabela2[[#This Row],[gols_mandante]]&gt;Tabela2[[#This Row],[gols_visitante]],1,0)</f>
        <v>1</v>
      </c>
      <c r="AO205" s="7">
        <f>IF(Tabela2[[#This Row],[gols_mandante]]&lt;Tabela2[[#This Row],[gols_visitante]],1,0)</f>
        <v>0</v>
      </c>
      <c r="AP205" s="7" t="s">
        <v>307</v>
      </c>
      <c r="AQ205" s="7">
        <v>0</v>
      </c>
    </row>
    <row r="206" spans="1:46" x14ac:dyDescent="0.25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9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A321-B028-4387-B92D-DF686FAFA79F}">
  <dimension ref="A1:AQ205"/>
  <sheetViews>
    <sheetView tabSelected="1"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470</v>
      </c>
      <c r="G1" t="s">
        <v>498</v>
      </c>
      <c r="H1" t="s">
        <v>5</v>
      </c>
      <c r="I1" t="s">
        <v>6</v>
      </c>
      <c r="J1" t="s">
        <v>9</v>
      </c>
      <c r="K1" t="s">
        <v>499</v>
      </c>
      <c r="L1" t="s">
        <v>10</v>
      </c>
      <c r="M1" t="s">
        <v>500</v>
      </c>
      <c r="N1" t="s">
        <v>11</v>
      </c>
      <c r="O1" t="s">
        <v>486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492</v>
      </c>
      <c r="AN1" t="s">
        <v>501</v>
      </c>
      <c r="AO1" t="s">
        <v>493</v>
      </c>
      <c r="AP1" t="s">
        <v>35</v>
      </c>
      <c r="AQ1" t="s">
        <v>36</v>
      </c>
    </row>
    <row r="2" spans="1:43" x14ac:dyDescent="0.25">
      <c r="A2">
        <v>2024</v>
      </c>
      <c r="B2">
        <v>45395</v>
      </c>
      <c r="C2">
        <v>1</v>
      </c>
      <c r="D2">
        <v>22045</v>
      </c>
      <c r="E2">
        <v>50848</v>
      </c>
      <c r="F2" t="s">
        <v>473</v>
      </c>
      <c r="G2">
        <v>0.4335470421648836</v>
      </c>
      <c r="H2" t="s">
        <v>37</v>
      </c>
      <c r="I2" t="s">
        <v>38</v>
      </c>
      <c r="J2">
        <v>5</v>
      </c>
      <c r="K2" t="s">
        <v>481</v>
      </c>
      <c r="L2">
        <v>16</v>
      </c>
      <c r="N2">
        <v>5840</v>
      </c>
      <c r="O2" t="s">
        <v>490</v>
      </c>
      <c r="P2">
        <v>3010</v>
      </c>
      <c r="Q2" t="s">
        <v>41</v>
      </c>
      <c r="R2">
        <v>29</v>
      </c>
      <c r="S2">
        <v>2</v>
      </c>
      <c r="T2">
        <v>1</v>
      </c>
      <c r="U2">
        <v>0</v>
      </c>
      <c r="V2">
        <v>0</v>
      </c>
      <c r="W2">
        <v>6</v>
      </c>
      <c r="X2">
        <v>3</v>
      </c>
      <c r="Y2">
        <v>20</v>
      </c>
      <c r="Z2">
        <v>13</v>
      </c>
      <c r="AA2">
        <v>13</v>
      </c>
      <c r="AB2">
        <v>19</v>
      </c>
      <c r="AC2">
        <v>3</v>
      </c>
      <c r="AD2">
        <v>6</v>
      </c>
      <c r="AE2">
        <v>3</v>
      </c>
      <c r="AF2">
        <v>2</v>
      </c>
      <c r="AG2">
        <v>17</v>
      </c>
      <c r="AH2">
        <v>9</v>
      </c>
      <c r="AI2">
        <v>7</v>
      </c>
      <c r="AJ2">
        <v>3</v>
      </c>
      <c r="AK2">
        <v>1</v>
      </c>
      <c r="AL2">
        <v>1</v>
      </c>
      <c r="AM2">
        <v>0</v>
      </c>
      <c r="AN2">
        <v>1</v>
      </c>
      <c r="AO2">
        <v>0</v>
      </c>
      <c r="AP2">
        <v>1.89</v>
      </c>
      <c r="AQ2">
        <v>0</v>
      </c>
    </row>
    <row r="3" spans="1:43" x14ac:dyDescent="0.25">
      <c r="A3">
        <v>2024</v>
      </c>
      <c r="B3">
        <v>45395</v>
      </c>
      <c r="C3">
        <v>1</v>
      </c>
      <c r="D3">
        <v>12408</v>
      </c>
      <c r="E3">
        <v>19225</v>
      </c>
      <c r="F3" t="s">
        <v>476</v>
      </c>
      <c r="G3">
        <v>0.6454096228868661</v>
      </c>
      <c r="H3" t="s">
        <v>43</v>
      </c>
      <c r="I3" t="s">
        <v>44</v>
      </c>
      <c r="J3">
        <v>10</v>
      </c>
      <c r="K3" t="s">
        <v>482</v>
      </c>
      <c r="L3">
        <v>11</v>
      </c>
      <c r="M3">
        <v>1</v>
      </c>
      <c r="N3">
        <v>563</v>
      </c>
      <c r="O3" t="s">
        <v>488</v>
      </c>
      <c r="P3">
        <v>730</v>
      </c>
      <c r="Q3" t="s">
        <v>47</v>
      </c>
      <c r="R3" t="s">
        <v>48</v>
      </c>
      <c r="S3">
        <v>1</v>
      </c>
      <c r="T3">
        <v>1</v>
      </c>
      <c r="U3">
        <v>1</v>
      </c>
      <c r="V3">
        <v>0</v>
      </c>
      <c r="W3">
        <v>0</v>
      </c>
      <c r="X3">
        <v>4</v>
      </c>
      <c r="Y3">
        <v>11</v>
      </c>
      <c r="Z3">
        <v>15</v>
      </c>
      <c r="AA3">
        <v>15</v>
      </c>
      <c r="AB3">
        <v>9</v>
      </c>
      <c r="AC3">
        <v>3</v>
      </c>
      <c r="AD3">
        <v>2</v>
      </c>
      <c r="AE3">
        <v>3</v>
      </c>
      <c r="AF3">
        <v>4</v>
      </c>
      <c r="AG3">
        <v>10</v>
      </c>
      <c r="AH3">
        <v>15</v>
      </c>
      <c r="AI3">
        <v>4</v>
      </c>
      <c r="AJ3">
        <v>7</v>
      </c>
      <c r="AK3">
        <v>0</v>
      </c>
      <c r="AL3">
        <v>0</v>
      </c>
      <c r="AM3">
        <v>1</v>
      </c>
      <c r="AN3">
        <v>0</v>
      </c>
      <c r="AO3">
        <v>0</v>
      </c>
      <c r="AP3">
        <v>0.71</v>
      </c>
      <c r="AQ3">
        <v>0</v>
      </c>
    </row>
    <row r="4" spans="1:43" x14ac:dyDescent="0.25">
      <c r="A4">
        <v>2024</v>
      </c>
      <c r="B4">
        <v>45396</v>
      </c>
      <c r="C4">
        <v>1</v>
      </c>
      <c r="D4">
        <v>36661</v>
      </c>
      <c r="E4">
        <v>61927</v>
      </c>
      <c r="F4" t="s">
        <v>475</v>
      </c>
      <c r="G4">
        <v>0.59200348797778024</v>
      </c>
      <c r="H4" t="s">
        <v>50</v>
      </c>
      <c r="I4" t="s">
        <v>51</v>
      </c>
      <c r="J4">
        <v>2</v>
      </c>
      <c r="K4" t="s">
        <v>481</v>
      </c>
      <c r="L4">
        <v>14</v>
      </c>
      <c r="M4">
        <v>12</v>
      </c>
      <c r="N4">
        <v>2425</v>
      </c>
      <c r="O4" t="s">
        <v>487</v>
      </c>
      <c r="P4">
        <v>3435</v>
      </c>
      <c r="Q4">
        <v>29</v>
      </c>
      <c r="R4">
        <v>29</v>
      </c>
      <c r="S4">
        <v>3</v>
      </c>
      <c r="T4">
        <v>2</v>
      </c>
      <c r="U4">
        <v>1</v>
      </c>
      <c r="V4">
        <v>1</v>
      </c>
      <c r="W4">
        <v>6</v>
      </c>
      <c r="X4">
        <v>3</v>
      </c>
      <c r="Y4">
        <v>12</v>
      </c>
      <c r="Z4">
        <v>11</v>
      </c>
      <c r="AA4">
        <v>11</v>
      </c>
      <c r="AB4">
        <v>10</v>
      </c>
      <c r="AC4">
        <v>1</v>
      </c>
      <c r="AD4">
        <v>2</v>
      </c>
      <c r="AE4">
        <v>2</v>
      </c>
      <c r="AF4">
        <v>0</v>
      </c>
      <c r="AG4">
        <v>15</v>
      </c>
      <c r="AH4">
        <v>6</v>
      </c>
      <c r="AI4">
        <v>4</v>
      </c>
      <c r="AJ4">
        <v>3</v>
      </c>
      <c r="AK4">
        <v>1</v>
      </c>
      <c r="AL4">
        <v>1</v>
      </c>
      <c r="AM4">
        <v>0</v>
      </c>
      <c r="AN4">
        <v>1</v>
      </c>
      <c r="AO4">
        <v>0</v>
      </c>
      <c r="AP4">
        <v>1.65</v>
      </c>
      <c r="AQ4">
        <v>0</v>
      </c>
    </row>
    <row r="5" spans="1:43" x14ac:dyDescent="0.25">
      <c r="A5">
        <v>2024</v>
      </c>
      <c r="B5">
        <v>45396</v>
      </c>
      <c r="C5">
        <v>1</v>
      </c>
      <c r="D5">
        <v>17645</v>
      </c>
      <c r="E5">
        <v>82238</v>
      </c>
      <c r="F5" t="s">
        <v>473</v>
      </c>
      <c r="G5">
        <v>0.21456017899267979</v>
      </c>
      <c r="H5" t="s">
        <v>55</v>
      </c>
      <c r="I5" t="s">
        <v>56</v>
      </c>
      <c r="J5">
        <v>9</v>
      </c>
      <c r="K5" t="s">
        <v>482</v>
      </c>
      <c r="L5">
        <v>8</v>
      </c>
      <c r="M5">
        <v>-1</v>
      </c>
      <c r="N5">
        <v>5955</v>
      </c>
      <c r="O5" t="s">
        <v>490</v>
      </c>
      <c r="P5">
        <v>2860</v>
      </c>
      <c r="Q5" t="s">
        <v>59</v>
      </c>
      <c r="R5" t="s">
        <v>60</v>
      </c>
      <c r="S5">
        <v>2</v>
      </c>
      <c r="T5">
        <v>2</v>
      </c>
      <c r="U5">
        <v>1</v>
      </c>
      <c r="V5">
        <v>0</v>
      </c>
      <c r="W5">
        <v>13</v>
      </c>
      <c r="X5">
        <v>6</v>
      </c>
      <c r="Y5">
        <v>8</v>
      </c>
      <c r="Z5">
        <v>19</v>
      </c>
      <c r="AA5">
        <v>19</v>
      </c>
      <c r="AB5">
        <v>8</v>
      </c>
      <c r="AC5">
        <v>6</v>
      </c>
      <c r="AD5">
        <v>9</v>
      </c>
      <c r="AE5">
        <v>0</v>
      </c>
      <c r="AF5">
        <v>0</v>
      </c>
      <c r="AG5">
        <v>26</v>
      </c>
      <c r="AH5">
        <v>16</v>
      </c>
      <c r="AI5">
        <v>10</v>
      </c>
      <c r="AJ5">
        <v>7</v>
      </c>
      <c r="AK5">
        <v>0</v>
      </c>
      <c r="AL5">
        <v>0</v>
      </c>
      <c r="AM5">
        <v>1</v>
      </c>
      <c r="AN5">
        <v>0</v>
      </c>
      <c r="AO5">
        <v>0</v>
      </c>
      <c r="AP5">
        <v>1.76</v>
      </c>
      <c r="AQ5">
        <v>0</v>
      </c>
    </row>
    <row r="6" spans="1:43" x14ac:dyDescent="0.25">
      <c r="A6">
        <v>2024</v>
      </c>
      <c r="B6">
        <v>45396</v>
      </c>
      <c r="C6">
        <v>1</v>
      </c>
      <c r="D6">
        <v>35055</v>
      </c>
      <c r="E6">
        <v>72039</v>
      </c>
      <c r="F6" t="s">
        <v>477</v>
      </c>
      <c r="G6">
        <v>0.48661141881480863</v>
      </c>
      <c r="H6" t="s">
        <v>62</v>
      </c>
      <c r="I6" t="s">
        <v>63</v>
      </c>
      <c r="J6">
        <v>18</v>
      </c>
      <c r="K6" t="s">
        <v>484</v>
      </c>
      <c r="L6">
        <v>4</v>
      </c>
      <c r="M6">
        <v>-14</v>
      </c>
      <c r="N6">
        <v>4010</v>
      </c>
      <c r="O6" t="s">
        <v>490</v>
      </c>
      <c r="P6">
        <v>1315</v>
      </c>
      <c r="Q6" t="s">
        <v>66</v>
      </c>
      <c r="R6" t="s">
        <v>67</v>
      </c>
      <c r="S6">
        <v>1</v>
      </c>
      <c r="T6">
        <v>2</v>
      </c>
      <c r="U6">
        <v>0</v>
      </c>
      <c r="V6">
        <v>0</v>
      </c>
      <c r="W6">
        <v>11</v>
      </c>
      <c r="X6">
        <v>4</v>
      </c>
      <c r="Y6">
        <v>10</v>
      </c>
      <c r="Z6">
        <v>14</v>
      </c>
      <c r="AA6">
        <v>14</v>
      </c>
      <c r="AB6">
        <v>10</v>
      </c>
      <c r="AC6">
        <v>0</v>
      </c>
      <c r="AD6">
        <v>4</v>
      </c>
      <c r="AE6">
        <v>2</v>
      </c>
      <c r="AF6">
        <v>1</v>
      </c>
      <c r="AG6">
        <v>14</v>
      </c>
      <c r="AH6">
        <v>6</v>
      </c>
      <c r="AI6">
        <v>5</v>
      </c>
      <c r="AJ6">
        <v>3</v>
      </c>
      <c r="AK6">
        <v>-1</v>
      </c>
      <c r="AL6">
        <v>0</v>
      </c>
      <c r="AM6">
        <v>0</v>
      </c>
      <c r="AN6">
        <v>0</v>
      </c>
      <c r="AO6">
        <v>1</v>
      </c>
      <c r="AP6">
        <v>0.53</v>
      </c>
      <c r="AQ6">
        <v>0</v>
      </c>
    </row>
    <row r="7" spans="1:43" x14ac:dyDescent="0.25">
      <c r="A7">
        <v>2024</v>
      </c>
      <c r="B7">
        <v>45396</v>
      </c>
      <c r="C7">
        <v>1</v>
      </c>
      <c r="D7">
        <v>22169</v>
      </c>
      <c r="E7">
        <v>42372</v>
      </c>
      <c r="F7" t="s">
        <v>473</v>
      </c>
      <c r="G7">
        <v>0.52319928254507697</v>
      </c>
      <c r="H7" t="s">
        <v>69</v>
      </c>
      <c r="I7" t="s">
        <v>70</v>
      </c>
      <c r="J7">
        <v>1</v>
      </c>
      <c r="K7" t="s">
        <v>481</v>
      </c>
      <c r="L7">
        <v>20</v>
      </c>
      <c r="M7">
        <v>19</v>
      </c>
      <c r="N7">
        <v>3405</v>
      </c>
      <c r="O7" t="s">
        <v>487</v>
      </c>
      <c r="P7">
        <v>935</v>
      </c>
      <c r="Q7" t="s">
        <v>73</v>
      </c>
      <c r="R7" t="s">
        <v>74</v>
      </c>
      <c r="S7">
        <v>4</v>
      </c>
      <c r="T7">
        <v>0</v>
      </c>
      <c r="U7">
        <v>3</v>
      </c>
      <c r="V7">
        <v>0</v>
      </c>
      <c r="W7">
        <v>7</v>
      </c>
      <c r="X7">
        <v>0</v>
      </c>
      <c r="Y7">
        <v>16</v>
      </c>
      <c r="Z7">
        <v>9</v>
      </c>
      <c r="AA7">
        <v>9</v>
      </c>
      <c r="AB7">
        <v>16</v>
      </c>
      <c r="AC7">
        <v>0</v>
      </c>
      <c r="AD7">
        <v>5</v>
      </c>
      <c r="AE7">
        <v>2</v>
      </c>
      <c r="AF7">
        <v>1</v>
      </c>
      <c r="AG7">
        <v>20</v>
      </c>
      <c r="AH7">
        <v>1</v>
      </c>
      <c r="AI7">
        <v>6</v>
      </c>
      <c r="AJ7">
        <v>1</v>
      </c>
      <c r="AK7">
        <v>4</v>
      </c>
      <c r="AL7">
        <v>1</v>
      </c>
      <c r="AM7">
        <v>0</v>
      </c>
      <c r="AN7">
        <v>1</v>
      </c>
      <c r="AO7">
        <v>0</v>
      </c>
      <c r="AP7">
        <v>1.96</v>
      </c>
      <c r="AQ7">
        <v>0</v>
      </c>
    </row>
    <row r="8" spans="1:43" x14ac:dyDescent="0.25">
      <c r="A8">
        <v>2024</v>
      </c>
      <c r="B8">
        <v>45396</v>
      </c>
      <c r="C8">
        <v>1</v>
      </c>
      <c r="D8">
        <v>35195</v>
      </c>
      <c r="E8">
        <v>50000</v>
      </c>
      <c r="F8" t="s">
        <v>476</v>
      </c>
      <c r="G8">
        <v>0.70389999999999997</v>
      </c>
      <c r="H8" t="s">
        <v>76</v>
      </c>
      <c r="I8" t="s">
        <v>77</v>
      </c>
      <c r="J8">
        <v>15</v>
      </c>
      <c r="K8" t="s">
        <v>483</v>
      </c>
      <c r="L8">
        <v>3</v>
      </c>
      <c r="M8">
        <v>-12</v>
      </c>
      <c r="N8">
        <v>790</v>
      </c>
      <c r="O8" t="s">
        <v>488</v>
      </c>
      <c r="P8">
        <v>10250</v>
      </c>
      <c r="Q8" t="s">
        <v>80</v>
      </c>
      <c r="R8">
        <v>28</v>
      </c>
      <c r="S8">
        <v>1</v>
      </c>
      <c r="T8">
        <v>2</v>
      </c>
      <c r="U8">
        <v>0</v>
      </c>
      <c r="V8">
        <v>1</v>
      </c>
      <c r="W8">
        <v>4</v>
      </c>
      <c r="X8">
        <v>4</v>
      </c>
      <c r="Y8">
        <v>12</v>
      </c>
      <c r="Z8">
        <v>12</v>
      </c>
      <c r="AA8">
        <v>12</v>
      </c>
      <c r="AB8">
        <v>11</v>
      </c>
      <c r="AC8">
        <v>0</v>
      </c>
      <c r="AD8">
        <v>3</v>
      </c>
      <c r="AE8">
        <v>2</v>
      </c>
      <c r="AF8">
        <v>1</v>
      </c>
      <c r="AG8">
        <v>11</v>
      </c>
      <c r="AH8">
        <v>15</v>
      </c>
      <c r="AI8">
        <v>5</v>
      </c>
      <c r="AJ8">
        <v>8</v>
      </c>
      <c r="AK8">
        <v>-1</v>
      </c>
      <c r="AL8">
        <v>0</v>
      </c>
      <c r="AM8">
        <v>0</v>
      </c>
      <c r="AN8">
        <v>0</v>
      </c>
      <c r="AO8">
        <v>1</v>
      </c>
      <c r="AP8">
        <v>1.62</v>
      </c>
      <c r="AQ8">
        <v>1</v>
      </c>
    </row>
    <row r="9" spans="1:43" x14ac:dyDescent="0.25">
      <c r="A9">
        <v>2024</v>
      </c>
      <c r="B9">
        <v>45396</v>
      </c>
      <c r="C9">
        <v>1</v>
      </c>
      <c r="D9">
        <v>18055</v>
      </c>
      <c r="E9">
        <v>24584</v>
      </c>
      <c r="F9" t="s">
        <v>473</v>
      </c>
      <c r="G9">
        <v>0.73442076147087532</v>
      </c>
      <c r="H9" t="s">
        <v>82</v>
      </c>
      <c r="I9" t="s">
        <v>83</v>
      </c>
      <c r="J9">
        <v>6</v>
      </c>
      <c r="K9" t="s">
        <v>482</v>
      </c>
      <c r="L9">
        <v>17</v>
      </c>
      <c r="M9">
        <v>11</v>
      </c>
      <c r="N9">
        <v>2545</v>
      </c>
      <c r="O9" t="s">
        <v>487</v>
      </c>
      <c r="P9">
        <v>4110</v>
      </c>
      <c r="Q9" t="s">
        <v>66</v>
      </c>
      <c r="R9" t="s">
        <v>86</v>
      </c>
      <c r="S9">
        <v>2</v>
      </c>
      <c r="T9">
        <v>1</v>
      </c>
      <c r="U9">
        <v>2</v>
      </c>
      <c r="V9">
        <v>0</v>
      </c>
      <c r="W9">
        <v>3</v>
      </c>
      <c r="X9">
        <v>5</v>
      </c>
      <c r="Y9">
        <v>19</v>
      </c>
      <c r="Z9">
        <v>10</v>
      </c>
      <c r="AA9">
        <v>10</v>
      </c>
      <c r="AB9">
        <v>18</v>
      </c>
      <c r="AC9">
        <v>1</v>
      </c>
      <c r="AD9">
        <v>1</v>
      </c>
      <c r="AE9">
        <v>1</v>
      </c>
      <c r="AF9">
        <v>1</v>
      </c>
      <c r="AG9">
        <v>15</v>
      </c>
      <c r="AH9">
        <v>9</v>
      </c>
      <c r="AI9">
        <v>7</v>
      </c>
      <c r="AJ9">
        <v>5</v>
      </c>
      <c r="AK9">
        <v>1</v>
      </c>
      <c r="AL9">
        <v>1</v>
      </c>
      <c r="AM9">
        <v>0</v>
      </c>
      <c r="AN9">
        <v>1</v>
      </c>
      <c r="AO9">
        <v>0</v>
      </c>
      <c r="AP9">
        <v>0.9</v>
      </c>
      <c r="AQ9">
        <v>0</v>
      </c>
    </row>
    <row r="10" spans="1:43" x14ac:dyDescent="0.25">
      <c r="A10">
        <v>2024</v>
      </c>
      <c r="B10">
        <v>45396</v>
      </c>
      <c r="C10">
        <v>1</v>
      </c>
      <c r="D10">
        <v>44597</v>
      </c>
      <c r="E10">
        <v>49205</v>
      </c>
      <c r="F10" t="s">
        <v>477</v>
      </c>
      <c r="G10">
        <v>0.90635098059140329</v>
      </c>
      <c r="H10" t="s">
        <v>88</v>
      </c>
      <c r="I10" t="s">
        <v>89</v>
      </c>
      <c r="J10">
        <v>13</v>
      </c>
      <c r="K10" t="s">
        <v>483</v>
      </c>
      <c r="L10">
        <v>12</v>
      </c>
      <c r="M10">
        <v>-1</v>
      </c>
      <c r="N10">
        <v>4130</v>
      </c>
      <c r="O10" t="s">
        <v>490</v>
      </c>
      <c r="P10">
        <v>5520</v>
      </c>
      <c r="Q10">
        <v>28</v>
      </c>
      <c r="R10" t="s">
        <v>92</v>
      </c>
      <c r="S10">
        <v>0</v>
      </c>
      <c r="T10">
        <v>0</v>
      </c>
      <c r="U10">
        <v>0</v>
      </c>
      <c r="V10">
        <v>0</v>
      </c>
      <c r="W10">
        <v>3</v>
      </c>
      <c r="X10">
        <v>3</v>
      </c>
      <c r="Y10">
        <v>16</v>
      </c>
      <c r="Z10">
        <v>12</v>
      </c>
      <c r="AA10">
        <v>12</v>
      </c>
      <c r="AB10">
        <v>16</v>
      </c>
      <c r="AC10">
        <v>3</v>
      </c>
      <c r="AD10">
        <v>1</v>
      </c>
      <c r="AE10">
        <v>0</v>
      </c>
      <c r="AF10">
        <v>2</v>
      </c>
      <c r="AG10">
        <v>13</v>
      </c>
      <c r="AH10">
        <v>8</v>
      </c>
      <c r="AI10">
        <v>7</v>
      </c>
      <c r="AJ10">
        <v>2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0.46</v>
      </c>
      <c r="AQ10">
        <v>0</v>
      </c>
    </row>
    <row r="11" spans="1:43" x14ac:dyDescent="0.25">
      <c r="A11">
        <v>2024</v>
      </c>
      <c r="B11">
        <v>45399</v>
      </c>
      <c r="C11">
        <v>2</v>
      </c>
      <c r="D11">
        <v>23080</v>
      </c>
      <c r="E11">
        <v>47364</v>
      </c>
      <c r="F11" t="s">
        <v>473</v>
      </c>
      <c r="G11">
        <v>0.48728992483742928</v>
      </c>
      <c r="H11" t="s">
        <v>38</v>
      </c>
      <c r="I11" t="s">
        <v>55</v>
      </c>
      <c r="J11">
        <v>9</v>
      </c>
      <c r="K11" t="s">
        <v>482</v>
      </c>
      <c r="L11">
        <v>15</v>
      </c>
      <c r="M11">
        <v>6</v>
      </c>
      <c r="N11">
        <v>3060</v>
      </c>
      <c r="O11" t="s">
        <v>487</v>
      </c>
      <c r="P11">
        <v>5895</v>
      </c>
      <c r="Q11" t="s">
        <v>100</v>
      </c>
      <c r="R11" t="s">
        <v>48</v>
      </c>
      <c r="S11">
        <v>2</v>
      </c>
      <c r="T11">
        <v>1</v>
      </c>
      <c r="U11">
        <v>1</v>
      </c>
      <c r="V11">
        <v>1</v>
      </c>
      <c r="W11">
        <v>4</v>
      </c>
      <c r="X11">
        <v>3</v>
      </c>
      <c r="Y11">
        <v>15</v>
      </c>
      <c r="Z11">
        <v>23</v>
      </c>
      <c r="AA11">
        <v>20</v>
      </c>
      <c r="AB11">
        <v>13</v>
      </c>
      <c r="AC11">
        <v>2</v>
      </c>
      <c r="AD11">
        <v>3</v>
      </c>
      <c r="AE11">
        <v>3</v>
      </c>
      <c r="AF11">
        <v>2</v>
      </c>
      <c r="AG11">
        <v>12</v>
      </c>
      <c r="AH11">
        <v>9</v>
      </c>
      <c r="AI11">
        <v>5</v>
      </c>
      <c r="AJ11">
        <v>3</v>
      </c>
      <c r="AK11">
        <v>1</v>
      </c>
      <c r="AL11">
        <v>1</v>
      </c>
      <c r="AM11">
        <v>0</v>
      </c>
      <c r="AN11">
        <v>1</v>
      </c>
      <c r="AO11">
        <v>0</v>
      </c>
      <c r="AP11">
        <v>1.08</v>
      </c>
      <c r="AQ11">
        <v>0</v>
      </c>
    </row>
    <row r="12" spans="1:43" x14ac:dyDescent="0.25">
      <c r="A12">
        <v>2024</v>
      </c>
      <c r="B12">
        <v>45400</v>
      </c>
      <c r="C12">
        <v>2</v>
      </c>
      <c r="D12">
        <v>24613</v>
      </c>
      <c r="E12">
        <v>46000</v>
      </c>
      <c r="F12" t="s">
        <v>476</v>
      </c>
      <c r="G12">
        <v>0.5350652173913043</v>
      </c>
      <c r="H12" t="s">
        <v>89</v>
      </c>
      <c r="I12" t="s">
        <v>43</v>
      </c>
      <c r="J12">
        <v>14</v>
      </c>
      <c r="K12" t="s">
        <v>483</v>
      </c>
      <c r="L12">
        <v>13</v>
      </c>
      <c r="M12">
        <v>-1</v>
      </c>
      <c r="N12">
        <v>4800</v>
      </c>
      <c r="O12" t="s">
        <v>490</v>
      </c>
      <c r="P12">
        <v>628</v>
      </c>
      <c r="Q12" t="s">
        <v>86</v>
      </c>
      <c r="R12" t="s">
        <v>67</v>
      </c>
      <c r="S12">
        <v>1</v>
      </c>
      <c r="T12">
        <v>1</v>
      </c>
      <c r="U12">
        <v>1</v>
      </c>
      <c r="V12">
        <v>0</v>
      </c>
      <c r="W12">
        <v>9</v>
      </c>
      <c r="X12">
        <v>2</v>
      </c>
      <c r="Y12">
        <v>12</v>
      </c>
      <c r="Z12">
        <v>10</v>
      </c>
      <c r="AA12">
        <v>10</v>
      </c>
      <c r="AB12">
        <v>10</v>
      </c>
      <c r="AC12">
        <v>0</v>
      </c>
      <c r="AD12">
        <v>5</v>
      </c>
      <c r="AE12">
        <v>2</v>
      </c>
      <c r="AF12">
        <v>0</v>
      </c>
      <c r="AG12">
        <v>22</v>
      </c>
      <c r="AH12">
        <v>5</v>
      </c>
      <c r="AI12">
        <v>8</v>
      </c>
      <c r="AJ12">
        <v>4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1.04</v>
      </c>
      <c r="AQ12">
        <v>0</v>
      </c>
    </row>
    <row r="13" spans="1:43" x14ac:dyDescent="0.25">
      <c r="A13">
        <v>2024</v>
      </c>
      <c r="B13">
        <v>45400</v>
      </c>
      <c r="C13">
        <v>2</v>
      </c>
      <c r="D13">
        <v>13541</v>
      </c>
      <c r="E13">
        <v>60540</v>
      </c>
      <c r="F13" t="s">
        <v>476</v>
      </c>
      <c r="G13">
        <v>0.22367030062768417</v>
      </c>
      <c r="H13" t="s">
        <v>83</v>
      </c>
      <c r="I13" t="s">
        <v>69</v>
      </c>
      <c r="J13">
        <v>8</v>
      </c>
      <c r="K13" t="s">
        <v>482</v>
      </c>
      <c r="L13">
        <v>7</v>
      </c>
      <c r="M13">
        <v>-1</v>
      </c>
      <c r="N13">
        <v>3760</v>
      </c>
      <c r="O13" t="s">
        <v>490</v>
      </c>
      <c r="P13">
        <v>3195</v>
      </c>
      <c r="Q13" t="s">
        <v>74</v>
      </c>
      <c r="R13">
        <v>28</v>
      </c>
      <c r="S13">
        <v>2</v>
      </c>
      <c r="T13">
        <v>0</v>
      </c>
      <c r="U13">
        <v>1</v>
      </c>
      <c r="V13">
        <v>0</v>
      </c>
      <c r="W13">
        <v>9</v>
      </c>
      <c r="X13">
        <v>2</v>
      </c>
      <c r="Y13">
        <v>7</v>
      </c>
      <c r="Z13">
        <v>13</v>
      </c>
      <c r="AA13">
        <v>13</v>
      </c>
      <c r="AB13">
        <v>7</v>
      </c>
      <c r="AC13">
        <v>0</v>
      </c>
      <c r="AD13">
        <v>5</v>
      </c>
      <c r="AE13">
        <v>0</v>
      </c>
      <c r="AF13">
        <v>1</v>
      </c>
      <c r="AG13">
        <v>14</v>
      </c>
      <c r="AH13">
        <v>4</v>
      </c>
      <c r="AI13">
        <v>4</v>
      </c>
      <c r="AJ13">
        <v>3</v>
      </c>
      <c r="AK13">
        <v>2</v>
      </c>
      <c r="AL13">
        <v>1</v>
      </c>
      <c r="AM13">
        <v>0</v>
      </c>
      <c r="AN13">
        <v>1</v>
      </c>
      <c r="AO13">
        <v>0</v>
      </c>
      <c r="AP13">
        <v>1.1299999999999999</v>
      </c>
      <c r="AQ13">
        <v>0</v>
      </c>
    </row>
    <row r="14" spans="1:43" x14ac:dyDescent="0.25">
      <c r="A14">
        <v>2024</v>
      </c>
      <c r="B14">
        <v>45400</v>
      </c>
      <c r="C14">
        <v>2</v>
      </c>
      <c r="D14">
        <v>13541</v>
      </c>
      <c r="E14">
        <v>32713</v>
      </c>
      <c r="F14" t="s">
        <v>475</v>
      </c>
      <c r="G14">
        <v>0.41393329868859474</v>
      </c>
      <c r="H14" t="s">
        <v>95</v>
      </c>
      <c r="I14" t="s">
        <v>37</v>
      </c>
      <c r="J14">
        <v>12</v>
      </c>
      <c r="K14" t="s">
        <v>483</v>
      </c>
      <c r="L14">
        <v>2</v>
      </c>
      <c r="M14">
        <v>-10</v>
      </c>
      <c r="N14">
        <v>13100</v>
      </c>
      <c r="O14" t="s">
        <v>489</v>
      </c>
      <c r="P14">
        <v>5825</v>
      </c>
      <c r="Q14" t="s">
        <v>104</v>
      </c>
      <c r="R14" t="s">
        <v>105</v>
      </c>
      <c r="S14">
        <v>0</v>
      </c>
      <c r="T14">
        <v>1</v>
      </c>
      <c r="U14">
        <v>0</v>
      </c>
      <c r="V14">
        <v>1</v>
      </c>
      <c r="W14">
        <v>6</v>
      </c>
      <c r="X14">
        <v>2</v>
      </c>
      <c r="Y14">
        <v>14</v>
      </c>
      <c r="Z14">
        <v>21</v>
      </c>
      <c r="AA14">
        <v>21</v>
      </c>
      <c r="AB14">
        <v>11</v>
      </c>
      <c r="AC14">
        <v>1</v>
      </c>
      <c r="AD14">
        <v>3</v>
      </c>
      <c r="AE14">
        <v>4</v>
      </c>
      <c r="AF14">
        <v>1</v>
      </c>
      <c r="AG14">
        <v>18</v>
      </c>
      <c r="AH14">
        <v>5</v>
      </c>
      <c r="AI14">
        <v>11</v>
      </c>
      <c r="AJ14">
        <v>3</v>
      </c>
      <c r="AK14">
        <v>-1</v>
      </c>
      <c r="AL14">
        <v>0</v>
      </c>
      <c r="AM14">
        <v>0</v>
      </c>
      <c r="AN14">
        <v>0</v>
      </c>
      <c r="AO14">
        <v>1</v>
      </c>
      <c r="AP14">
        <v>1.45</v>
      </c>
      <c r="AQ14">
        <v>0</v>
      </c>
    </row>
    <row r="15" spans="1:43" x14ac:dyDescent="0.25">
      <c r="A15">
        <v>2024</v>
      </c>
      <c r="B15">
        <v>45400</v>
      </c>
      <c r="C15">
        <v>2</v>
      </c>
      <c r="D15">
        <v>48103</v>
      </c>
      <c r="E15">
        <v>78838</v>
      </c>
      <c r="F15" t="s">
        <v>475</v>
      </c>
      <c r="G15">
        <v>0.61014992769984022</v>
      </c>
      <c r="H15" t="s">
        <v>77</v>
      </c>
      <c r="I15" t="s">
        <v>62</v>
      </c>
      <c r="J15">
        <v>1</v>
      </c>
      <c r="K15" t="s">
        <v>481</v>
      </c>
      <c r="L15">
        <v>19</v>
      </c>
      <c r="M15">
        <v>18</v>
      </c>
      <c r="N15">
        <v>8470</v>
      </c>
      <c r="O15" t="s">
        <v>489</v>
      </c>
      <c r="P15">
        <v>3710</v>
      </c>
      <c r="Q15" t="s">
        <v>100</v>
      </c>
      <c r="R15" t="s">
        <v>107</v>
      </c>
      <c r="S15">
        <v>2</v>
      </c>
      <c r="T15">
        <v>1</v>
      </c>
      <c r="U15">
        <v>1</v>
      </c>
      <c r="V15">
        <v>0</v>
      </c>
      <c r="W15">
        <v>9</v>
      </c>
      <c r="X15">
        <v>1</v>
      </c>
      <c r="Y15">
        <v>19</v>
      </c>
      <c r="Z15">
        <v>19</v>
      </c>
      <c r="AA15">
        <v>18</v>
      </c>
      <c r="AB15">
        <v>17</v>
      </c>
      <c r="AC15">
        <v>2</v>
      </c>
      <c r="AD15">
        <v>4</v>
      </c>
      <c r="AE15">
        <v>1</v>
      </c>
      <c r="AF15">
        <v>2</v>
      </c>
      <c r="AG15">
        <v>12</v>
      </c>
      <c r="AH15">
        <v>10</v>
      </c>
      <c r="AI15">
        <v>4</v>
      </c>
      <c r="AJ15">
        <v>3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1.3</v>
      </c>
      <c r="AQ15">
        <v>0</v>
      </c>
    </row>
    <row r="16" spans="1:43" x14ac:dyDescent="0.25">
      <c r="A16">
        <v>2024</v>
      </c>
      <c r="B16">
        <v>45400</v>
      </c>
      <c r="C16">
        <v>2</v>
      </c>
      <c r="D16">
        <v>22131</v>
      </c>
      <c r="E16">
        <v>60326</v>
      </c>
      <c r="F16" t="s">
        <v>473</v>
      </c>
      <c r="G16">
        <v>0.36685674501873156</v>
      </c>
      <c r="H16" t="s">
        <v>63</v>
      </c>
      <c r="I16" t="s">
        <v>50</v>
      </c>
      <c r="J16">
        <v>6</v>
      </c>
      <c r="K16" t="s">
        <v>482</v>
      </c>
      <c r="L16">
        <v>5</v>
      </c>
      <c r="M16">
        <v>-1</v>
      </c>
      <c r="N16">
        <v>1515</v>
      </c>
      <c r="O16" t="s">
        <v>487</v>
      </c>
      <c r="P16">
        <v>2225</v>
      </c>
      <c r="Q16" t="s">
        <v>109</v>
      </c>
      <c r="R16" t="s">
        <v>100</v>
      </c>
      <c r="S16">
        <v>1</v>
      </c>
      <c r="T16">
        <v>1</v>
      </c>
      <c r="U16">
        <v>1</v>
      </c>
      <c r="V16">
        <v>0</v>
      </c>
      <c r="W16">
        <v>7</v>
      </c>
      <c r="X16">
        <v>5</v>
      </c>
      <c r="Y16">
        <v>13</v>
      </c>
      <c r="Z16">
        <v>10</v>
      </c>
      <c r="AA16">
        <v>9</v>
      </c>
      <c r="AB16">
        <v>13</v>
      </c>
      <c r="AC16">
        <v>4</v>
      </c>
      <c r="AD16">
        <v>2</v>
      </c>
      <c r="AE16">
        <v>0</v>
      </c>
      <c r="AF16">
        <v>2</v>
      </c>
      <c r="AG16">
        <v>14</v>
      </c>
      <c r="AH16">
        <v>14</v>
      </c>
      <c r="AI16">
        <v>6</v>
      </c>
      <c r="AJ16">
        <v>6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0.64</v>
      </c>
      <c r="AQ16">
        <v>0</v>
      </c>
    </row>
    <row r="17" spans="1:43" x14ac:dyDescent="0.25">
      <c r="A17">
        <v>2024</v>
      </c>
      <c r="B17">
        <v>45400</v>
      </c>
      <c r="C17">
        <v>2</v>
      </c>
      <c r="D17">
        <v>7478</v>
      </c>
      <c r="E17">
        <v>23726</v>
      </c>
      <c r="F17" t="s">
        <v>476</v>
      </c>
      <c r="G17">
        <v>0.31518165725364578</v>
      </c>
      <c r="H17" t="s">
        <v>44</v>
      </c>
      <c r="I17" t="s">
        <v>88</v>
      </c>
      <c r="J17">
        <v>3</v>
      </c>
      <c r="K17" t="s">
        <v>481</v>
      </c>
      <c r="L17">
        <v>17</v>
      </c>
      <c r="M17">
        <v>14</v>
      </c>
      <c r="N17">
        <v>855</v>
      </c>
      <c r="O17" t="s">
        <v>488</v>
      </c>
      <c r="P17">
        <v>4080</v>
      </c>
      <c r="Q17" t="s">
        <v>111</v>
      </c>
      <c r="R17" t="s">
        <v>100</v>
      </c>
      <c r="S17">
        <v>2</v>
      </c>
      <c r="T17">
        <v>0</v>
      </c>
      <c r="U17">
        <v>0</v>
      </c>
      <c r="V17">
        <v>0</v>
      </c>
      <c r="W17">
        <v>6</v>
      </c>
      <c r="X17">
        <v>7</v>
      </c>
      <c r="Y17">
        <v>16</v>
      </c>
      <c r="Z17">
        <v>10</v>
      </c>
      <c r="AA17">
        <v>10</v>
      </c>
      <c r="AB17">
        <v>15</v>
      </c>
      <c r="AC17">
        <v>2</v>
      </c>
      <c r="AD17">
        <v>6</v>
      </c>
      <c r="AE17">
        <v>1</v>
      </c>
      <c r="AF17">
        <v>2</v>
      </c>
      <c r="AG17">
        <v>16</v>
      </c>
      <c r="AH17">
        <v>17</v>
      </c>
      <c r="AI17">
        <v>4</v>
      </c>
      <c r="AJ17">
        <v>11</v>
      </c>
      <c r="AK17">
        <v>2</v>
      </c>
      <c r="AL17">
        <v>1</v>
      </c>
      <c r="AM17">
        <v>0</v>
      </c>
      <c r="AN17">
        <v>1</v>
      </c>
      <c r="AO17">
        <v>0</v>
      </c>
      <c r="AP17">
        <v>1.63</v>
      </c>
      <c r="AQ17">
        <v>1</v>
      </c>
    </row>
    <row r="18" spans="1:43" x14ac:dyDescent="0.25">
      <c r="A18">
        <v>2024</v>
      </c>
      <c r="B18">
        <v>45400</v>
      </c>
      <c r="C18">
        <v>2</v>
      </c>
      <c r="D18">
        <v>5532</v>
      </c>
      <c r="E18">
        <v>15010</v>
      </c>
      <c r="F18" t="s">
        <v>474</v>
      </c>
      <c r="G18">
        <v>0.36855429713524318</v>
      </c>
      <c r="H18" t="s">
        <v>56</v>
      </c>
      <c r="I18" t="s">
        <v>82</v>
      </c>
      <c r="J18">
        <v>4</v>
      </c>
      <c r="K18" t="s">
        <v>481</v>
      </c>
      <c r="L18">
        <v>11</v>
      </c>
      <c r="M18">
        <v>7</v>
      </c>
      <c r="N18">
        <v>2260</v>
      </c>
      <c r="O18" t="s">
        <v>487</v>
      </c>
      <c r="P18">
        <v>2995</v>
      </c>
      <c r="Q18" t="s">
        <v>113</v>
      </c>
      <c r="R18" t="s">
        <v>114</v>
      </c>
      <c r="S18">
        <v>2</v>
      </c>
      <c r="T18">
        <v>1</v>
      </c>
      <c r="U18">
        <v>1</v>
      </c>
      <c r="V18">
        <v>0</v>
      </c>
      <c r="W18">
        <v>4</v>
      </c>
      <c r="X18">
        <v>6</v>
      </c>
      <c r="Y18">
        <v>14</v>
      </c>
      <c r="Z18">
        <v>15</v>
      </c>
      <c r="AA18">
        <v>14</v>
      </c>
      <c r="AB18">
        <v>12</v>
      </c>
      <c r="AC18">
        <v>2</v>
      </c>
      <c r="AD18">
        <v>3</v>
      </c>
      <c r="AE18">
        <v>0</v>
      </c>
      <c r="AF18">
        <v>3</v>
      </c>
      <c r="AG18">
        <v>17</v>
      </c>
      <c r="AH18">
        <v>13</v>
      </c>
      <c r="AI18">
        <v>9</v>
      </c>
      <c r="AJ18">
        <v>8</v>
      </c>
      <c r="AK18">
        <v>1</v>
      </c>
      <c r="AL18">
        <v>1</v>
      </c>
      <c r="AM18">
        <v>0</v>
      </c>
      <c r="AN18">
        <v>1</v>
      </c>
      <c r="AO18">
        <v>0</v>
      </c>
      <c r="AP18">
        <v>0.95</v>
      </c>
      <c r="AQ18">
        <v>0</v>
      </c>
    </row>
    <row r="19" spans="1:43" x14ac:dyDescent="0.25">
      <c r="A19">
        <v>2024</v>
      </c>
      <c r="B19">
        <v>45401</v>
      </c>
      <c r="C19">
        <v>2</v>
      </c>
      <c r="D19">
        <v>8508</v>
      </c>
      <c r="E19">
        <v>46931</v>
      </c>
      <c r="F19" t="s">
        <v>474</v>
      </c>
      <c r="G19">
        <v>0.18128742195989858</v>
      </c>
      <c r="H19" t="s">
        <v>51</v>
      </c>
      <c r="I19" t="s">
        <v>76</v>
      </c>
      <c r="J19">
        <v>10</v>
      </c>
      <c r="K19" t="s">
        <v>482</v>
      </c>
      <c r="L19">
        <v>20</v>
      </c>
      <c r="M19">
        <v>10</v>
      </c>
      <c r="N19">
        <v>3900</v>
      </c>
      <c r="O19" t="s">
        <v>490</v>
      </c>
      <c r="P19">
        <v>930</v>
      </c>
      <c r="Q19" t="s">
        <v>116</v>
      </c>
      <c r="R19" t="s">
        <v>117</v>
      </c>
      <c r="S19">
        <v>1</v>
      </c>
      <c r="T19">
        <v>0</v>
      </c>
      <c r="U19">
        <v>1</v>
      </c>
      <c r="V19">
        <v>0</v>
      </c>
      <c r="W19">
        <v>8</v>
      </c>
      <c r="X19">
        <v>8</v>
      </c>
      <c r="Y19">
        <v>13</v>
      </c>
      <c r="Z19">
        <v>11</v>
      </c>
      <c r="AA19">
        <v>11</v>
      </c>
      <c r="AB19">
        <v>13</v>
      </c>
      <c r="AC19">
        <v>3</v>
      </c>
      <c r="AD19">
        <v>3</v>
      </c>
      <c r="AE19">
        <v>1</v>
      </c>
      <c r="AF19">
        <v>2</v>
      </c>
      <c r="AG19">
        <v>13</v>
      </c>
      <c r="AH19">
        <v>12</v>
      </c>
      <c r="AI19">
        <v>6</v>
      </c>
      <c r="AJ19">
        <v>4</v>
      </c>
      <c r="AK19">
        <v>1</v>
      </c>
      <c r="AL19">
        <v>1</v>
      </c>
      <c r="AM19">
        <v>0</v>
      </c>
      <c r="AN19">
        <v>1</v>
      </c>
      <c r="AO19">
        <v>0</v>
      </c>
      <c r="AP19">
        <v>0.76</v>
      </c>
      <c r="AQ19">
        <v>0</v>
      </c>
    </row>
    <row r="20" spans="1:43" x14ac:dyDescent="0.25">
      <c r="A20">
        <v>2024</v>
      </c>
      <c r="B20">
        <v>45449</v>
      </c>
      <c r="C20">
        <v>2</v>
      </c>
      <c r="D20">
        <v>3614</v>
      </c>
      <c r="E20">
        <v>42968</v>
      </c>
      <c r="F20" t="s">
        <v>474</v>
      </c>
      <c r="G20">
        <v>8.4109104449823127E-2</v>
      </c>
      <c r="H20" t="s">
        <v>70</v>
      </c>
      <c r="I20" t="s">
        <v>94</v>
      </c>
      <c r="J20">
        <v>18</v>
      </c>
      <c r="K20" t="s">
        <v>484</v>
      </c>
      <c r="L20">
        <v>16</v>
      </c>
      <c r="M20">
        <v>-2</v>
      </c>
      <c r="N20">
        <v>1200</v>
      </c>
      <c r="O20" t="s">
        <v>488</v>
      </c>
      <c r="P20">
        <v>1433</v>
      </c>
      <c r="Q20" t="s">
        <v>120</v>
      </c>
      <c r="R20" t="s">
        <v>120</v>
      </c>
      <c r="S20">
        <v>0</v>
      </c>
      <c r="T20">
        <v>0</v>
      </c>
      <c r="U20">
        <v>0</v>
      </c>
      <c r="V20">
        <v>0</v>
      </c>
      <c r="W20">
        <v>4</v>
      </c>
      <c r="X20">
        <v>3</v>
      </c>
      <c r="Y20">
        <v>19</v>
      </c>
      <c r="Z20">
        <v>14</v>
      </c>
      <c r="AA20">
        <v>13</v>
      </c>
      <c r="AB20">
        <v>17</v>
      </c>
      <c r="AC20">
        <v>4</v>
      </c>
      <c r="AD20">
        <v>0</v>
      </c>
      <c r="AE20">
        <v>1</v>
      </c>
      <c r="AF20">
        <v>1</v>
      </c>
      <c r="AG20">
        <v>11</v>
      </c>
      <c r="AH20">
        <v>13</v>
      </c>
      <c r="AI20">
        <v>7</v>
      </c>
      <c r="AJ20">
        <v>7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0.3</v>
      </c>
      <c r="AQ20">
        <v>0</v>
      </c>
    </row>
    <row r="21" spans="1:43" x14ac:dyDescent="0.25">
      <c r="A21">
        <v>2024</v>
      </c>
      <c r="B21">
        <v>45402</v>
      </c>
      <c r="C21">
        <v>3</v>
      </c>
      <c r="D21">
        <v>22904</v>
      </c>
      <c r="E21">
        <v>60540</v>
      </c>
      <c r="F21" t="s">
        <v>472</v>
      </c>
      <c r="G21">
        <v>0.37832837793194585</v>
      </c>
      <c r="H21" t="s">
        <v>83</v>
      </c>
      <c r="I21" t="s">
        <v>70</v>
      </c>
      <c r="J21">
        <v>5</v>
      </c>
      <c r="K21" t="s">
        <v>481</v>
      </c>
      <c r="L21">
        <v>19</v>
      </c>
      <c r="M21">
        <v>14</v>
      </c>
      <c r="N21">
        <v>4060</v>
      </c>
      <c r="O21" t="s">
        <v>490</v>
      </c>
      <c r="P21">
        <v>1360</v>
      </c>
      <c r="Q21" t="s">
        <v>122</v>
      </c>
      <c r="R21" t="s">
        <v>123</v>
      </c>
      <c r="S21">
        <v>1</v>
      </c>
      <c r="T21">
        <v>0</v>
      </c>
      <c r="U21">
        <v>1</v>
      </c>
      <c r="V21">
        <v>0</v>
      </c>
      <c r="W21">
        <v>3</v>
      </c>
      <c r="X21">
        <v>4</v>
      </c>
      <c r="Y21">
        <v>10</v>
      </c>
      <c r="Z21">
        <v>5</v>
      </c>
      <c r="AA21">
        <v>5</v>
      </c>
      <c r="AB21">
        <v>10</v>
      </c>
      <c r="AC21">
        <v>3</v>
      </c>
      <c r="AD21">
        <v>3</v>
      </c>
      <c r="AE21">
        <v>0</v>
      </c>
      <c r="AF21">
        <v>0</v>
      </c>
      <c r="AG21">
        <v>7</v>
      </c>
      <c r="AH21">
        <v>14</v>
      </c>
      <c r="AI21">
        <v>3</v>
      </c>
      <c r="AJ21">
        <v>8</v>
      </c>
      <c r="AK21">
        <v>1</v>
      </c>
      <c r="AL21">
        <v>1</v>
      </c>
      <c r="AM21">
        <v>0</v>
      </c>
      <c r="AN21">
        <v>1</v>
      </c>
      <c r="AO21">
        <v>0</v>
      </c>
      <c r="AP21">
        <v>0.63</v>
      </c>
      <c r="AQ21">
        <v>0</v>
      </c>
    </row>
    <row r="22" spans="1:43" x14ac:dyDescent="0.25">
      <c r="A22">
        <v>2024</v>
      </c>
      <c r="B22">
        <v>45402</v>
      </c>
      <c r="C22">
        <v>3</v>
      </c>
      <c r="D22">
        <v>25842</v>
      </c>
      <c r="E22">
        <v>82238</v>
      </c>
      <c r="F22" t="s">
        <v>476</v>
      </c>
      <c r="G22">
        <v>0.31423429558111821</v>
      </c>
      <c r="H22" t="s">
        <v>55</v>
      </c>
      <c r="I22" t="s">
        <v>82</v>
      </c>
      <c r="J22">
        <v>10</v>
      </c>
      <c r="K22" t="s">
        <v>482</v>
      </c>
      <c r="L22">
        <v>15</v>
      </c>
      <c r="M22">
        <v>5</v>
      </c>
      <c r="N22">
        <v>5685</v>
      </c>
      <c r="O22" t="s">
        <v>490</v>
      </c>
      <c r="P22">
        <v>2525</v>
      </c>
      <c r="Q22">
        <v>32</v>
      </c>
      <c r="R22" t="s">
        <v>66</v>
      </c>
      <c r="S22">
        <v>2</v>
      </c>
      <c r="T22">
        <v>1</v>
      </c>
      <c r="U22">
        <v>1</v>
      </c>
      <c r="V22">
        <v>0</v>
      </c>
      <c r="W22">
        <v>2</v>
      </c>
      <c r="X22">
        <v>7</v>
      </c>
      <c r="Y22">
        <v>16</v>
      </c>
      <c r="Z22">
        <v>17</v>
      </c>
      <c r="AA22">
        <v>17</v>
      </c>
      <c r="AB22">
        <v>15</v>
      </c>
      <c r="AC22">
        <v>4</v>
      </c>
      <c r="AD22">
        <v>6</v>
      </c>
      <c r="AE22">
        <v>1</v>
      </c>
      <c r="AF22">
        <v>4</v>
      </c>
      <c r="AG22">
        <v>11</v>
      </c>
      <c r="AH22">
        <v>21</v>
      </c>
      <c r="AI22">
        <v>2</v>
      </c>
      <c r="AJ22">
        <v>8</v>
      </c>
      <c r="AK22">
        <v>1</v>
      </c>
      <c r="AL22">
        <v>1</v>
      </c>
      <c r="AM22">
        <v>0</v>
      </c>
      <c r="AN22">
        <v>1</v>
      </c>
      <c r="AO22">
        <v>0</v>
      </c>
      <c r="AP22">
        <v>1.31</v>
      </c>
      <c r="AQ22">
        <v>0</v>
      </c>
    </row>
    <row r="23" spans="1:43" x14ac:dyDescent="0.25">
      <c r="A23">
        <v>2024</v>
      </c>
      <c r="B23">
        <v>45402</v>
      </c>
      <c r="C23">
        <v>3</v>
      </c>
      <c r="D23">
        <v>9613</v>
      </c>
      <c r="E23">
        <v>15010</v>
      </c>
      <c r="F23" t="s">
        <v>476</v>
      </c>
      <c r="G23">
        <v>0.64043970686209195</v>
      </c>
      <c r="H23" t="s">
        <v>56</v>
      </c>
      <c r="I23" t="s">
        <v>88</v>
      </c>
      <c r="J23">
        <v>1</v>
      </c>
      <c r="K23" t="s">
        <v>481</v>
      </c>
      <c r="L23">
        <v>18</v>
      </c>
      <c r="M23">
        <v>17</v>
      </c>
      <c r="N23">
        <v>3610</v>
      </c>
      <c r="O23" t="s">
        <v>490</v>
      </c>
      <c r="P23">
        <v>4150</v>
      </c>
      <c r="Q23">
        <v>24</v>
      </c>
      <c r="R23" t="s">
        <v>107</v>
      </c>
      <c r="S23">
        <v>1</v>
      </c>
      <c r="T23">
        <v>0</v>
      </c>
      <c r="U23">
        <v>1</v>
      </c>
      <c r="V23">
        <v>0</v>
      </c>
      <c r="W23">
        <v>3</v>
      </c>
      <c r="X23">
        <v>4</v>
      </c>
      <c r="Y23">
        <v>21</v>
      </c>
      <c r="Z23">
        <v>10</v>
      </c>
      <c r="AA23">
        <v>10</v>
      </c>
      <c r="AB23">
        <v>20</v>
      </c>
      <c r="AC23">
        <v>4</v>
      </c>
      <c r="AD23">
        <v>2</v>
      </c>
      <c r="AE23">
        <v>0</v>
      </c>
      <c r="AF23">
        <v>4</v>
      </c>
      <c r="AG23">
        <v>10</v>
      </c>
      <c r="AH23">
        <v>15</v>
      </c>
      <c r="AI23">
        <v>5</v>
      </c>
      <c r="AJ23">
        <v>8</v>
      </c>
      <c r="AK23">
        <v>1</v>
      </c>
      <c r="AL23">
        <v>1</v>
      </c>
      <c r="AM23">
        <v>0</v>
      </c>
      <c r="AN23">
        <v>1</v>
      </c>
      <c r="AO23">
        <v>0</v>
      </c>
      <c r="AP23">
        <v>0.45</v>
      </c>
      <c r="AQ23">
        <v>0</v>
      </c>
    </row>
    <row r="24" spans="1:43" x14ac:dyDescent="0.25">
      <c r="A24">
        <v>2024</v>
      </c>
      <c r="B24">
        <v>45403</v>
      </c>
      <c r="C24">
        <v>3</v>
      </c>
      <c r="D24">
        <v>29956</v>
      </c>
      <c r="E24">
        <v>43713</v>
      </c>
      <c r="F24" t="s">
        <v>474</v>
      </c>
      <c r="G24">
        <v>0.68528812938942651</v>
      </c>
      <c r="H24" t="s">
        <v>95</v>
      </c>
      <c r="I24" t="s">
        <v>77</v>
      </c>
      <c r="J24">
        <v>11</v>
      </c>
      <c r="K24" t="s">
        <v>483</v>
      </c>
      <c r="L24">
        <v>2</v>
      </c>
      <c r="M24">
        <v>-9</v>
      </c>
      <c r="N24">
        <v>13050</v>
      </c>
      <c r="O24" t="s">
        <v>489</v>
      </c>
      <c r="P24">
        <v>5820</v>
      </c>
      <c r="Q24" t="s">
        <v>114</v>
      </c>
      <c r="R24">
        <v>29</v>
      </c>
      <c r="S24">
        <v>0</v>
      </c>
      <c r="T24">
        <v>0</v>
      </c>
      <c r="U24">
        <v>0</v>
      </c>
      <c r="V24">
        <v>0</v>
      </c>
      <c r="W24">
        <v>5</v>
      </c>
      <c r="X24">
        <v>5</v>
      </c>
      <c r="Y24">
        <v>23</v>
      </c>
      <c r="Z24">
        <v>14</v>
      </c>
      <c r="AA24">
        <v>13</v>
      </c>
      <c r="AB24">
        <v>23</v>
      </c>
      <c r="AC24">
        <v>3</v>
      </c>
      <c r="AD24">
        <v>1</v>
      </c>
      <c r="AE24">
        <v>3</v>
      </c>
      <c r="AF24">
        <v>0</v>
      </c>
      <c r="AG24">
        <v>11</v>
      </c>
      <c r="AH24">
        <v>8</v>
      </c>
      <c r="AI24">
        <v>7</v>
      </c>
      <c r="AJ24">
        <v>3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0.4</v>
      </c>
      <c r="AQ24">
        <v>0</v>
      </c>
    </row>
    <row r="25" spans="1:43" x14ac:dyDescent="0.25">
      <c r="A25">
        <v>2024</v>
      </c>
      <c r="B25">
        <v>45403</v>
      </c>
      <c r="C25">
        <v>3</v>
      </c>
      <c r="D25">
        <v>13273</v>
      </c>
      <c r="E25">
        <v>46931</v>
      </c>
      <c r="F25" t="s">
        <v>476</v>
      </c>
      <c r="G25">
        <v>0.28281945835375338</v>
      </c>
      <c r="H25" t="s">
        <v>51</v>
      </c>
      <c r="I25" t="s">
        <v>44</v>
      </c>
      <c r="J25">
        <v>3</v>
      </c>
      <c r="K25" t="s">
        <v>481</v>
      </c>
      <c r="L25">
        <v>13</v>
      </c>
      <c r="M25">
        <v>10</v>
      </c>
      <c r="N25">
        <v>2720</v>
      </c>
      <c r="O25" t="s">
        <v>487</v>
      </c>
      <c r="P25">
        <v>840</v>
      </c>
      <c r="Q25" t="s">
        <v>128</v>
      </c>
      <c r="R25" t="s">
        <v>129</v>
      </c>
      <c r="S25">
        <v>5</v>
      </c>
      <c r="T25">
        <v>1</v>
      </c>
      <c r="U25">
        <v>2</v>
      </c>
      <c r="V25">
        <v>0</v>
      </c>
      <c r="W25">
        <v>5</v>
      </c>
      <c r="X25">
        <v>4</v>
      </c>
      <c r="Y25">
        <v>22</v>
      </c>
      <c r="Z25">
        <v>10</v>
      </c>
      <c r="AA25">
        <v>10</v>
      </c>
      <c r="AB25">
        <v>20</v>
      </c>
      <c r="AC25">
        <v>0</v>
      </c>
      <c r="AD25">
        <v>1</v>
      </c>
      <c r="AE25">
        <v>1</v>
      </c>
      <c r="AF25">
        <v>1</v>
      </c>
      <c r="AG25">
        <v>13</v>
      </c>
      <c r="AH25">
        <v>12</v>
      </c>
      <c r="AI25">
        <v>5</v>
      </c>
      <c r="AJ25">
        <v>5</v>
      </c>
      <c r="AK25">
        <v>4</v>
      </c>
      <c r="AL25">
        <v>1</v>
      </c>
      <c r="AM25">
        <v>0</v>
      </c>
      <c r="AN25">
        <v>1</v>
      </c>
      <c r="AO25">
        <v>0</v>
      </c>
      <c r="AP25">
        <v>2.96</v>
      </c>
      <c r="AQ25">
        <v>0</v>
      </c>
    </row>
    <row r="26" spans="1:43" x14ac:dyDescent="0.25">
      <c r="A26">
        <v>2024</v>
      </c>
      <c r="B26">
        <v>45403</v>
      </c>
      <c r="C26">
        <v>3</v>
      </c>
      <c r="D26">
        <v>27609</v>
      </c>
      <c r="E26">
        <v>30618</v>
      </c>
      <c r="F26" t="s">
        <v>475</v>
      </c>
      <c r="G26">
        <v>0.90172447579854986</v>
      </c>
      <c r="H26" t="s">
        <v>94</v>
      </c>
      <c r="I26" t="s">
        <v>38</v>
      </c>
      <c r="J26">
        <v>17</v>
      </c>
      <c r="K26" t="s">
        <v>484</v>
      </c>
      <c r="L26">
        <v>9</v>
      </c>
      <c r="M26">
        <v>-8</v>
      </c>
      <c r="N26">
        <v>1158</v>
      </c>
      <c r="O26" t="s">
        <v>488</v>
      </c>
      <c r="P26">
        <v>3060</v>
      </c>
      <c r="Q26" t="s">
        <v>98</v>
      </c>
      <c r="R26" t="s">
        <v>123</v>
      </c>
      <c r="S26">
        <v>2</v>
      </c>
      <c r="T26">
        <v>2</v>
      </c>
      <c r="U26">
        <v>1</v>
      </c>
      <c r="V26">
        <v>0</v>
      </c>
      <c r="W26">
        <v>2</v>
      </c>
      <c r="X26">
        <v>5</v>
      </c>
      <c r="Y26">
        <v>11</v>
      </c>
      <c r="Z26">
        <v>13</v>
      </c>
      <c r="AA26">
        <v>12</v>
      </c>
      <c r="AB26">
        <v>11</v>
      </c>
      <c r="AC26">
        <v>4</v>
      </c>
      <c r="AD26">
        <v>6</v>
      </c>
      <c r="AE26">
        <v>5</v>
      </c>
      <c r="AF26">
        <v>2</v>
      </c>
      <c r="AG26">
        <v>13</v>
      </c>
      <c r="AH26">
        <v>18</v>
      </c>
      <c r="AI26">
        <v>4</v>
      </c>
      <c r="AJ26">
        <v>6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1.69</v>
      </c>
      <c r="AQ26">
        <v>0</v>
      </c>
    </row>
    <row r="27" spans="1:43" x14ac:dyDescent="0.25">
      <c r="A27">
        <v>2024</v>
      </c>
      <c r="B27">
        <v>45403</v>
      </c>
      <c r="C27">
        <v>3</v>
      </c>
      <c r="D27">
        <v>9017</v>
      </c>
      <c r="E27">
        <v>13000</v>
      </c>
      <c r="F27" t="s">
        <v>476</v>
      </c>
      <c r="G27">
        <v>0.69361538461538463</v>
      </c>
      <c r="H27" t="s">
        <v>76</v>
      </c>
      <c r="I27" t="s">
        <v>62</v>
      </c>
      <c r="J27">
        <v>20</v>
      </c>
      <c r="K27" t="s">
        <v>484</v>
      </c>
      <c r="L27">
        <v>14</v>
      </c>
      <c r="M27">
        <v>-6</v>
      </c>
      <c r="N27">
        <v>1150</v>
      </c>
      <c r="O27" t="s">
        <v>488</v>
      </c>
      <c r="P27">
        <v>3960</v>
      </c>
      <c r="Q27" t="s">
        <v>80</v>
      </c>
      <c r="R27" t="s">
        <v>66</v>
      </c>
      <c r="S27">
        <v>0</v>
      </c>
      <c r="T27">
        <v>3</v>
      </c>
      <c r="U27">
        <v>0</v>
      </c>
      <c r="V27">
        <v>1</v>
      </c>
      <c r="W27">
        <v>4</v>
      </c>
      <c r="X27">
        <v>3</v>
      </c>
      <c r="Y27">
        <v>13</v>
      </c>
      <c r="Z27">
        <v>9</v>
      </c>
      <c r="AA27">
        <v>9</v>
      </c>
      <c r="AB27">
        <v>12</v>
      </c>
      <c r="AC27">
        <v>4</v>
      </c>
      <c r="AD27">
        <v>1</v>
      </c>
      <c r="AE27">
        <v>0</v>
      </c>
      <c r="AF27">
        <v>2</v>
      </c>
      <c r="AG27">
        <v>9</v>
      </c>
      <c r="AH27">
        <v>19</v>
      </c>
      <c r="AI27">
        <v>4</v>
      </c>
      <c r="AJ27">
        <v>4</v>
      </c>
      <c r="AK27">
        <v>-3</v>
      </c>
      <c r="AL27">
        <v>0</v>
      </c>
      <c r="AM27">
        <v>0</v>
      </c>
      <c r="AN27">
        <v>0</v>
      </c>
      <c r="AO27">
        <v>1</v>
      </c>
      <c r="AP27">
        <v>0.24</v>
      </c>
      <c r="AQ27">
        <v>1</v>
      </c>
    </row>
    <row r="28" spans="1:43" x14ac:dyDescent="0.25">
      <c r="A28">
        <v>2024</v>
      </c>
      <c r="B28">
        <v>45403</v>
      </c>
      <c r="C28">
        <v>3</v>
      </c>
      <c r="D28">
        <v>39541</v>
      </c>
      <c r="E28">
        <v>46000</v>
      </c>
      <c r="F28" t="s">
        <v>474</v>
      </c>
      <c r="G28">
        <v>0.85958695652173911</v>
      </c>
      <c r="H28" t="s">
        <v>89</v>
      </c>
      <c r="I28" t="s">
        <v>50</v>
      </c>
      <c r="J28">
        <v>7</v>
      </c>
      <c r="K28" t="s">
        <v>482</v>
      </c>
      <c r="L28">
        <v>12</v>
      </c>
      <c r="M28">
        <v>5</v>
      </c>
      <c r="N28">
        <v>5720</v>
      </c>
      <c r="O28" t="s">
        <v>490</v>
      </c>
      <c r="P28">
        <v>2005</v>
      </c>
      <c r="Q28">
        <v>30</v>
      </c>
      <c r="R28" t="s">
        <v>134</v>
      </c>
      <c r="S28">
        <v>3</v>
      </c>
      <c r="T28">
        <v>0</v>
      </c>
      <c r="U28">
        <v>3</v>
      </c>
      <c r="V28">
        <v>0</v>
      </c>
      <c r="W28">
        <v>4</v>
      </c>
      <c r="X28">
        <v>4</v>
      </c>
      <c r="Y28">
        <v>15</v>
      </c>
      <c r="Z28">
        <v>17</v>
      </c>
      <c r="AA28">
        <v>16</v>
      </c>
      <c r="AB28">
        <v>15</v>
      </c>
      <c r="AC28">
        <v>2</v>
      </c>
      <c r="AD28">
        <v>1</v>
      </c>
      <c r="AE28">
        <v>1</v>
      </c>
      <c r="AF28">
        <v>2</v>
      </c>
      <c r="AG28">
        <v>9</v>
      </c>
      <c r="AH28">
        <v>10</v>
      </c>
      <c r="AI28">
        <v>3</v>
      </c>
      <c r="AJ28">
        <v>1</v>
      </c>
      <c r="AK28">
        <v>3</v>
      </c>
      <c r="AL28">
        <v>1</v>
      </c>
      <c r="AM28">
        <v>0</v>
      </c>
      <c r="AN28">
        <v>1</v>
      </c>
      <c r="AO28">
        <v>0</v>
      </c>
      <c r="AP28">
        <v>1.1299999999999999</v>
      </c>
      <c r="AQ28">
        <v>0</v>
      </c>
    </row>
    <row r="29" spans="1:43" x14ac:dyDescent="0.25">
      <c r="A29">
        <v>2024</v>
      </c>
      <c r="B29">
        <v>45409</v>
      </c>
      <c r="C29">
        <v>4</v>
      </c>
      <c r="D29">
        <v>6711</v>
      </c>
      <c r="E29">
        <v>42968</v>
      </c>
      <c r="F29" t="s">
        <v>473</v>
      </c>
      <c r="G29">
        <v>0.15618599888288959</v>
      </c>
      <c r="H29" t="s">
        <v>70</v>
      </c>
      <c r="I29" t="s">
        <v>89</v>
      </c>
      <c r="J29">
        <v>20</v>
      </c>
      <c r="K29" t="s">
        <v>484</v>
      </c>
      <c r="L29">
        <v>2</v>
      </c>
      <c r="M29">
        <v>-18</v>
      </c>
      <c r="N29">
        <v>1380</v>
      </c>
      <c r="O29" t="s">
        <v>488</v>
      </c>
      <c r="P29">
        <v>4900</v>
      </c>
      <c r="Q29">
        <v>28</v>
      </c>
      <c r="R29" t="s">
        <v>135</v>
      </c>
      <c r="S29">
        <v>0</v>
      </c>
      <c r="T29">
        <v>3</v>
      </c>
      <c r="U29">
        <v>0</v>
      </c>
      <c r="V29">
        <v>1</v>
      </c>
      <c r="W29">
        <v>3</v>
      </c>
      <c r="X29">
        <v>10</v>
      </c>
      <c r="Y29">
        <v>11</v>
      </c>
      <c r="Z29">
        <v>17</v>
      </c>
      <c r="AA29">
        <v>16</v>
      </c>
      <c r="AB29">
        <v>11</v>
      </c>
      <c r="AC29">
        <v>2</v>
      </c>
      <c r="AD29">
        <v>1</v>
      </c>
      <c r="AE29">
        <v>2</v>
      </c>
      <c r="AF29">
        <v>1</v>
      </c>
      <c r="AG29">
        <v>4</v>
      </c>
      <c r="AH29">
        <v>13</v>
      </c>
      <c r="AI29">
        <v>2</v>
      </c>
      <c r="AJ29">
        <v>5</v>
      </c>
      <c r="AK29">
        <v>-3</v>
      </c>
      <c r="AL29">
        <v>0</v>
      </c>
      <c r="AM29">
        <v>0</v>
      </c>
      <c r="AN29">
        <v>0</v>
      </c>
      <c r="AO29">
        <v>1</v>
      </c>
      <c r="AP29">
        <v>0.25</v>
      </c>
      <c r="AQ29">
        <v>0</v>
      </c>
    </row>
    <row r="30" spans="1:43" x14ac:dyDescent="0.25">
      <c r="A30">
        <v>2024</v>
      </c>
      <c r="B30">
        <v>45409</v>
      </c>
      <c r="C30">
        <v>4</v>
      </c>
      <c r="D30">
        <v>17124</v>
      </c>
      <c r="E30">
        <v>24584</v>
      </c>
      <c r="F30" t="s">
        <v>474</v>
      </c>
      <c r="G30">
        <v>0.69655060201757235</v>
      </c>
      <c r="H30" t="s">
        <v>82</v>
      </c>
      <c r="I30" t="s">
        <v>43</v>
      </c>
      <c r="J30">
        <v>17</v>
      </c>
      <c r="K30" t="s">
        <v>484</v>
      </c>
      <c r="L30">
        <v>10</v>
      </c>
      <c r="M30">
        <v>-7</v>
      </c>
      <c r="N30">
        <v>3015</v>
      </c>
      <c r="O30" t="s">
        <v>487</v>
      </c>
      <c r="P30">
        <v>575</v>
      </c>
      <c r="Q30" t="s">
        <v>137</v>
      </c>
      <c r="R30" t="s">
        <v>138</v>
      </c>
      <c r="S30">
        <v>0</v>
      </c>
      <c r="T30">
        <v>4</v>
      </c>
      <c r="U30">
        <v>0</v>
      </c>
      <c r="V30">
        <v>1</v>
      </c>
      <c r="W30">
        <v>5</v>
      </c>
      <c r="X30">
        <v>4</v>
      </c>
      <c r="Y30">
        <v>13</v>
      </c>
      <c r="Z30">
        <v>7</v>
      </c>
      <c r="AA30">
        <v>7</v>
      </c>
      <c r="AB30">
        <v>13</v>
      </c>
      <c r="AC30">
        <v>6</v>
      </c>
      <c r="AD30">
        <v>5</v>
      </c>
      <c r="AE30">
        <v>0</v>
      </c>
      <c r="AF30">
        <v>2</v>
      </c>
      <c r="AG30">
        <v>21</v>
      </c>
      <c r="AH30">
        <v>17</v>
      </c>
      <c r="AI30">
        <v>8</v>
      </c>
      <c r="AJ30">
        <v>5</v>
      </c>
      <c r="AK30">
        <v>-4</v>
      </c>
      <c r="AL30">
        <v>0</v>
      </c>
      <c r="AM30">
        <v>0</v>
      </c>
      <c r="AN30">
        <v>0</v>
      </c>
      <c r="AO30">
        <v>1</v>
      </c>
      <c r="AP30">
        <v>2.02</v>
      </c>
      <c r="AQ30">
        <v>0</v>
      </c>
    </row>
    <row r="31" spans="1:43" x14ac:dyDescent="0.25">
      <c r="A31">
        <v>2024</v>
      </c>
      <c r="B31">
        <v>45410</v>
      </c>
      <c r="C31">
        <v>4</v>
      </c>
      <c r="D31">
        <v>20083</v>
      </c>
      <c r="E31">
        <v>61927</v>
      </c>
      <c r="F31" t="s">
        <v>477</v>
      </c>
      <c r="G31">
        <v>0.32430119334054613</v>
      </c>
      <c r="H31" t="s">
        <v>50</v>
      </c>
      <c r="I31" t="s">
        <v>94</v>
      </c>
      <c r="J31">
        <v>7</v>
      </c>
      <c r="K31" t="s">
        <v>482</v>
      </c>
      <c r="L31">
        <v>18</v>
      </c>
      <c r="M31">
        <v>11</v>
      </c>
      <c r="N31">
        <v>3065</v>
      </c>
      <c r="O31" t="s">
        <v>487</v>
      </c>
      <c r="P31">
        <v>1328</v>
      </c>
      <c r="Q31" t="s">
        <v>98</v>
      </c>
      <c r="R31" t="s">
        <v>66</v>
      </c>
      <c r="S31">
        <v>3</v>
      </c>
      <c r="T31">
        <v>1</v>
      </c>
      <c r="U31">
        <v>0</v>
      </c>
      <c r="V31">
        <v>0</v>
      </c>
      <c r="W31">
        <v>10</v>
      </c>
      <c r="X31">
        <v>4</v>
      </c>
      <c r="Y31">
        <v>12</v>
      </c>
      <c r="Z31">
        <v>6</v>
      </c>
      <c r="AA31">
        <v>5</v>
      </c>
      <c r="AB31">
        <v>11</v>
      </c>
      <c r="AC31">
        <v>3</v>
      </c>
      <c r="AD31">
        <v>3</v>
      </c>
      <c r="AE31">
        <v>0</v>
      </c>
      <c r="AF31">
        <v>0</v>
      </c>
      <c r="AG31">
        <v>15</v>
      </c>
      <c r="AH31">
        <v>8</v>
      </c>
      <c r="AI31">
        <v>5</v>
      </c>
      <c r="AJ31">
        <v>5</v>
      </c>
      <c r="AK31">
        <v>2</v>
      </c>
      <c r="AL31">
        <v>1</v>
      </c>
      <c r="AM31">
        <v>0</v>
      </c>
      <c r="AN31">
        <v>1</v>
      </c>
      <c r="AO31">
        <v>0</v>
      </c>
      <c r="AP31">
        <v>1.2</v>
      </c>
      <c r="AQ31">
        <v>0</v>
      </c>
    </row>
    <row r="32" spans="1:43" x14ac:dyDescent="0.25">
      <c r="A32">
        <v>2024</v>
      </c>
      <c r="B32">
        <v>45410</v>
      </c>
      <c r="C32">
        <v>4</v>
      </c>
      <c r="D32">
        <v>53683</v>
      </c>
      <c r="E32">
        <v>78838</v>
      </c>
      <c r="F32" t="s">
        <v>476</v>
      </c>
      <c r="G32">
        <v>0.68092797889342704</v>
      </c>
      <c r="H32" t="s">
        <v>77</v>
      </c>
      <c r="I32" t="s">
        <v>51</v>
      </c>
      <c r="J32">
        <v>8</v>
      </c>
      <c r="K32" t="s">
        <v>482</v>
      </c>
      <c r="L32">
        <v>1</v>
      </c>
      <c r="M32">
        <v>-7</v>
      </c>
      <c r="N32">
        <v>8820</v>
      </c>
      <c r="O32" t="s">
        <v>489</v>
      </c>
      <c r="P32">
        <v>3275</v>
      </c>
      <c r="Q32">
        <v>29</v>
      </c>
      <c r="R32" t="s">
        <v>100</v>
      </c>
      <c r="S32">
        <v>0</v>
      </c>
      <c r="T32">
        <v>2</v>
      </c>
      <c r="U32">
        <v>0</v>
      </c>
      <c r="V32">
        <v>0</v>
      </c>
      <c r="W32">
        <v>8</v>
      </c>
      <c r="X32">
        <v>3</v>
      </c>
      <c r="Y32">
        <v>12</v>
      </c>
      <c r="Z32">
        <v>15</v>
      </c>
      <c r="AA32">
        <v>15</v>
      </c>
      <c r="AB32">
        <v>12</v>
      </c>
      <c r="AC32">
        <v>1</v>
      </c>
      <c r="AD32">
        <v>0</v>
      </c>
      <c r="AE32">
        <v>2</v>
      </c>
      <c r="AF32">
        <v>1</v>
      </c>
      <c r="AG32">
        <v>15</v>
      </c>
      <c r="AH32">
        <v>9</v>
      </c>
      <c r="AI32">
        <v>11</v>
      </c>
      <c r="AJ32">
        <v>1</v>
      </c>
      <c r="AK32">
        <v>-2</v>
      </c>
      <c r="AL32">
        <v>0</v>
      </c>
      <c r="AM32">
        <v>0</v>
      </c>
      <c r="AN32">
        <v>0</v>
      </c>
      <c r="AO32">
        <v>1</v>
      </c>
      <c r="AP32">
        <v>0.82</v>
      </c>
      <c r="AQ32">
        <v>0</v>
      </c>
    </row>
    <row r="33" spans="1:43" x14ac:dyDescent="0.25">
      <c r="A33">
        <v>2024</v>
      </c>
      <c r="B33">
        <v>45410</v>
      </c>
      <c r="C33">
        <v>4</v>
      </c>
      <c r="D33">
        <v>36066</v>
      </c>
      <c r="E33">
        <v>47364</v>
      </c>
      <c r="F33" t="s">
        <v>473</v>
      </c>
      <c r="G33">
        <v>0.76146440334431209</v>
      </c>
      <c r="H33" t="s">
        <v>38</v>
      </c>
      <c r="I33" t="s">
        <v>83</v>
      </c>
      <c r="J33">
        <v>5</v>
      </c>
      <c r="K33" t="s">
        <v>481</v>
      </c>
      <c r="L33">
        <v>9</v>
      </c>
      <c r="M33">
        <v>4</v>
      </c>
      <c r="N33">
        <v>3120</v>
      </c>
      <c r="O33" t="s">
        <v>487</v>
      </c>
      <c r="P33">
        <v>2950</v>
      </c>
      <c r="Q33" t="s">
        <v>66</v>
      </c>
      <c r="R33" t="s">
        <v>142</v>
      </c>
      <c r="S33">
        <v>1</v>
      </c>
      <c r="T33">
        <v>0</v>
      </c>
      <c r="U33">
        <v>1</v>
      </c>
      <c r="V33">
        <v>0</v>
      </c>
      <c r="W33">
        <v>4</v>
      </c>
      <c r="X33">
        <v>0</v>
      </c>
      <c r="Y33">
        <v>10</v>
      </c>
      <c r="Z33">
        <v>15</v>
      </c>
      <c r="AA33">
        <v>13</v>
      </c>
      <c r="AB33">
        <v>10</v>
      </c>
      <c r="AC33">
        <v>2</v>
      </c>
      <c r="AD33">
        <v>3</v>
      </c>
      <c r="AE33">
        <v>1</v>
      </c>
      <c r="AF33">
        <v>2</v>
      </c>
      <c r="AG33">
        <v>14</v>
      </c>
      <c r="AH33">
        <v>3</v>
      </c>
      <c r="AI33">
        <v>5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0</v>
      </c>
      <c r="AP33">
        <v>1.1599999999999999</v>
      </c>
      <c r="AQ33">
        <v>0</v>
      </c>
    </row>
    <row r="34" spans="1:43" x14ac:dyDescent="0.25">
      <c r="A34">
        <v>2024</v>
      </c>
      <c r="B34">
        <v>45410</v>
      </c>
      <c r="C34">
        <v>4</v>
      </c>
      <c r="D34">
        <v>18113</v>
      </c>
      <c r="E34">
        <v>60326</v>
      </c>
      <c r="F34" t="s">
        <v>473</v>
      </c>
      <c r="G34">
        <v>0.30025196432715578</v>
      </c>
      <c r="H34" t="s">
        <v>63</v>
      </c>
      <c r="I34" t="s">
        <v>56</v>
      </c>
      <c r="J34">
        <v>11</v>
      </c>
      <c r="K34" t="s">
        <v>483</v>
      </c>
      <c r="L34">
        <v>3</v>
      </c>
      <c r="M34">
        <v>-8</v>
      </c>
      <c r="N34">
        <v>1115</v>
      </c>
      <c r="O34" t="s">
        <v>488</v>
      </c>
      <c r="P34">
        <v>3630</v>
      </c>
      <c r="Q34" t="s">
        <v>144</v>
      </c>
      <c r="R34" t="s">
        <v>145</v>
      </c>
      <c r="S34">
        <v>1</v>
      </c>
      <c r="T34">
        <v>1</v>
      </c>
      <c r="U34">
        <v>1</v>
      </c>
      <c r="V34">
        <v>1</v>
      </c>
      <c r="W34">
        <v>12</v>
      </c>
      <c r="X34">
        <v>6</v>
      </c>
      <c r="Y34">
        <v>9</v>
      </c>
      <c r="Z34">
        <v>6</v>
      </c>
      <c r="AA34">
        <v>6</v>
      </c>
      <c r="AB34">
        <v>8</v>
      </c>
      <c r="AC34">
        <v>2</v>
      </c>
      <c r="AD34">
        <v>4</v>
      </c>
      <c r="AE34">
        <v>1</v>
      </c>
      <c r="AF34">
        <v>2</v>
      </c>
      <c r="AG34">
        <v>22</v>
      </c>
      <c r="AH34">
        <v>10</v>
      </c>
      <c r="AI34">
        <v>9</v>
      </c>
      <c r="AJ34">
        <v>4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1.68</v>
      </c>
      <c r="AQ34">
        <v>0</v>
      </c>
    </row>
    <row r="35" spans="1:43" x14ac:dyDescent="0.25">
      <c r="A35">
        <v>2024</v>
      </c>
      <c r="B35">
        <v>45410</v>
      </c>
      <c r="C35">
        <v>4</v>
      </c>
      <c r="D35">
        <v>42119</v>
      </c>
      <c r="E35">
        <v>49205</v>
      </c>
      <c r="F35" t="s">
        <v>477</v>
      </c>
      <c r="G35">
        <v>0.85599024489381159</v>
      </c>
      <c r="H35" t="s">
        <v>88</v>
      </c>
      <c r="I35" t="s">
        <v>55</v>
      </c>
      <c r="J35">
        <v>15</v>
      </c>
      <c r="K35" t="s">
        <v>483</v>
      </c>
      <c r="L35">
        <v>16</v>
      </c>
      <c r="M35">
        <v>1</v>
      </c>
      <c r="N35">
        <v>2730</v>
      </c>
      <c r="O35" t="s">
        <v>487</v>
      </c>
      <c r="P35">
        <v>3795</v>
      </c>
      <c r="Q35">
        <v>27</v>
      </c>
      <c r="R35" t="s">
        <v>147</v>
      </c>
      <c r="S35">
        <v>3</v>
      </c>
      <c r="T35">
        <v>0</v>
      </c>
      <c r="U35">
        <v>2</v>
      </c>
      <c r="V35">
        <v>0</v>
      </c>
      <c r="W35">
        <v>6</v>
      </c>
      <c r="X35">
        <v>8</v>
      </c>
      <c r="Y35">
        <v>15</v>
      </c>
      <c r="Z35">
        <v>15</v>
      </c>
      <c r="AA35">
        <v>15</v>
      </c>
      <c r="AB35">
        <v>14</v>
      </c>
      <c r="AC35">
        <v>2</v>
      </c>
      <c r="AD35">
        <v>4</v>
      </c>
      <c r="AE35">
        <v>1</v>
      </c>
      <c r="AF35">
        <v>2</v>
      </c>
      <c r="AG35">
        <v>17</v>
      </c>
      <c r="AH35">
        <v>13</v>
      </c>
      <c r="AI35">
        <v>4</v>
      </c>
      <c r="AJ35">
        <v>5</v>
      </c>
      <c r="AK35">
        <v>3</v>
      </c>
      <c r="AL35">
        <v>1</v>
      </c>
      <c r="AM35">
        <v>0</v>
      </c>
      <c r="AN35">
        <v>1</v>
      </c>
      <c r="AO35">
        <v>0</v>
      </c>
      <c r="AP35">
        <v>1.23</v>
      </c>
      <c r="AQ35">
        <v>0</v>
      </c>
    </row>
    <row r="36" spans="1:43" x14ac:dyDescent="0.25">
      <c r="A36">
        <v>2024</v>
      </c>
      <c r="B36">
        <v>45410</v>
      </c>
      <c r="C36">
        <v>4</v>
      </c>
      <c r="D36">
        <v>5032</v>
      </c>
      <c r="E36">
        <v>23726</v>
      </c>
      <c r="F36" t="s">
        <v>473</v>
      </c>
      <c r="G36">
        <v>0.21208800472055972</v>
      </c>
      <c r="H36" t="s">
        <v>44</v>
      </c>
      <c r="I36" t="s">
        <v>69</v>
      </c>
      <c r="J36">
        <v>13</v>
      </c>
      <c r="K36" t="s">
        <v>483</v>
      </c>
      <c r="L36">
        <v>4</v>
      </c>
      <c r="M36">
        <v>-9</v>
      </c>
      <c r="N36">
        <v>810</v>
      </c>
      <c r="O36" t="s">
        <v>488</v>
      </c>
      <c r="P36">
        <v>3745</v>
      </c>
      <c r="Q36">
        <v>29</v>
      </c>
      <c r="R36" t="s">
        <v>149</v>
      </c>
      <c r="S36">
        <v>1</v>
      </c>
      <c r="T36">
        <v>1</v>
      </c>
      <c r="U36">
        <v>1</v>
      </c>
      <c r="V36">
        <v>0</v>
      </c>
      <c r="W36">
        <v>4</v>
      </c>
      <c r="X36">
        <v>6</v>
      </c>
      <c r="Y36">
        <v>12</v>
      </c>
      <c r="Z36">
        <v>17</v>
      </c>
      <c r="AA36">
        <v>17</v>
      </c>
      <c r="AB36">
        <v>12</v>
      </c>
      <c r="AC36">
        <v>6</v>
      </c>
      <c r="AD36">
        <v>4</v>
      </c>
      <c r="AE36">
        <v>1</v>
      </c>
      <c r="AF36">
        <v>3</v>
      </c>
      <c r="AG36">
        <v>15</v>
      </c>
      <c r="AH36">
        <v>15</v>
      </c>
      <c r="AI36">
        <v>6</v>
      </c>
      <c r="AJ36">
        <v>5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1.17</v>
      </c>
      <c r="AQ36">
        <v>0</v>
      </c>
    </row>
    <row r="37" spans="1:43" x14ac:dyDescent="0.25">
      <c r="A37">
        <v>2024</v>
      </c>
      <c r="B37">
        <v>45411</v>
      </c>
      <c r="C37">
        <v>4</v>
      </c>
      <c r="D37">
        <v>23836</v>
      </c>
      <c r="E37">
        <v>50848</v>
      </c>
      <c r="F37" t="s">
        <v>474</v>
      </c>
      <c r="G37">
        <v>0.46876966645689111</v>
      </c>
      <c r="H37" t="s">
        <v>37</v>
      </c>
      <c r="I37" t="s">
        <v>76</v>
      </c>
      <c r="J37">
        <v>6</v>
      </c>
      <c r="K37" t="s">
        <v>482</v>
      </c>
      <c r="L37">
        <v>19</v>
      </c>
      <c r="M37">
        <v>13</v>
      </c>
      <c r="N37">
        <v>5125</v>
      </c>
      <c r="O37" t="s">
        <v>490</v>
      </c>
      <c r="P37">
        <v>1020</v>
      </c>
      <c r="Q37" t="s">
        <v>66</v>
      </c>
      <c r="R37" t="s">
        <v>151</v>
      </c>
      <c r="S37">
        <v>1</v>
      </c>
      <c r="T37">
        <v>1</v>
      </c>
      <c r="U37">
        <v>0</v>
      </c>
      <c r="V37">
        <v>0</v>
      </c>
      <c r="W37">
        <v>13</v>
      </c>
      <c r="X37">
        <v>0</v>
      </c>
      <c r="Y37">
        <v>13</v>
      </c>
      <c r="Z37">
        <v>12</v>
      </c>
      <c r="AA37">
        <v>12</v>
      </c>
      <c r="AB37">
        <v>13</v>
      </c>
      <c r="AC37">
        <v>1</v>
      </c>
      <c r="AD37">
        <v>4</v>
      </c>
      <c r="AE37">
        <v>1</v>
      </c>
      <c r="AF37">
        <v>5</v>
      </c>
      <c r="AG37">
        <v>22</v>
      </c>
      <c r="AH37">
        <v>4</v>
      </c>
      <c r="AI37">
        <v>9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1.92</v>
      </c>
      <c r="AQ37">
        <v>0</v>
      </c>
    </row>
    <row r="38" spans="1:43" x14ac:dyDescent="0.25">
      <c r="A38">
        <v>2024</v>
      </c>
      <c r="B38">
        <v>45412</v>
      </c>
      <c r="C38">
        <v>4</v>
      </c>
      <c r="D38">
        <v>55694</v>
      </c>
      <c r="E38">
        <v>72039</v>
      </c>
      <c r="F38" t="s">
        <v>476</v>
      </c>
      <c r="G38">
        <v>0.77310901039714597</v>
      </c>
      <c r="H38" t="s">
        <v>62</v>
      </c>
      <c r="I38" t="s">
        <v>95</v>
      </c>
      <c r="J38">
        <v>14</v>
      </c>
      <c r="K38" t="s">
        <v>483</v>
      </c>
      <c r="L38">
        <v>12</v>
      </c>
      <c r="M38">
        <v>-2</v>
      </c>
      <c r="N38">
        <v>2810</v>
      </c>
      <c r="O38" t="s">
        <v>487</v>
      </c>
      <c r="P38">
        <v>13620</v>
      </c>
      <c r="Q38" t="s">
        <v>137</v>
      </c>
      <c r="R38" t="s">
        <v>122</v>
      </c>
      <c r="S38">
        <v>0</v>
      </c>
      <c r="T38">
        <v>0</v>
      </c>
      <c r="U38">
        <v>0</v>
      </c>
      <c r="V38">
        <v>0</v>
      </c>
      <c r="W38">
        <v>6</v>
      </c>
      <c r="X38">
        <v>4</v>
      </c>
      <c r="Y38">
        <v>10</v>
      </c>
      <c r="Z38">
        <v>20</v>
      </c>
      <c r="AA38">
        <v>17</v>
      </c>
      <c r="AB38">
        <v>10</v>
      </c>
      <c r="AC38">
        <v>2</v>
      </c>
      <c r="AD38">
        <v>1</v>
      </c>
      <c r="AE38">
        <v>2</v>
      </c>
      <c r="AF38">
        <v>3</v>
      </c>
      <c r="AG38">
        <v>16</v>
      </c>
      <c r="AH38">
        <v>9</v>
      </c>
      <c r="AI38">
        <v>8</v>
      </c>
      <c r="AJ38">
        <v>3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0.87</v>
      </c>
      <c r="AQ38">
        <v>0</v>
      </c>
    </row>
    <row r="39" spans="1:43" x14ac:dyDescent="0.25">
      <c r="A39">
        <v>2024</v>
      </c>
      <c r="B39">
        <v>45416</v>
      </c>
      <c r="C39">
        <v>5</v>
      </c>
      <c r="D39">
        <v>14202</v>
      </c>
      <c r="E39">
        <v>21238</v>
      </c>
      <c r="F39" t="s">
        <v>473</v>
      </c>
      <c r="G39">
        <v>0.66870703456069314</v>
      </c>
      <c r="H39" t="s">
        <v>55</v>
      </c>
      <c r="I39" t="s">
        <v>89</v>
      </c>
      <c r="J39">
        <v>16</v>
      </c>
      <c r="K39" t="s">
        <v>484</v>
      </c>
      <c r="L39">
        <v>4</v>
      </c>
      <c r="M39">
        <v>-12</v>
      </c>
      <c r="N39">
        <v>3575</v>
      </c>
      <c r="O39" t="s">
        <v>490</v>
      </c>
      <c r="P39">
        <v>5720</v>
      </c>
      <c r="Q39" t="s">
        <v>155</v>
      </c>
      <c r="R39">
        <v>30</v>
      </c>
      <c r="S39">
        <v>2</v>
      </c>
      <c r="T39">
        <v>2</v>
      </c>
      <c r="U39">
        <v>1</v>
      </c>
      <c r="V39">
        <v>0</v>
      </c>
      <c r="W39">
        <v>4</v>
      </c>
      <c r="X39">
        <v>10</v>
      </c>
      <c r="Y39">
        <v>11</v>
      </c>
      <c r="Z39">
        <v>18</v>
      </c>
      <c r="AA39">
        <v>16</v>
      </c>
      <c r="AB39">
        <v>11</v>
      </c>
      <c r="AC39">
        <v>5</v>
      </c>
      <c r="AD39">
        <v>3</v>
      </c>
      <c r="AE39">
        <v>0</v>
      </c>
      <c r="AF39">
        <v>3</v>
      </c>
      <c r="AG39">
        <v>10</v>
      </c>
      <c r="AH39">
        <v>19</v>
      </c>
      <c r="AI39">
        <v>3</v>
      </c>
      <c r="AJ39">
        <v>6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1.81</v>
      </c>
      <c r="AQ39">
        <v>0</v>
      </c>
    </row>
    <row r="40" spans="1:43" x14ac:dyDescent="0.25">
      <c r="A40">
        <v>2024</v>
      </c>
      <c r="B40">
        <v>45417</v>
      </c>
      <c r="C40">
        <v>5</v>
      </c>
      <c r="D40">
        <v>22685</v>
      </c>
      <c r="E40">
        <v>46931</v>
      </c>
      <c r="F40" t="s">
        <v>475</v>
      </c>
      <c r="G40">
        <v>0.48336920159382923</v>
      </c>
      <c r="H40" t="s">
        <v>51</v>
      </c>
      <c r="I40" t="s">
        <v>38</v>
      </c>
      <c r="J40">
        <v>3</v>
      </c>
      <c r="K40" t="s">
        <v>481</v>
      </c>
      <c r="L40">
        <v>2</v>
      </c>
      <c r="M40">
        <v>-1</v>
      </c>
      <c r="N40">
        <v>3655</v>
      </c>
      <c r="O40" t="s">
        <v>490</v>
      </c>
      <c r="P40">
        <v>3120</v>
      </c>
      <c r="Q40" t="s">
        <v>98</v>
      </c>
      <c r="R40" t="s">
        <v>137</v>
      </c>
      <c r="S40">
        <v>1</v>
      </c>
      <c r="T40">
        <v>2</v>
      </c>
      <c r="U40">
        <v>0</v>
      </c>
      <c r="V40">
        <v>1</v>
      </c>
      <c r="W40">
        <v>5</v>
      </c>
      <c r="X40">
        <v>1</v>
      </c>
      <c r="Y40">
        <v>10</v>
      </c>
      <c r="Z40">
        <v>5</v>
      </c>
      <c r="AA40">
        <v>5</v>
      </c>
      <c r="AB40">
        <v>8</v>
      </c>
      <c r="AC40">
        <v>2</v>
      </c>
      <c r="AD40">
        <v>4</v>
      </c>
      <c r="AE40">
        <v>6</v>
      </c>
      <c r="AF40">
        <v>0</v>
      </c>
      <c r="AG40">
        <v>16</v>
      </c>
      <c r="AH40">
        <v>10</v>
      </c>
      <c r="AI40">
        <v>10</v>
      </c>
      <c r="AJ40">
        <v>5</v>
      </c>
      <c r="AK40">
        <v>-1</v>
      </c>
      <c r="AL40">
        <v>0</v>
      </c>
      <c r="AM40">
        <v>0</v>
      </c>
      <c r="AN40">
        <v>0</v>
      </c>
      <c r="AO40">
        <v>1</v>
      </c>
      <c r="AP40">
        <v>0.88</v>
      </c>
      <c r="AQ40">
        <v>0</v>
      </c>
    </row>
    <row r="41" spans="1:43" x14ac:dyDescent="0.25">
      <c r="A41">
        <v>2024</v>
      </c>
      <c r="B41">
        <v>45417</v>
      </c>
      <c r="C41">
        <v>5</v>
      </c>
      <c r="D41">
        <v>10781</v>
      </c>
      <c r="E41">
        <v>42968</v>
      </c>
      <c r="F41" t="s">
        <v>476</v>
      </c>
      <c r="G41">
        <v>0.25090765220629307</v>
      </c>
      <c r="H41" t="s">
        <v>70</v>
      </c>
      <c r="I41" t="s">
        <v>95</v>
      </c>
      <c r="J41">
        <v>20</v>
      </c>
      <c r="K41" t="s">
        <v>484</v>
      </c>
      <c r="L41">
        <v>7</v>
      </c>
      <c r="M41">
        <v>-13</v>
      </c>
      <c r="N41">
        <v>1520</v>
      </c>
      <c r="O41" t="s">
        <v>487</v>
      </c>
      <c r="P41">
        <v>13670</v>
      </c>
      <c r="Q41" t="s">
        <v>116</v>
      </c>
      <c r="R41" t="s">
        <v>122</v>
      </c>
      <c r="S41">
        <v>0</v>
      </c>
      <c r="T41">
        <v>2</v>
      </c>
      <c r="U41">
        <v>0</v>
      </c>
      <c r="V41">
        <v>1</v>
      </c>
      <c r="W41">
        <v>6</v>
      </c>
      <c r="X41">
        <v>6</v>
      </c>
      <c r="Y41">
        <v>10</v>
      </c>
      <c r="Z41">
        <v>11</v>
      </c>
      <c r="AA41">
        <v>9</v>
      </c>
      <c r="AB41">
        <v>10</v>
      </c>
      <c r="AC41">
        <v>4</v>
      </c>
      <c r="AD41">
        <v>1</v>
      </c>
      <c r="AE41">
        <v>2</v>
      </c>
      <c r="AF41">
        <v>1</v>
      </c>
      <c r="AG41">
        <v>9</v>
      </c>
      <c r="AH41">
        <v>15</v>
      </c>
      <c r="AI41">
        <v>6</v>
      </c>
      <c r="AJ41">
        <v>6</v>
      </c>
      <c r="AK41">
        <v>-2</v>
      </c>
      <c r="AL41">
        <v>0</v>
      </c>
      <c r="AM41">
        <v>0</v>
      </c>
      <c r="AN41">
        <v>0</v>
      </c>
      <c r="AO41">
        <v>1</v>
      </c>
      <c r="AP41">
        <v>0.39</v>
      </c>
      <c r="AQ41">
        <v>0</v>
      </c>
    </row>
    <row r="42" spans="1:43" x14ac:dyDescent="0.25">
      <c r="A42">
        <v>2024</v>
      </c>
      <c r="B42">
        <v>45417</v>
      </c>
      <c r="C42">
        <v>5</v>
      </c>
      <c r="D42">
        <v>25739</v>
      </c>
      <c r="E42">
        <v>30618</v>
      </c>
      <c r="F42" t="s">
        <v>475</v>
      </c>
      <c r="G42">
        <v>0.84064929126657517</v>
      </c>
      <c r="H42" t="s">
        <v>94</v>
      </c>
      <c r="I42" t="s">
        <v>62</v>
      </c>
      <c r="J42">
        <v>18</v>
      </c>
      <c r="K42" t="s">
        <v>484</v>
      </c>
      <c r="L42">
        <v>12</v>
      </c>
      <c r="M42">
        <v>-6</v>
      </c>
      <c r="N42">
        <v>688</v>
      </c>
      <c r="O42" t="s">
        <v>488</v>
      </c>
      <c r="P42">
        <v>3110</v>
      </c>
      <c r="Q42" t="s">
        <v>100</v>
      </c>
      <c r="R42" t="s">
        <v>129</v>
      </c>
      <c r="S42">
        <v>1</v>
      </c>
      <c r="T42">
        <v>3</v>
      </c>
      <c r="U42">
        <v>0</v>
      </c>
      <c r="V42">
        <v>1</v>
      </c>
      <c r="W42">
        <v>3</v>
      </c>
      <c r="X42">
        <v>8</v>
      </c>
      <c r="Y42">
        <v>10</v>
      </c>
      <c r="Z42">
        <v>13</v>
      </c>
      <c r="AA42">
        <v>13</v>
      </c>
      <c r="AB42">
        <v>9</v>
      </c>
      <c r="AC42">
        <v>3</v>
      </c>
      <c r="AD42">
        <v>1</v>
      </c>
      <c r="AE42">
        <v>0</v>
      </c>
      <c r="AF42">
        <v>2</v>
      </c>
      <c r="AG42">
        <v>6</v>
      </c>
      <c r="AH42">
        <v>20</v>
      </c>
      <c r="AI42">
        <v>1</v>
      </c>
      <c r="AJ42">
        <v>8</v>
      </c>
      <c r="AK42">
        <v>-2</v>
      </c>
      <c r="AL42">
        <v>0</v>
      </c>
      <c r="AM42">
        <v>0</v>
      </c>
      <c r="AN42">
        <v>0</v>
      </c>
      <c r="AO42">
        <v>1</v>
      </c>
      <c r="AP42">
        <v>0.25</v>
      </c>
      <c r="AQ42">
        <v>1</v>
      </c>
    </row>
    <row r="43" spans="1:43" x14ac:dyDescent="0.25">
      <c r="A43">
        <v>2024</v>
      </c>
      <c r="B43">
        <v>45417</v>
      </c>
      <c r="C43">
        <v>5</v>
      </c>
      <c r="D43">
        <v>31192</v>
      </c>
      <c r="E43">
        <v>42372</v>
      </c>
      <c r="F43" t="s">
        <v>476</v>
      </c>
      <c r="G43">
        <v>0.73614651184744639</v>
      </c>
      <c r="H43" t="s">
        <v>69</v>
      </c>
      <c r="I43" t="s">
        <v>82</v>
      </c>
      <c r="J43">
        <v>1</v>
      </c>
      <c r="K43" t="s">
        <v>481</v>
      </c>
      <c r="L43">
        <v>17</v>
      </c>
      <c r="M43">
        <v>16</v>
      </c>
      <c r="N43">
        <v>4065</v>
      </c>
      <c r="O43" t="s">
        <v>490</v>
      </c>
      <c r="P43">
        <v>2225</v>
      </c>
      <c r="Q43" t="s">
        <v>104</v>
      </c>
      <c r="R43" t="s">
        <v>100</v>
      </c>
      <c r="S43">
        <v>1</v>
      </c>
      <c r="T43">
        <v>0</v>
      </c>
      <c r="U43">
        <v>1</v>
      </c>
      <c r="V43">
        <v>0</v>
      </c>
      <c r="W43">
        <v>6</v>
      </c>
      <c r="X43">
        <v>5</v>
      </c>
      <c r="Y43">
        <v>11</v>
      </c>
      <c r="Z43">
        <v>9</v>
      </c>
      <c r="AA43">
        <v>9</v>
      </c>
      <c r="AB43">
        <v>11</v>
      </c>
      <c r="AC43">
        <v>2</v>
      </c>
      <c r="AD43">
        <v>6</v>
      </c>
      <c r="AE43">
        <v>3</v>
      </c>
      <c r="AF43">
        <v>3</v>
      </c>
      <c r="AG43">
        <v>26</v>
      </c>
      <c r="AH43">
        <v>7</v>
      </c>
      <c r="AI43">
        <v>13</v>
      </c>
      <c r="AJ43">
        <v>6</v>
      </c>
      <c r="AK43">
        <v>1</v>
      </c>
      <c r="AL43">
        <v>1</v>
      </c>
      <c r="AM43">
        <v>0</v>
      </c>
      <c r="AN43">
        <v>1</v>
      </c>
      <c r="AO43">
        <v>0</v>
      </c>
      <c r="AP43">
        <v>2.3199999999999998</v>
      </c>
      <c r="AQ43">
        <v>0</v>
      </c>
    </row>
    <row r="44" spans="1:43" x14ac:dyDescent="0.25">
      <c r="A44">
        <v>2024</v>
      </c>
      <c r="B44">
        <v>45449</v>
      </c>
      <c r="C44">
        <v>5</v>
      </c>
      <c r="D44">
        <v>5123</v>
      </c>
      <c r="E44">
        <v>23726</v>
      </c>
      <c r="F44" t="s">
        <v>473</v>
      </c>
      <c r="G44">
        <v>0.21592345949591166</v>
      </c>
      <c r="H44" t="s">
        <v>44</v>
      </c>
      <c r="I44" t="s">
        <v>76</v>
      </c>
      <c r="J44">
        <v>11</v>
      </c>
      <c r="K44" t="s">
        <v>483</v>
      </c>
      <c r="L44">
        <v>19</v>
      </c>
      <c r="M44">
        <v>8</v>
      </c>
      <c r="N44">
        <v>810</v>
      </c>
      <c r="O44" t="s">
        <v>488</v>
      </c>
      <c r="P44">
        <v>750</v>
      </c>
      <c r="Q44" t="s">
        <v>105</v>
      </c>
      <c r="R44" t="s">
        <v>128</v>
      </c>
      <c r="S44">
        <v>1</v>
      </c>
      <c r="T44">
        <v>0</v>
      </c>
      <c r="U44">
        <v>1</v>
      </c>
      <c r="V44">
        <v>0</v>
      </c>
      <c r="W44">
        <v>4</v>
      </c>
      <c r="X44">
        <v>7</v>
      </c>
      <c r="Y44">
        <v>13</v>
      </c>
      <c r="Z44">
        <v>12</v>
      </c>
      <c r="AA44">
        <v>11</v>
      </c>
      <c r="AB44">
        <v>12</v>
      </c>
      <c r="AC44">
        <v>5</v>
      </c>
      <c r="AD44">
        <v>1</v>
      </c>
      <c r="AE44">
        <v>1</v>
      </c>
      <c r="AF44">
        <v>1</v>
      </c>
      <c r="AG44">
        <v>8</v>
      </c>
      <c r="AH44">
        <v>22</v>
      </c>
      <c r="AI44">
        <v>5</v>
      </c>
      <c r="AJ44">
        <v>9</v>
      </c>
      <c r="AK44">
        <v>1</v>
      </c>
      <c r="AL44">
        <v>1</v>
      </c>
      <c r="AM44">
        <v>0</v>
      </c>
      <c r="AN44">
        <v>1</v>
      </c>
      <c r="AO44">
        <v>0</v>
      </c>
      <c r="AP44">
        <v>1.25</v>
      </c>
      <c r="AQ44">
        <v>1</v>
      </c>
    </row>
    <row r="45" spans="1:43" x14ac:dyDescent="0.25">
      <c r="A45">
        <v>2024</v>
      </c>
      <c r="B45">
        <v>45533</v>
      </c>
      <c r="C45">
        <v>5</v>
      </c>
      <c r="D45">
        <v>35238</v>
      </c>
      <c r="E45">
        <v>61927</v>
      </c>
      <c r="F45" t="s">
        <v>474</v>
      </c>
      <c r="G45">
        <v>0.56902481954559403</v>
      </c>
      <c r="H45" t="s">
        <v>50</v>
      </c>
      <c r="I45" t="s">
        <v>37</v>
      </c>
      <c r="J45">
        <v>9</v>
      </c>
      <c r="K45" t="s">
        <v>482</v>
      </c>
      <c r="L45">
        <v>8</v>
      </c>
      <c r="M45">
        <v>-1</v>
      </c>
      <c r="N45">
        <v>4120</v>
      </c>
      <c r="O45" t="s">
        <v>490</v>
      </c>
      <c r="P45">
        <v>3045</v>
      </c>
      <c r="Q45">
        <v>28</v>
      </c>
      <c r="R45" t="s">
        <v>163</v>
      </c>
      <c r="S45">
        <v>0</v>
      </c>
      <c r="T45">
        <v>0</v>
      </c>
      <c r="U45">
        <v>0</v>
      </c>
      <c r="V45">
        <v>0</v>
      </c>
      <c r="W45">
        <v>10</v>
      </c>
      <c r="X45">
        <v>3</v>
      </c>
      <c r="Y45">
        <v>12</v>
      </c>
      <c r="Z45">
        <v>13</v>
      </c>
      <c r="AA45">
        <v>12</v>
      </c>
      <c r="AB45">
        <v>11</v>
      </c>
      <c r="AC45">
        <v>0</v>
      </c>
      <c r="AD45">
        <v>4</v>
      </c>
      <c r="AE45">
        <v>1</v>
      </c>
      <c r="AF45">
        <v>1</v>
      </c>
      <c r="AG45">
        <v>19</v>
      </c>
      <c r="AH45">
        <v>1</v>
      </c>
      <c r="AI45">
        <v>12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1.25</v>
      </c>
      <c r="AQ45">
        <v>0</v>
      </c>
    </row>
    <row r="46" spans="1:43" x14ac:dyDescent="0.25">
      <c r="A46">
        <v>2024</v>
      </c>
      <c r="B46">
        <v>45561</v>
      </c>
      <c r="C46">
        <v>5</v>
      </c>
      <c r="D46">
        <v>18457</v>
      </c>
      <c r="E46">
        <v>60540</v>
      </c>
      <c r="F46" t="s">
        <v>473</v>
      </c>
      <c r="G46">
        <v>0.30487281136438721</v>
      </c>
      <c r="H46" t="s">
        <v>83</v>
      </c>
      <c r="I46" t="s">
        <v>43</v>
      </c>
      <c r="J46">
        <v>14</v>
      </c>
      <c r="K46" t="s">
        <v>483</v>
      </c>
      <c r="L46">
        <v>5</v>
      </c>
      <c r="M46">
        <v>-9</v>
      </c>
      <c r="N46">
        <v>4120</v>
      </c>
      <c r="O46" t="s">
        <v>490</v>
      </c>
      <c r="P46">
        <v>735</v>
      </c>
      <c r="Q46" t="s">
        <v>86</v>
      </c>
      <c r="R46" t="s">
        <v>144</v>
      </c>
      <c r="S46">
        <v>1</v>
      </c>
      <c r="T46">
        <v>2</v>
      </c>
      <c r="U46">
        <v>0</v>
      </c>
      <c r="V46">
        <v>1</v>
      </c>
      <c r="W46">
        <v>6</v>
      </c>
      <c r="X46">
        <v>3</v>
      </c>
      <c r="Y46">
        <v>8</v>
      </c>
      <c r="Z46">
        <v>12</v>
      </c>
      <c r="AA46">
        <v>12</v>
      </c>
      <c r="AB46">
        <v>6</v>
      </c>
      <c r="AC46">
        <v>2</v>
      </c>
      <c r="AD46">
        <v>2</v>
      </c>
      <c r="AE46">
        <v>0</v>
      </c>
      <c r="AF46">
        <v>1</v>
      </c>
      <c r="AG46">
        <v>15</v>
      </c>
      <c r="AH46">
        <v>11</v>
      </c>
      <c r="AI46">
        <v>6</v>
      </c>
      <c r="AJ46">
        <v>5</v>
      </c>
      <c r="AK46">
        <v>-1</v>
      </c>
      <c r="AL46">
        <v>0</v>
      </c>
      <c r="AM46">
        <v>0</v>
      </c>
      <c r="AN46">
        <v>0</v>
      </c>
      <c r="AO46">
        <v>1</v>
      </c>
      <c r="AP46">
        <v>1.5</v>
      </c>
      <c r="AQ46">
        <v>0</v>
      </c>
    </row>
    <row r="47" spans="1:43" x14ac:dyDescent="0.25">
      <c r="A47">
        <v>2024</v>
      </c>
      <c r="B47">
        <v>45423</v>
      </c>
      <c r="C47">
        <v>6</v>
      </c>
      <c r="D47">
        <v>56829</v>
      </c>
      <c r="E47">
        <v>78838</v>
      </c>
      <c r="F47" t="s">
        <v>477</v>
      </c>
      <c r="G47">
        <v>0.72083259341941708</v>
      </c>
      <c r="H47" t="s">
        <v>77</v>
      </c>
      <c r="I47" t="s">
        <v>88</v>
      </c>
      <c r="J47">
        <v>4</v>
      </c>
      <c r="K47" t="s">
        <v>481</v>
      </c>
      <c r="L47">
        <v>16</v>
      </c>
      <c r="M47">
        <v>12</v>
      </c>
      <c r="N47">
        <v>9570</v>
      </c>
      <c r="O47" t="s">
        <v>489</v>
      </c>
      <c r="P47">
        <v>2590</v>
      </c>
      <c r="Q47">
        <v>27</v>
      </c>
      <c r="R47" t="s">
        <v>41</v>
      </c>
      <c r="S47">
        <v>2</v>
      </c>
      <c r="T47">
        <v>0</v>
      </c>
      <c r="U47">
        <v>1</v>
      </c>
      <c r="V47">
        <v>0</v>
      </c>
      <c r="W47">
        <v>13</v>
      </c>
      <c r="X47">
        <v>6</v>
      </c>
      <c r="Y47">
        <v>12</v>
      </c>
      <c r="Z47">
        <v>16</v>
      </c>
      <c r="AA47">
        <v>16</v>
      </c>
      <c r="AB47">
        <v>11</v>
      </c>
      <c r="AC47">
        <v>3</v>
      </c>
      <c r="AD47">
        <v>8</v>
      </c>
      <c r="AE47">
        <v>1</v>
      </c>
      <c r="AF47">
        <v>1</v>
      </c>
      <c r="AG47">
        <v>18</v>
      </c>
      <c r="AH47">
        <v>13</v>
      </c>
      <c r="AI47">
        <v>4</v>
      </c>
      <c r="AJ47">
        <v>5</v>
      </c>
      <c r="AK47">
        <v>2</v>
      </c>
      <c r="AL47">
        <v>1</v>
      </c>
      <c r="AM47">
        <v>0</v>
      </c>
      <c r="AN47">
        <v>1</v>
      </c>
      <c r="AO47">
        <v>0</v>
      </c>
      <c r="AP47">
        <v>1.7</v>
      </c>
      <c r="AQ47">
        <v>0</v>
      </c>
    </row>
    <row r="48" spans="1:43" x14ac:dyDescent="0.25">
      <c r="A48">
        <v>2024</v>
      </c>
      <c r="B48">
        <v>45424</v>
      </c>
      <c r="C48">
        <v>6</v>
      </c>
      <c r="D48">
        <v>15914</v>
      </c>
      <c r="E48">
        <v>60326</v>
      </c>
      <c r="F48" t="s">
        <v>473</v>
      </c>
      <c r="G48">
        <v>0.26380001989192059</v>
      </c>
      <c r="H48" t="s">
        <v>63</v>
      </c>
      <c r="I48" t="s">
        <v>51</v>
      </c>
      <c r="J48">
        <v>13</v>
      </c>
      <c r="K48" t="s">
        <v>483</v>
      </c>
      <c r="L48">
        <v>7</v>
      </c>
      <c r="M48">
        <v>-6</v>
      </c>
      <c r="N48">
        <v>1495</v>
      </c>
      <c r="O48" t="s">
        <v>488</v>
      </c>
      <c r="P48">
        <v>3210</v>
      </c>
      <c r="Q48" t="s">
        <v>166</v>
      </c>
      <c r="R48" t="s">
        <v>120</v>
      </c>
      <c r="S48">
        <v>1</v>
      </c>
      <c r="T48">
        <v>1</v>
      </c>
      <c r="U48">
        <v>1</v>
      </c>
      <c r="V48">
        <v>1</v>
      </c>
      <c r="W48">
        <v>6</v>
      </c>
      <c r="X48">
        <v>5</v>
      </c>
      <c r="Y48">
        <v>12</v>
      </c>
      <c r="Z48">
        <v>19</v>
      </c>
      <c r="AA48">
        <v>18</v>
      </c>
      <c r="AB48">
        <v>10</v>
      </c>
      <c r="AC48">
        <v>4</v>
      </c>
      <c r="AD48">
        <v>2</v>
      </c>
      <c r="AE48">
        <v>5</v>
      </c>
      <c r="AF48">
        <v>0</v>
      </c>
      <c r="AG48">
        <v>10</v>
      </c>
      <c r="AH48">
        <v>11</v>
      </c>
      <c r="AI48">
        <v>5</v>
      </c>
      <c r="AJ48">
        <v>5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0.61</v>
      </c>
      <c r="AQ48">
        <v>0</v>
      </c>
    </row>
    <row r="49" spans="1:43" x14ac:dyDescent="0.25">
      <c r="A49">
        <v>2024</v>
      </c>
      <c r="B49">
        <v>45424</v>
      </c>
      <c r="C49">
        <v>6</v>
      </c>
      <c r="D49">
        <v>11084</v>
      </c>
      <c r="E49">
        <v>24584</v>
      </c>
      <c r="F49" t="s">
        <v>477</v>
      </c>
      <c r="G49">
        <v>0.45086234949560688</v>
      </c>
      <c r="H49" t="s">
        <v>82</v>
      </c>
      <c r="I49" t="s">
        <v>94</v>
      </c>
      <c r="J49">
        <v>15</v>
      </c>
      <c r="K49" t="s">
        <v>483</v>
      </c>
      <c r="L49">
        <v>19</v>
      </c>
      <c r="M49">
        <v>4</v>
      </c>
      <c r="N49">
        <v>3085</v>
      </c>
      <c r="O49" t="s">
        <v>487</v>
      </c>
      <c r="P49">
        <v>1250</v>
      </c>
      <c r="Q49" t="s">
        <v>111</v>
      </c>
      <c r="R49" t="s">
        <v>151</v>
      </c>
      <c r="S49">
        <v>2</v>
      </c>
      <c r="T49">
        <v>1</v>
      </c>
      <c r="U49">
        <v>0</v>
      </c>
      <c r="V49">
        <v>0</v>
      </c>
      <c r="W49">
        <v>4</v>
      </c>
      <c r="X49">
        <v>4</v>
      </c>
      <c r="Y49">
        <v>12</v>
      </c>
      <c r="Z49">
        <v>12</v>
      </c>
      <c r="AA49">
        <v>12</v>
      </c>
      <c r="AB49">
        <v>12</v>
      </c>
      <c r="AC49">
        <v>4</v>
      </c>
      <c r="AD49">
        <v>6</v>
      </c>
      <c r="AE49">
        <v>1</v>
      </c>
      <c r="AF49">
        <v>0</v>
      </c>
      <c r="AG49">
        <v>17</v>
      </c>
      <c r="AH49">
        <v>13</v>
      </c>
      <c r="AI49">
        <v>3</v>
      </c>
      <c r="AJ49">
        <v>5</v>
      </c>
      <c r="AK49">
        <v>1</v>
      </c>
      <c r="AL49">
        <v>1</v>
      </c>
      <c r="AM49">
        <v>0</v>
      </c>
      <c r="AN49">
        <v>1</v>
      </c>
      <c r="AO49">
        <v>0</v>
      </c>
      <c r="AP49">
        <v>1.69</v>
      </c>
      <c r="AQ49">
        <v>0</v>
      </c>
    </row>
    <row r="50" spans="1:43" x14ac:dyDescent="0.25">
      <c r="A50">
        <v>2024</v>
      </c>
      <c r="B50">
        <v>45424</v>
      </c>
      <c r="C50">
        <v>6</v>
      </c>
      <c r="D50">
        <v>12108</v>
      </c>
      <c r="E50">
        <v>32713</v>
      </c>
      <c r="F50" t="s">
        <v>475</v>
      </c>
      <c r="G50">
        <v>0.37012808363647481</v>
      </c>
      <c r="H50" t="s">
        <v>95</v>
      </c>
      <c r="I50" t="s">
        <v>69</v>
      </c>
      <c r="J50">
        <v>11</v>
      </c>
      <c r="K50" t="s">
        <v>483</v>
      </c>
      <c r="L50">
        <v>1</v>
      </c>
      <c r="M50">
        <v>-10</v>
      </c>
      <c r="N50">
        <v>13600</v>
      </c>
      <c r="O50" t="s">
        <v>489</v>
      </c>
      <c r="P50">
        <v>3685</v>
      </c>
      <c r="Q50" t="s">
        <v>41</v>
      </c>
      <c r="R50" t="s">
        <v>168</v>
      </c>
      <c r="S50">
        <v>0</v>
      </c>
      <c r="T50">
        <v>2</v>
      </c>
      <c r="U50">
        <v>0</v>
      </c>
      <c r="V50">
        <v>1</v>
      </c>
      <c r="W50">
        <v>9</v>
      </c>
      <c r="X50">
        <v>6</v>
      </c>
      <c r="Y50">
        <v>11</v>
      </c>
      <c r="Z50">
        <v>17</v>
      </c>
      <c r="AA50">
        <v>17</v>
      </c>
      <c r="AB50">
        <v>9</v>
      </c>
      <c r="AC50">
        <v>5</v>
      </c>
      <c r="AD50">
        <v>5</v>
      </c>
      <c r="AE50">
        <v>1</v>
      </c>
      <c r="AF50">
        <v>1</v>
      </c>
      <c r="AG50">
        <v>23</v>
      </c>
      <c r="AH50">
        <v>11</v>
      </c>
      <c r="AI50">
        <v>11</v>
      </c>
      <c r="AJ50">
        <v>2</v>
      </c>
      <c r="AK50">
        <v>-2</v>
      </c>
      <c r="AL50">
        <v>0</v>
      </c>
      <c r="AM50">
        <v>0</v>
      </c>
      <c r="AN50">
        <v>0</v>
      </c>
      <c r="AO50">
        <v>1</v>
      </c>
      <c r="AP50">
        <v>1.99</v>
      </c>
      <c r="AQ50">
        <v>0</v>
      </c>
    </row>
    <row r="51" spans="1:43" x14ac:dyDescent="0.25">
      <c r="A51">
        <v>2024</v>
      </c>
      <c r="B51">
        <v>45424</v>
      </c>
      <c r="C51">
        <v>6</v>
      </c>
      <c r="D51">
        <v>7576</v>
      </c>
      <c r="E51">
        <v>13000</v>
      </c>
      <c r="F51" t="s">
        <v>475</v>
      </c>
      <c r="G51">
        <v>0.58276923076923082</v>
      </c>
      <c r="H51" t="s">
        <v>76</v>
      </c>
      <c r="I51" t="s">
        <v>50</v>
      </c>
      <c r="J51">
        <v>20</v>
      </c>
      <c r="K51" t="s">
        <v>484</v>
      </c>
      <c r="L51">
        <v>6</v>
      </c>
      <c r="M51">
        <v>-14</v>
      </c>
      <c r="N51">
        <v>840</v>
      </c>
      <c r="O51" t="s">
        <v>488</v>
      </c>
      <c r="P51">
        <v>2865</v>
      </c>
      <c r="Q51" t="s">
        <v>104</v>
      </c>
      <c r="R51" t="s">
        <v>73</v>
      </c>
      <c r="S51">
        <v>0</v>
      </c>
      <c r="T51">
        <v>1</v>
      </c>
      <c r="U51">
        <v>0</v>
      </c>
      <c r="V51">
        <v>0</v>
      </c>
      <c r="W51">
        <v>5</v>
      </c>
      <c r="X51">
        <v>5</v>
      </c>
      <c r="Y51">
        <v>13</v>
      </c>
      <c r="Z51">
        <v>10</v>
      </c>
      <c r="AA51">
        <v>9</v>
      </c>
      <c r="AB51">
        <v>12</v>
      </c>
      <c r="AC51">
        <v>3</v>
      </c>
      <c r="AD51">
        <v>5</v>
      </c>
      <c r="AE51">
        <v>0</v>
      </c>
      <c r="AF51">
        <v>2</v>
      </c>
      <c r="AG51">
        <v>17</v>
      </c>
      <c r="AH51">
        <v>12</v>
      </c>
      <c r="AI51">
        <v>6</v>
      </c>
      <c r="AJ51">
        <v>3</v>
      </c>
      <c r="AK51">
        <v>-1</v>
      </c>
      <c r="AL51">
        <v>0</v>
      </c>
      <c r="AM51">
        <v>0</v>
      </c>
      <c r="AN51">
        <v>0</v>
      </c>
      <c r="AO51">
        <v>1</v>
      </c>
      <c r="AP51">
        <v>1.48</v>
      </c>
      <c r="AQ51">
        <v>0</v>
      </c>
    </row>
    <row r="52" spans="1:43" x14ac:dyDescent="0.25">
      <c r="A52">
        <v>2024</v>
      </c>
      <c r="B52">
        <v>45424</v>
      </c>
      <c r="C52">
        <v>6</v>
      </c>
      <c r="D52">
        <v>36820</v>
      </c>
      <c r="E52">
        <v>47364</v>
      </c>
      <c r="F52" t="s">
        <v>474</v>
      </c>
      <c r="G52">
        <v>0.7773836669200237</v>
      </c>
      <c r="H52" t="s">
        <v>38</v>
      </c>
      <c r="I52" t="s">
        <v>56</v>
      </c>
      <c r="J52">
        <v>2</v>
      </c>
      <c r="K52" t="s">
        <v>481</v>
      </c>
      <c r="L52">
        <v>10</v>
      </c>
      <c r="M52">
        <v>8</v>
      </c>
      <c r="N52">
        <v>3120</v>
      </c>
      <c r="O52" t="s">
        <v>487</v>
      </c>
      <c r="P52">
        <v>4390</v>
      </c>
      <c r="Q52" t="s">
        <v>137</v>
      </c>
      <c r="R52" t="s">
        <v>171</v>
      </c>
      <c r="S52">
        <v>1</v>
      </c>
      <c r="T52">
        <v>0</v>
      </c>
      <c r="U52">
        <v>1</v>
      </c>
      <c r="V52">
        <v>0</v>
      </c>
      <c r="W52">
        <v>6</v>
      </c>
      <c r="X52">
        <v>7</v>
      </c>
      <c r="Y52">
        <v>12</v>
      </c>
      <c r="Z52">
        <v>15</v>
      </c>
      <c r="AA52">
        <v>14</v>
      </c>
      <c r="AB52">
        <v>10</v>
      </c>
      <c r="AC52">
        <v>5</v>
      </c>
      <c r="AD52">
        <v>2</v>
      </c>
      <c r="AE52">
        <v>4</v>
      </c>
      <c r="AF52">
        <v>3</v>
      </c>
      <c r="AG52">
        <v>8</v>
      </c>
      <c r="AH52">
        <v>15</v>
      </c>
      <c r="AI52">
        <v>3</v>
      </c>
      <c r="AJ52">
        <v>6</v>
      </c>
      <c r="AK52">
        <v>1</v>
      </c>
      <c r="AL52">
        <v>1</v>
      </c>
      <c r="AM52">
        <v>0</v>
      </c>
      <c r="AN52">
        <v>1</v>
      </c>
      <c r="AO52">
        <v>0</v>
      </c>
      <c r="AP52">
        <v>0.61</v>
      </c>
      <c r="AQ52">
        <v>0</v>
      </c>
    </row>
    <row r="53" spans="1:43" x14ac:dyDescent="0.25">
      <c r="A53">
        <v>2024</v>
      </c>
      <c r="B53">
        <v>45426</v>
      </c>
      <c r="C53">
        <v>6</v>
      </c>
      <c r="D53">
        <v>39515</v>
      </c>
      <c r="E53">
        <v>72039</v>
      </c>
      <c r="F53" t="s">
        <v>473</v>
      </c>
      <c r="G53">
        <v>0.54852232818334512</v>
      </c>
      <c r="H53" t="s">
        <v>62</v>
      </c>
      <c r="I53" t="s">
        <v>55</v>
      </c>
      <c r="J53">
        <v>8</v>
      </c>
      <c r="K53" t="s">
        <v>482</v>
      </c>
      <c r="L53">
        <v>17</v>
      </c>
      <c r="M53">
        <v>9</v>
      </c>
      <c r="N53">
        <v>2810</v>
      </c>
      <c r="O53" t="s">
        <v>487</v>
      </c>
      <c r="P53">
        <v>4595</v>
      </c>
      <c r="Q53" t="s">
        <v>114</v>
      </c>
      <c r="R53" t="s">
        <v>137</v>
      </c>
      <c r="S53">
        <v>2</v>
      </c>
      <c r="T53">
        <v>1</v>
      </c>
      <c r="U53">
        <v>1</v>
      </c>
      <c r="V53">
        <v>1</v>
      </c>
      <c r="W53">
        <v>7</v>
      </c>
      <c r="X53">
        <v>4</v>
      </c>
      <c r="Y53">
        <v>15</v>
      </c>
      <c r="Z53">
        <v>12</v>
      </c>
      <c r="AA53">
        <v>11</v>
      </c>
      <c r="AB53">
        <v>13</v>
      </c>
      <c r="AC53">
        <v>2</v>
      </c>
      <c r="AD53">
        <v>6</v>
      </c>
      <c r="AE53">
        <v>4</v>
      </c>
      <c r="AF53">
        <v>0</v>
      </c>
      <c r="AG53">
        <v>15</v>
      </c>
      <c r="AH53">
        <v>7</v>
      </c>
      <c r="AI53">
        <v>4</v>
      </c>
      <c r="AJ53">
        <v>4</v>
      </c>
      <c r="AK53">
        <v>1</v>
      </c>
      <c r="AL53">
        <v>1</v>
      </c>
      <c r="AM53">
        <v>0</v>
      </c>
      <c r="AN53">
        <v>1</v>
      </c>
      <c r="AO53">
        <v>0</v>
      </c>
      <c r="AP53">
        <v>1.77</v>
      </c>
      <c r="AQ53">
        <v>0</v>
      </c>
    </row>
    <row r="54" spans="1:43" x14ac:dyDescent="0.25">
      <c r="A54">
        <v>2024</v>
      </c>
      <c r="B54">
        <v>45519</v>
      </c>
      <c r="C54">
        <v>6</v>
      </c>
      <c r="D54">
        <v>11920</v>
      </c>
      <c r="E54">
        <v>50848</v>
      </c>
      <c r="F54" t="s">
        <v>473</v>
      </c>
      <c r="G54">
        <v>0.23442416614222783</v>
      </c>
      <c r="H54" t="s">
        <v>37</v>
      </c>
      <c r="I54" t="s">
        <v>44</v>
      </c>
      <c r="J54">
        <v>5</v>
      </c>
      <c r="K54" t="s">
        <v>481</v>
      </c>
      <c r="L54">
        <v>12</v>
      </c>
      <c r="M54">
        <v>7</v>
      </c>
      <c r="N54">
        <v>2655</v>
      </c>
      <c r="O54" t="s">
        <v>487</v>
      </c>
      <c r="P54">
        <v>945</v>
      </c>
      <c r="Q54" t="s">
        <v>168</v>
      </c>
      <c r="R54" t="s">
        <v>111</v>
      </c>
      <c r="S54">
        <v>2</v>
      </c>
      <c r="T54">
        <v>1</v>
      </c>
      <c r="U54">
        <v>0</v>
      </c>
      <c r="V54">
        <v>1</v>
      </c>
      <c r="W54">
        <v>8</v>
      </c>
      <c r="X54">
        <v>1</v>
      </c>
      <c r="Y54">
        <v>19</v>
      </c>
      <c r="Z54">
        <v>17</v>
      </c>
      <c r="AA54">
        <v>16</v>
      </c>
      <c r="AB54">
        <v>19</v>
      </c>
      <c r="AC54">
        <v>2</v>
      </c>
      <c r="AD54">
        <v>8</v>
      </c>
      <c r="AE54">
        <v>1</v>
      </c>
      <c r="AF54">
        <v>0</v>
      </c>
      <c r="AG54">
        <v>21</v>
      </c>
      <c r="AH54">
        <v>8</v>
      </c>
      <c r="AI54">
        <v>7</v>
      </c>
      <c r="AJ54">
        <v>4</v>
      </c>
      <c r="AK54">
        <v>1</v>
      </c>
      <c r="AL54">
        <v>1</v>
      </c>
      <c r="AM54">
        <v>0</v>
      </c>
      <c r="AN54">
        <v>1</v>
      </c>
      <c r="AO54">
        <v>0</v>
      </c>
      <c r="AP54">
        <v>3.42</v>
      </c>
      <c r="AQ54">
        <v>0</v>
      </c>
    </row>
    <row r="55" spans="1:43" x14ac:dyDescent="0.25">
      <c r="A55">
        <v>2024</v>
      </c>
      <c r="B55">
        <v>45575</v>
      </c>
      <c r="C55">
        <v>6</v>
      </c>
      <c r="D55">
        <v>22053</v>
      </c>
      <c r="E55">
        <v>46000</v>
      </c>
      <c r="F55" t="s">
        <v>475</v>
      </c>
      <c r="G55">
        <v>0.47941304347826086</v>
      </c>
      <c r="H55" t="s">
        <v>89</v>
      </c>
      <c r="I55" t="s">
        <v>83</v>
      </c>
      <c r="J55">
        <v>3</v>
      </c>
      <c r="K55" t="s">
        <v>481</v>
      </c>
      <c r="L55">
        <v>14</v>
      </c>
      <c r="M55">
        <v>11</v>
      </c>
      <c r="N55">
        <v>4760</v>
      </c>
      <c r="O55" t="s">
        <v>490</v>
      </c>
      <c r="P55">
        <v>2910</v>
      </c>
      <c r="Q55" t="s">
        <v>174</v>
      </c>
      <c r="R55" t="s">
        <v>166</v>
      </c>
      <c r="S55">
        <v>2</v>
      </c>
      <c r="T55">
        <v>1</v>
      </c>
      <c r="U55">
        <v>2</v>
      </c>
      <c r="V55">
        <v>1</v>
      </c>
      <c r="W55">
        <v>4</v>
      </c>
      <c r="X55">
        <v>10</v>
      </c>
      <c r="Y55">
        <v>15</v>
      </c>
      <c r="Z55">
        <v>7</v>
      </c>
      <c r="AA55">
        <v>6</v>
      </c>
      <c r="AB55">
        <v>14</v>
      </c>
      <c r="AC55">
        <v>3</v>
      </c>
      <c r="AD55">
        <v>3</v>
      </c>
      <c r="AE55">
        <v>0</v>
      </c>
      <c r="AF55">
        <v>1</v>
      </c>
      <c r="AG55">
        <v>14</v>
      </c>
      <c r="AH55">
        <v>14</v>
      </c>
      <c r="AI55">
        <v>7</v>
      </c>
      <c r="AJ55">
        <v>5</v>
      </c>
      <c r="AK55">
        <v>1</v>
      </c>
      <c r="AL55">
        <v>1</v>
      </c>
      <c r="AM55">
        <v>0</v>
      </c>
      <c r="AN55">
        <v>1</v>
      </c>
      <c r="AO55">
        <v>0</v>
      </c>
      <c r="AP55">
        <v>1.83</v>
      </c>
      <c r="AQ55">
        <v>0</v>
      </c>
    </row>
    <row r="56" spans="1:43" x14ac:dyDescent="0.25">
      <c r="A56">
        <v>2024</v>
      </c>
      <c r="B56">
        <v>45444</v>
      </c>
      <c r="C56">
        <v>7</v>
      </c>
      <c r="D56">
        <v>7563</v>
      </c>
      <c r="E56">
        <v>60540</v>
      </c>
      <c r="F56" t="s">
        <v>476</v>
      </c>
      <c r="G56">
        <v>0.12492566897918732</v>
      </c>
      <c r="H56" t="s">
        <v>83</v>
      </c>
      <c r="I56" t="s">
        <v>56</v>
      </c>
      <c r="J56">
        <v>14</v>
      </c>
      <c r="K56" t="s">
        <v>483</v>
      </c>
      <c r="L56">
        <v>8</v>
      </c>
      <c r="M56">
        <v>-6</v>
      </c>
      <c r="N56">
        <v>2960</v>
      </c>
      <c r="O56" t="s">
        <v>487</v>
      </c>
      <c r="P56">
        <v>4550</v>
      </c>
      <c r="Q56" t="s">
        <v>120</v>
      </c>
      <c r="R56" t="s">
        <v>176</v>
      </c>
      <c r="S56">
        <v>0</v>
      </c>
      <c r="T56">
        <v>2</v>
      </c>
      <c r="U56">
        <v>0</v>
      </c>
      <c r="V56">
        <v>1</v>
      </c>
      <c r="W56">
        <v>6</v>
      </c>
      <c r="X56">
        <v>0</v>
      </c>
      <c r="Y56">
        <v>16</v>
      </c>
      <c r="Z56">
        <v>19</v>
      </c>
      <c r="AA56">
        <v>19</v>
      </c>
      <c r="AB56">
        <v>15</v>
      </c>
      <c r="AC56">
        <v>2</v>
      </c>
      <c r="AD56">
        <v>1</v>
      </c>
      <c r="AE56">
        <v>0</v>
      </c>
      <c r="AF56">
        <v>1</v>
      </c>
      <c r="AG56">
        <v>9</v>
      </c>
      <c r="AH56">
        <v>14</v>
      </c>
      <c r="AI56">
        <v>4</v>
      </c>
      <c r="AJ56">
        <v>7</v>
      </c>
      <c r="AK56">
        <v>-2</v>
      </c>
      <c r="AL56">
        <v>0</v>
      </c>
      <c r="AM56">
        <v>0</v>
      </c>
      <c r="AN56">
        <v>0</v>
      </c>
      <c r="AO56">
        <v>1</v>
      </c>
      <c r="AP56">
        <v>0.82</v>
      </c>
      <c r="AQ56">
        <v>0</v>
      </c>
    </row>
    <row r="57" spans="1:43" x14ac:dyDescent="0.25">
      <c r="A57">
        <v>2024</v>
      </c>
      <c r="B57">
        <v>45444</v>
      </c>
      <c r="C57">
        <v>7</v>
      </c>
      <c r="D57">
        <v>5747</v>
      </c>
      <c r="E57">
        <v>42968</v>
      </c>
      <c r="F57" t="s">
        <v>474</v>
      </c>
      <c r="G57">
        <v>0.13375069819400484</v>
      </c>
      <c r="H57" t="s">
        <v>70</v>
      </c>
      <c r="I57" t="s">
        <v>37</v>
      </c>
      <c r="J57">
        <v>19</v>
      </c>
      <c r="K57" t="s">
        <v>484</v>
      </c>
      <c r="L57">
        <v>3</v>
      </c>
      <c r="M57">
        <v>-16</v>
      </c>
      <c r="N57">
        <v>1485</v>
      </c>
      <c r="O57" t="s">
        <v>488</v>
      </c>
      <c r="P57">
        <v>5615</v>
      </c>
      <c r="Q57">
        <v>28</v>
      </c>
      <c r="R57" t="s">
        <v>105</v>
      </c>
      <c r="S57">
        <v>0</v>
      </c>
      <c r="T57">
        <v>1</v>
      </c>
      <c r="U57">
        <v>0</v>
      </c>
      <c r="V57">
        <v>0</v>
      </c>
      <c r="W57">
        <v>0</v>
      </c>
      <c r="X57">
        <v>2</v>
      </c>
      <c r="Y57">
        <v>12</v>
      </c>
      <c r="Z57">
        <v>21</v>
      </c>
      <c r="AA57">
        <v>21</v>
      </c>
      <c r="AB57">
        <v>11</v>
      </c>
      <c r="AC57">
        <v>1</v>
      </c>
      <c r="AD57">
        <v>3</v>
      </c>
      <c r="AE57">
        <v>4</v>
      </c>
      <c r="AF57">
        <v>1</v>
      </c>
      <c r="AG57">
        <v>8</v>
      </c>
      <c r="AH57">
        <v>9</v>
      </c>
      <c r="AI57">
        <v>4</v>
      </c>
      <c r="AJ57">
        <v>3</v>
      </c>
      <c r="AK57">
        <v>-1</v>
      </c>
      <c r="AL57">
        <v>0</v>
      </c>
      <c r="AM57">
        <v>0</v>
      </c>
      <c r="AN57">
        <v>0</v>
      </c>
      <c r="AO57">
        <v>1</v>
      </c>
      <c r="AP57">
        <v>0.44</v>
      </c>
      <c r="AQ57">
        <v>0</v>
      </c>
    </row>
    <row r="58" spans="1:43" x14ac:dyDescent="0.25">
      <c r="A58">
        <v>2024</v>
      </c>
      <c r="B58">
        <v>45444</v>
      </c>
      <c r="C58">
        <v>7</v>
      </c>
      <c r="D58">
        <v>16008</v>
      </c>
      <c r="E58">
        <v>30618</v>
      </c>
      <c r="F58" t="s">
        <v>474</v>
      </c>
      <c r="G58">
        <v>0.52282970801489315</v>
      </c>
      <c r="H58" t="s">
        <v>94</v>
      </c>
      <c r="I58" t="s">
        <v>76</v>
      </c>
      <c r="J58">
        <v>20</v>
      </c>
      <c r="K58" t="s">
        <v>484</v>
      </c>
      <c r="L58">
        <v>18</v>
      </c>
      <c r="M58">
        <v>-2</v>
      </c>
      <c r="N58">
        <v>1140</v>
      </c>
      <c r="O58" t="s">
        <v>488</v>
      </c>
      <c r="P58">
        <v>750</v>
      </c>
      <c r="Q58" t="s">
        <v>117</v>
      </c>
      <c r="R58" t="s">
        <v>128</v>
      </c>
      <c r="S58">
        <v>0</v>
      </c>
      <c r="T58">
        <v>2</v>
      </c>
      <c r="U58">
        <v>0</v>
      </c>
      <c r="V58">
        <v>1</v>
      </c>
      <c r="W58">
        <v>3</v>
      </c>
      <c r="X58">
        <v>4</v>
      </c>
      <c r="Y58">
        <v>7</v>
      </c>
      <c r="Z58">
        <v>9</v>
      </c>
      <c r="AA58">
        <v>9</v>
      </c>
      <c r="AB58">
        <v>7</v>
      </c>
      <c r="AC58">
        <v>3</v>
      </c>
      <c r="AD58">
        <v>3</v>
      </c>
      <c r="AE58">
        <v>0</v>
      </c>
      <c r="AF58">
        <v>1</v>
      </c>
      <c r="AG58">
        <v>12</v>
      </c>
      <c r="AH58">
        <v>12</v>
      </c>
      <c r="AI58">
        <v>4</v>
      </c>
      <c r="AJ58">
        <v>5</v>
      </c>
      <c r="AK58">
        <v>-2</v>
      </c>
      <c r="AL58">
        <v>0</v>
      </c>
      <c r="AM58">
        <v>0</v>
      </c>
      <c r="AN58">
        <v>0</v>
      </c>
      <c r="AO58">
        <v>1</v>
      </c>
      <c r="AP58">
        <v>0.57999999999999996</v>
      </c>
      <c r="AQ58">
        <v>1</v>
      </c>
    </row>
    <row r="59" spans="1:43" x14ac:dyDescent="0.25">
      <c r="A59">
        <v>2024</v>
      </c>
      <c r="B59">
        <v>45444</v>
      </c>
      <c r="C59">
        <v>7</v>
      </c>
      <c r="D59">
        <v>21037</v>
      </c>
      <c r="E59">
        <v>82238</v>
      </c>
      <c r="F59" t="s">
        <v>477</v>
      </c>
      <c r="G59">
        <v>0.25580631824703909</v>
      </c>
      <c r="H59" t="s">
        <v>55</v>
      </c>
      <c r="I59" t="s">
        <v>44</v>
      </c>
      <c r="J59">
        <v>16</v>
      </c>
      <c r="K59" t="s">
        <v>484</v>
      </c>
      <c r="L59">
        <v>13</v>
      </c>
      <c r="M59">
        <v>-3</v>
      </c>
      <c r="N59">
        <v>4505</v>
      </c>
      <c r="O59" t="s">
        <v>490</v>
      </c>
      <c r="P59">
        <v>815</v>
      </c>
      <c r="Q59" t="s">
        <v>179</v>
      </c>
      <c r="R59" t="s">
        <v>86</v>
      </c>
      <c r="S59">
        <v>1</v>
      </c>
      <c r="T59">
        <v>1</v>
      </c>
      <c r="U59">
        <v>1</v>
      </c>
      <c r="V59">
        <v>0</v>
      </c>
      <c r="W59">
        <v>5</v>
      </c>
      <c r="X59">
        <v>3</v>
      </c>
      <c r="Y59">
        <v>13</v>
      </c>
      <c r="Z59">
        <v>19</v>
      </c>
      <c r="AA59">
        <v>19</v>
      </c>
      <c r="AB59">
        <v>13</v>
      </c>
      <c r="AC59">
        <v>2</v>
      </c>
      <c r="AD59">
        <v>3</v>
      </c>
      <c r="AE59">
        <v>1</v>
      </c>
      <c r="AF59">
        <v>3</v>
      </c>
      <c r="AG59">
        <v>17</v>
      </c>
      <c r="AH59">
        <v>12</v>
      </c>
      <c r="AI59">
        <v>8</v>
      </c>
      <c r="AJ59">
        <v>5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2.34</v>
      </c>
      <c r="AQ59">
        <v>0</v>
      </c>
    </row>
    <row r="60" spans="1:43" x14ac:dyDescent="0.25">
      <c r="A60">
        <v>2024</v>
      </c>
      <c r="B60">
        <v>45445</v>
      </c>
      <c r="C60">
        <v>7</v>
      </c>
      <c r="D60">
        <v>37994</v>
      </c>
      <c r="E60">
        <v>46000</v>
      </c>
      <c r="F60" t="s">
        <v>476</v>
      </c>
      <c r="G60">
        <v>0.82595652173913048</v>
      </c>
      <c r="H60" t="s">
        <v>89</v>
      </c>
      <c r="I60" t="s">
        <v>38</v>
      </c>
      <c r="J60">
        <v>7</v>
      </c>
      <c r="K60" t="s">
        <v>482</v>
      </c>
      <c r="L60">
        <v>2</v>
      </c>
      <c r="M60">
        <v>-5</v>
      </c>
      <c r="N60">
        <v>5450</v>
      </c>
      <c r="O60" t="s">
        <v>490</v>
      </c>
      <c r="P60">
        <v>3120</v>
      </c>
      <c r="Q60" t="s">
        <v>129</v>
      </c>
      <c r="R60" t="s">
        <v>137</v>
      </c>
      <c r="S60">
        <v>1</v>
      </c>
      <c r="T60">
        <v>1</v>
      </c>
      <c r="U60">
        <v>0</v>
      </c>
      <c r="V60">
        <v>0</v>
      </c>
      <c r="W60">
        <v>5</v>
      </c>
      <c r="X60">
        <v>4</v>
      </c>
      <c r="Y60">
        <v>13</v>
      </c>
      <c r="Z60">
        <v>9</v>
      </c>
      <c r="AA60">
        <v>8</v>
      </c>
      <c r="AB60">
        <v>13</v>
      </c>
      <c r="AC60">
        <v>1</v>
      </c>
      <c r="AD60">
        <v>3</v>
      </c>
      <c r="AE60">
        <v>6</v>
      </c>
      <c r="AF60">
        <v>0</v>
      </c>
      <c r="AG60">
        <v>20</v>
      </c>
      <c r="AH60">
        <v>9</v>
      </c>
      <c r="AI60">
        <v>11</v>
      </c>
      <c r="AJ60">
        <v>4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1.02</v>
      </c>
      <c r="AQ60">
        <v>0</v>
      </c>
    </row>
    <row r="61" spans="1:43" x14ac:dyDescent="0.25">
      <c r="A61">
        <v>2024</v>
      </c>
      <c r="B61">
        <v>45445</v>
      </c>
      <c r="C61">
        <v>7</v>
      </c>
      <c r="D61">
        <v>44928</v>
      </c>
      <c r="E61">
        <v>72039</v>
      </c>
      <c r="F61" t="s">
        <v>473</v>
      </c>
      <c r="G61">
        <v>0.62366218298421683</v>
      </c>
      <c r="H61" t="s">
        <v>62</v>
      </c>
      <c r="I61" t="s">
        <v>50</v>
      </c>
      <c r="J61">
        <v>5</v>
      </c>
      <c r="K61" t="s">
        <v>481</v>
      </c>
      <c r="L61">
        <v>10</v>
      </c>
      <c r="M61">
        <v>5</v>
      </c>
      <c r="N61">
        <v>3310</v>
      </c>
      <c r="O61" t="s">
        <v>487</v>
      </c>
      <c r="P61">
        <v>3365</v>
      </c>
      <c r="Q61" t="s">
        <v>114</v>
      </c>
      <c r="R61" t="s">
        <v>114</v>
      </c>
      <c r="S61">
        <v>2</v>
      </c>
      <c r="T61">
        <v>0</v>
      </c>
      <c r="U61">
        <v>1</v>
      </c>
      <c r="V61">
        <v>0</v>
      </c>
      <c r="W61">
        <v>4</v>
      </c>
      <c r="X61">
        <v>2</v>
      </c>
      <c r="Y61">
        <v>18</v>
      </c>
      <c r="Z61">
        <v>11</v>
      </c>
      <c r="AA61">
        <v>11</v>
      </c>
      <c r="AB61">
        <v>17</v>
      </c>
      <c r="AC61">
        <v>3</v>
      </c>
      <c r="AD61">
        <v>2</v>
      </c>
      <c r="AE61">
        <v>0</v>
      </c>
      <c r="AF61">
        <v>1</v>
      </c>
      <c r="AG61">
        <v>11</v>
      </c>
      <c r="AH61">
        <v>10</v>
      </c>
      <c r="AI61">
        <v>6</v>
      </c>
      <c r="AJ61">
        <v>5</v>
      </c>
      <c r="AK61">
        <v>2</v>
      </c>
      <c r="AL61">
        <v>1</v>
      </c>
      <c r="AM61">
        <v>0</v>
      </c>
      <c r="AN61">
        <v>1</v>
      </c>
      <c r="AO61">
        <v>0</v>
      </c>
      <c r="AP61">
        <v>0.56999999999999995</v>
      </c>
      <c r="AQ61">
        <v>0</v>
      </c>
    </row>
    <row r="62" spans="1:43" x14ac:dyDescent="0.25">
      <c r="A62">
        <v>2024</v>
      </c>
      <c r="B62">
        <v>45445</v>
      </c>
      <c r="C62">
        <v>7</v>
      </c>
      <c r="D62">
        <v>19027</v>
      </c>
      <c r="E62">
        <v>19225</v>
      </c>
      <c r="F62" t="s">
        <v>473</v>
      </c>
      <c r="G62">
        <v>0.98970091027308194</v>
      </c>
      <c r="H62" t="s">
        <v>43</v>
      </c>
      <c r="I62" t="s">
        <v>95</v>
      </c>
      <c r="J62">
        <v>12</v>
      </c>
      <c r="K62" t="s">
        <v>483</v>
      </c>
      <c r="L62">
        <v>9</v>
      </c>
      <c r="M62">
        <v>-3</v>
      </c>
      <c r="N62">
        <v>580</v>
      </c>
      <c r="O62" t="s">
        <v>488</v>
      </c>
      <c r="P62">
        <v>8470</v>
      </c>
      <c r="Q62" t="s">
        <v>138</v>
      </c>
      <c r="R62" t="s">
        <v>120</v>
      </c>
      <c r="S62">
        <v>1</v>
      </c>
      <c r="T62">
        <v>2</v>
      </c>
      <c r="U62">
        <v>0</v>
      </c>
      <c r="V62">
        <v>0</v>
      </c>
      <c r="W62">
        <v>4</v>
      </c>
      <c r="X62">
        <v>6</v>
      </c>
      <c r="Y62">
        <v>17</v>
      </c>
      <c r="Z62">
        <v>9</v>
      </c>
      <c r="AA62">
        <v>7</v>
      </c>
      <c r="AB62">
        <v>15</v>
      </c>
      <c r="AC62">
        <v>3</v>
      </c>
      <c r="AD62">
        <v>3</v>
      </c>
      <c r="AE62">
        <v>0</v>
      </c>
      <c r="AF62">
        <v>1</v>
      </c>
      <c r="AG62">
        <v>12</v>
      </c>
      <c r="AH62">
        <v>23</v>
      </c>
      <c r="AI62">
        <v>4</v>
      </c>
      <c r="AJ62">
        <v>11</v>
      </c>
      <c r="AK62">
        <v>-1</v>
      </c>
      <c r="AL62">
        <v>0</v>
      </c>
      <c r="AM62">
        <v>0</v>
      </c>
      <c r="AN62">
        <v>0</v>
      </c>
      <c r="AO62">
        <v>1</v>
      </c>
      <c r="AP62">
        <v>1.25</v>
      </c>
      <c r="AQ62">
        <v>0</v>
      </c>
    </row>
    <row r="63" spans="1:43" x14ac:dyDescent="0.25">
      <c r="A63">
        <v>2024</v>
      </c>
      <c r="B63">
        <v>45445</v>
      </c>
      <c r="C63">
        <v>7</v>
      </c>
      <c r="D63">
        <v>62228</v>
      </c>
      <c r="E63">
        <v>78584</v>
      </c>
      <c r="F63" t="s">
        <v>477</v>
      </c>
      <c r="G63">
        <v>0.79186602870813394</v>
      </c>
      <c r="H63" t="s">
        <v>82</v>
      </c>
      <c r="I63" t="s">
        <v>77</v>
      </c>
      <c r="J63">
        <v>15</v>
      </c>
      <c r="K63" t="s">
        <v>483</v>
      </c>
      <c r="L63">
        <v>1</v>
      </c>
      <c r="M63">
        <v>-14</v>
      </c>
      <c r="N63">
        <v>3545</v>
      </c>
      <c r="O63" t="s">
        <v>490</v>
      </c>
      <c r="P63">
        <v>10110</v>
      </c>
      <c r="Q63" t="s">
        <v>107</v>
      </c>
      <c r="R63">
        <v>29</v>
      </c>
      <c r="S63">
        <v>1</v>
      </c>
      <c r="T63">
        <v>6</v>
      </c>
      <c r="U63">
        <v>1</v>
      </c>
      <c r="V63">
        <v>3</v>
      </c>
      <c r="W63">
        <v>1</v>
      </c>
      <c r="X63">
        <v>8</v>
      </c>
      <c r="Y63">
        <v>18</v>
      </c>
      <c r="Z63">
        <v>6</v>
      </c>
      <c r="AA63">
        <v>5</v>
      </c>
      <c r="AB63">
        <v>18</v>
      </c>
      <c r="AC63">
        <v>12</v>
      </c>
      <c r="AD63">
        <v>1</v>
      </c>
      <c r="AE63">
        <v>1</v>
      </c>
      <c r="AF63">
        <v>1</v>
      </c>
      <c r="AG63">
        <v>2</v>
      </c>
      <c r="AH63">
        <v>30</v>
      </c>
      <c r="AI63">
        <v>0</v>
      </c>
      <c r="AJ63">
        <v>4</v>
      </c>
      <c r="AK63">
        <v>-5</v>
      </c>
      <c r="AL63">
        <v>0</v>
      </c>
      <c r="AM63">
        <v>0</v>
      </c>
      <c r="AN63">
        <v>0</v>
      </c>
      <c r="AO63">
        <v>1</v>
      </c>
      <c r="AP63">
        <v>0.09</v>
      </c>
      <c r="AQ63">
        <v>1</v>
      </c>
    </row>
    <row r="64" spans="1:43" x14ac:dyDescent="0.25">
      <c r="A64">
        <v>2024</v>
      </c>
      <c r="B64">
        <v>45445</v>
      </c>
      <c r="C64">
        <v>7</v>
      </c>
      <c r="D64">
        <v>12191</v>
      </c>
      <c r="E64">
        <v>20326</v>
      </c>
      <c r="F64" t="s">
        <v>473</v>
      </c>
      <c r="G64">
        <v>0.59977368887139626</v>
      </c>
      <c r="H64" t="s">
        <v>63</v>
      </c>
      <c r="I64" t="s">
        <v>69</v>
      </c>
      <c r="J64">
        <v>11</v>
      </c>
      <c r="K64" t="s">
        <v>483</v>
      </c>
      <c r="L64">
        <v>6</v>
      </c>
      <c r="M64">
        <v>-5</v>
      </c>
      <c r="N64">
        <v>1755</v>
      </c>
      <c r="O64" t="s">
        <v>487</v>
      </c>
      <c r="P64">
        <v>3445</v>
      </c>
      <c r="Q64" t="s">
        <v>66</v>
      </c>
      <c r="R64" t="s">
        <v>41</v>
      </c>
      <c r="S64">
        <v>1</v>
      </c>
      <c r="T64">
        <v>0</v>
      </c>
      <c r="U64">
        <v>1</v>
      </c>
      <c r="V64">
        <v>0</v>
      </c>
      <c r="W64">
        <v>2</v>
      </c>
      <c r="X64">
        <v>4</v>
      </c>
      <c r="Y64">
        <v>12</v>
      </c>
      <c r="Z64">
        <v>17</v>
      </c>
      <c r="AA64">
        <v>15</v>
      </c>
      <c r="AB64">
        <v>11</v>
      </c>
      <c r="AC64">
        <v>2</v>
      </c>
      <c r="AD64">
        <v>3</v>
      </c>
      <c r="AE64">
        <v>0</v>
      </c>
      <c r="AF64">
        <v>2</v>
      </c>
      <c r="AG64">
        <v>11</v>
      </c>
      <c r="AH64">
        <v>14</v>
      </c>
      <c r="AI64">
        <v>4</v>
      </c>
      <c r="AJ64">
        <v>8</v>
      </c>
      <c r="AK64">
        <v>1</v>
      </c>
      <c r="AL64">
        <v>1</v>
      </c>
      <c r="AM64">
        <v>0</v>
      </c>
      <c r="AN64">
        <v>1</v>
      </c>
      <c r="AO64">
        <v>0</v>
      </c>
      <c r="AP64">
        <v>1.27</v>
      </c>
      <c r="AQ64">
        <v>0</v>
      </c>
    </row>
    <row r="65" spans="1:43" x14ac:dyDescent="0.25">
      <c r="A65">
        <v>2024</v>
      </c>
      <c r="B65">
        <v>45445</v>
      </c>
      <c r="C65">
        <v>7</v>
      </c>
      <c r="D65">
        <v>40937</v>
      </c>
      <c r="E65">
        <v>49205</v>
      </c>
      <c r="F65" t="s">
        <v>475</v>
      </c>
      <c r="G65">
        <v>0.83196829590488774</v>
      </c>
      <c r="H65" t="s">
        <v>88</v>
      </c>
      <c r="I65" t="s">
        <v>51</v>
      </c>
      <c r="J65">
        <v>17</v>
      </c>
      <c r="K65" t="s">
        <v>484</v>
      </c>
      <c r="L65">
        <v>4</v>
      </c>
      <c r="M65">
        <v>-13</v>
      </c>
      <c r="N65">
        <v>4770</v>
      </c>
      <c r="O65" t="s">
        <v>490</v>
      </c>
      <c r="P65">
        <v>3285</v>
      </c>
      <c r="Q65" t="s">
        <v>176</v>
      </c>
      <c r="R65" t="s">
        <v>129</v>
      </c>
      <c r="S65">
        <v>0</v>
      </c>
      <c r="T65">
        <v>1</v>
      </c>
      <c r="U65">
        <v>0</v>
      </c>
      <c r="V65">
        <v>0</v>
      </c>
      <c r="W65">
        <v>2</v>
      </c>
      <c r="X65">
        <v>5</v>
      </c>
      <c r="Y65">
        <v>7</v>
      </c>
      <c r="Z65">
        <v>16</v>
      </c>
      <c r="AA65">
        <v>15</v>
      </c>
      <c r="AB65">
        <v>7</v>
      </c>
      <c r="AC65">
        <v>1</v>
      </c>
      <c r="AD65">
        <v>7</v>
      </c>
      <c r="AE65">
        <v>3</v>
      </c>
      <c r="AF65">
        <v>2</v>
      </c>
      <c r="AG65">
        <v>16</v>
      </c>
      <c r="AH65">
        <v>9</v>
      </c>
      <c r="AI65">
        <v>7</v>
      </c>
      <c r="AJ65">
        <v>3</v>
      </c>
      <c r="AK65">
        <v>-1</v>
      </c>
      <c r="AL65">
        <v>0</v>
      </c>
      <c r="AM65">
        <v>0</v>
      </c>
      <c r="AN65">
        <v>0</v>
      </c>
      <c r="AO65">
        <v>1</v>
      </c>
      <c r="AP65">
        <v>0.77</v>
      </c>
      <c r="AQ65">
        <v>0</v>
      </c>
    </row>
    <row r="66" spans="1:43" x14ac:dyDescent="0.25">
      <c r="A66">
        <v>2024</v>
      </c>
      <c r="B66">
        <v>45455</v>
      </c>
      <c r="C66">
        <v>8</v>
      </c>
      <c r="D66">
        <v>27239</v>
      </c>
      <c r="E66">
        <v>46931</v>
      </c>
      <c r="F66" t="s">
        <v>473</v>
      </c>
      <c r="G66">
        <v>0.58040527583047452</v>
      </c>
      <c r="H66" t="s">
        <v>51</v>
      </c>
      <c r="I66" t="s">
        <v>55</v>
      </c>
      <c r="J66">
        <v>3</v>
      </c>
      <c r="K66" t="s">
        <v>481</v>
      </c>
      <c r="L66">
        <v>17</v>
      </c>
      <c r="M66">
        <v>14</v>
      </c>
      <c r="N66">
        <v>3185</v>
      </c>
      <c r="O66" t="s">
        <v>487</v>
      </c>
      <c r="P66">
        <v>3470</v>
      </c>
      <c r="Q66" t="s">
        <v>92</v>
      </c>
      <c r="R66" t="s">
        <v>47</v>
      </c>
      <c r="S66">
        <v>1</v>
      </c>
      <c r="T66">
        <v>0</v>
      </c>
      <c r="U66">
        <v>0</v>
      </c>
      <c r="V66">
        <v>0</v>
      </c>
      <c r="W66">
        <v>14</v>
      </c>
      <c r="X66">
        <v>2</v>
      </c>
      <c r="Y66">
        <v>22</v>
      </c>
      <c r="Z66">
        <v>14</v>
      </c>
      <c r="AA66">
        <v>14</v>
      </c>
      <c r="AB66">
        <v>22</v>
      </c>
      <c r="AC66">
        <v>0</v>
      </c>
      <c r="AD66">
        <v>5</v>
      </c>
      <c r="AE66">
        <v>4</v>
      </c>
      <c r="AF66">
        <v>0</v>
      </c>
      <c r="AG66">
        <v>19</v>
      </c>
      <c r="AH66">
        <v>6</v>
      </c>
      <c r="AI66">
        <v>9</v>
      </c>
      <c r="AJ66">
        <v>5</v>
      </c>
      <c r="AK66">
        <v>1</v>
      </c>
      <c r="AL66">
        <v>1</v>
      </c>
      <c r="AM66">
        <v>0</v>
      </c>
      <c r="AN66">
        <v>1</v>
      </c>
      <c r="AO66">
        <v>0</v>
      </c>
      <c r="AP66">
        <v>1.75</v>
      </c>
      <c r="AQ66">
        <v>0</v>
      </c>
    </row>
    <row r="67" spans="1:43" x14ac:dyDescent="0.25">
      <c r="A67">
        <v>2024</v>
      </c>
      <c r="B67">
        <v>45455</v>
      </c>
      <c r="C67">
        <v>8</v>
      </c>
      <c r="D67">
        <v>12089</v>
      </c>
      <c r="E67">
        <v>13000</v>
      </c>
      <c r="F67" t="s">
        <v>476</v>
      </c>
      <c r="G67">
        <v>0.92992307692307696</v>
      </c>
      <c r="H67" t="s">
        <v>76</v>
      </c>
      <c r="I67" t="s">
        <v>88</v>
      </c>
      <c r="J67">
        <v>18</v>
      </c>
      <c r="K67" t="s">
        <v>484</v>
      </c>
      <c r="L67">
        <v>16</v>
      </c>
      <c r="M67">
        <v>-2</v>
      </c>
      <c r="N67">
        <v>860</v>
      </c>
      <c r="O67" t="s">
        <v>488</v>
      </c>
      <c r="P67">
        <v>4290</v>
      </c>
      <c r="Q67" t="s">
        <v>151</v>
      </c>
      <c r="R67" t="s">
        <v>189</v>
      </c>
      <c r="S67">
        <v>2</v>
      </c>
      <c r="T67">
        <v>2</v>
      </c>
      <c r="U67">
        <v>0</v>
      </c>
      <c r="V67">
        <v>1</v>
      </c>
      <c r="W67">
        <v>3</v>
      </c>
      <c r="X67">
        <v>4</v>
      </c>
      <c r="Y67">
        <v>12</v>
      </c>
      <c r="Z67">
        <v>13</v>
      </c>
      <c r="AA67">
        <v>12</v>
      </c>
      <c r="AB67">
        <v>12</v>
      </c>
      <c r="AC67">
        <v>1</v>
      </c>
      <c r="AD67">
        <v>6</v>
      </c>
      <c r="AE67">
        <v>1</v>
      </c>
      <c r="AF67">
        <v>0</v>
      </c>
      <c r="AG67">
        <v>22</v>
      </c>
      <c r="AH67">
        <v>7</v>
      </c>
      <c r="AI67">
        <v>8</v>
      </c>
      <c r="AJ67">
        <v>3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3.08</v>
      </c>
      <c r="AQ67">
        <v>0</v>
      </c>
    </row>
    <row r="68" spans="1:43" x14ac:dyDescent="0.25">
      <c r="A68">
        <v>2024</v>
      </c>
      <c r="B68">
        <v>45455</v>
      </c>
      <c r="C68">
        <v>8</v>
      </c>
      <c r="D68">
        <v>6186</v>
      </c>
      <c r="E68">
        <v>23726</v>
      </c>
      <c r="F68" t="s">
        <v>475</v>
      </c>
      <c r="G68">
        <v>0.26072662901458316</v>
      </c>
      <c r="H68" t="s">
        <v>44</v>
      </c>
      <c r="I68" t="s">
        <v>94</v>
      </c>
      <c r="J68">
        <v>12</v>
      </c>
      <c r="K68" t="s">
        <v>483</v>
      </c>
      <c r="L68">
        <v>20</v>
      </c>
      <c r="M68">
        <v>8</v>
      </c>
      <c r="N68">
        <v>690</v>
      </c>
      <c r="O68" t="s">
        <v>488</v>
      </c>
      <c r="P68">
        <v>1433</v>
      </c>
      <c r="Q68" t="s">
        <v>105</v>
      </c>
      <c r="R68" t="s">
        <v>120</v>
      </c>
      <c r="S68">
        <v>1</v>
      </c>
      <c r="T68">
        <v>1</v>
      </c>
      <c r="U68">
        <v>1</v>
      </c>
      <c r="V68">
        <v>1</v>
      </c>
      <c r="W68">
        <v>5</v>
      </c>
      <c r="X68">
        <v>4</v>
      </c>
      <c r="Y68">
        <v>16</v>
      </c>
      <c r="Z68">
        <v>8</v>
      </c>
      <c r="AA68">
        <v>7</v>
      </c>
      <c r="AB68">
        <v>16</v>
      </c>
      <c r="AC68">
        <v>3</v>
      </c>
      <c r="AD68">
        <v>1</v>
      </c>
      <c r="AE68">
        <v>1</v>
      </c>
      <c r="AF68">
        <v>1</v>
      </c>
      <c r="AG68">
        <v>12</v>
      </c>
      <c r="AH68">
        <v>18</v>
      </c>
      <c r="AI68">
        <v>8</v>
      </c>
      <c r="AJ68">
        <v>9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0.68</v>
      </c>
      <c r="AQ68">
        <v>0</v>
      </c>
    </row>
    <row r="69" spans="1:43" x14ac:dyDescent="0.25">
      <c r="A69">
        <v>2024</v>
      </c>
      <c r="B69">
        <v>45455</v>
      </c>
      <c r="C69">
        <v>8</v>
      </c>
      <c r="D69">
        <v>4516</v>
      </c>
      <c r="E69">
        <v>15010</v>
      </c>
      <c r="F69" t="s">
        <v>474</v>
      </c>
      <c r="G69">
        <v>0.30086608927381747</v>
      </c>
      <c r="H69" t="s">
        <v>56</v>
      </c>
      <c r="I69" t="s">
        <v>89</v>
      </c>
      <c r="J69">
        <v>10</v>
      </c>
      <c r="K69" t="s">
        <v>482</v>
      </c>
      <c r="L69">
        <v>5</v>
      </c>
      <c r="M69">
        <v>-5</v>
      </c>
      <c r="N69">
        <v>4340</v>
      </c>
      <c r="O69" t="s">
        <v>490</v>
      </c>
      <c r="P69">
        <v>4465</v>
      </c>
      <c r="Q69">
        <v>25</v>
      </c>
      <c r="R69" t="s">
        <v>80</v>
      </c>
      <c r="S69">
        <v>1</v>
      </c>
      <c r="T69">
        <v>2</v>
      </c>
      <c r="U69">
        <v>1</v>
      </c>
      <c r="V69">
        <v>2</v>
      </c>
      <c r="W69">
        <v>8</v>
      </c>
      <c r="X69">
        <v>5</v>
      </c>
      <c r="Y69">
        <v>17</v>
      </c>
      <c r="Z69">
        <v>18</v>
      </c>
      <c r="AA69">
        <v>17</v>
      </c>
      <c r="AB69">
        <v>17</v>
      </c>
      <c r="AC69">
        <v>2</v>
      </c>
      <c r="AD69">
        <v>4</v>
      </c>
      <c r="AE69">
        <v>1</v>
      </c>
      <c r="AF69">
        <v>2</v>
      </c>
      <c r="AG69">
        <v>15</v>
      </c>
      <c r="AH69">
        <v>10</v>
      </c>
      <c r="AI69">
        <v>7</v>
      </c>
      <c r="AJ69">
        <v>2</v>
      </c>
      <c r="AK69">
        <v>-1</v>
      </c>
      <c r="AL69">
        <v>0</v>
      </c>
      <c r="AM69">
        <v>0</v>
      </c>
      <c r="AN69">
        <v>0</v>
      </c>
      <c r="AO69">
        <v>1</v>
      </c>
      <c r="AP69">
        <v>1.18</v>
      </c>
      <c r="AQ69">
        <v>1</v>
      </c>
    </row>
    <row r="70" spans="1:43" x14ac:dyDescent="0.25">
      <c r="A70">
        <v>2024</v>
      </c>
      <c r="B70">
        <v>45457</v>
      </c>
      <c r="C70">
        <v>8</v>
      </c>
      <c r="D70">
        <v>51785</v>
      </c>
      <c r="E70">
        <v>78838</v>
      </c>
      <c r="F70" t="s">
        <v>472</v>
      </c>
      <c r="G70">
        <v>0.65685329409675541</v>
      </c>
      <c r="H70" t="s">
        <v>77</v>
      </c>
      <c r="I70" t="s">
        <v>83</v>
      </c>
      <c r="J70">
        <v>1</v>
      </c>
      <c r="K70" t="s">
        <v>481</v>
      </c>
      <c r="L70">
        <v>14</v>
      </c>
      <c r="M70">
        <v>13</v>
      </c>
      <c r="N70">
        <v>7990</v>
      </c>
      <c r="O70" t="s">
        <v>489</v>
      </c>
      <c r="P70">
        <v>3030</v>
      </c>
      <c r="Q70" t="s">
        <v>151</v>
      </c>
      <c r="R70" t="s">
        <v>193</v>
      </c>
      <c r="S70">
        <v>2</v>
      </c>
      <c r="T70">
        <v>1</v>
      </c>
      <c r="U70">
        <v>1</v>
      </c>
      <c r="V70">
        <v>0</v>
      </c>
      <c r="W70">
        <v>4</v>
      </c>
      <c r="X70">
        <v>6</v>
      </c>
      <c r="Y70">
        <v>9</v>
      </c>
      <c r="Z70">
        <v>10</v>
      </c>
      <c r="AA70">
        <v>10</v>
      </c>
      <c r="AB70">
        <v>7</v>
      </c>
      <c r="AC70">
        <v>4</v>
      </c>
      <c r="AD70">
        <v>4</v>
      </c>
      <c r="AE70">
        <v>0</v>
      </c>
      <c r="AF70">
        <v>0</v>
      </c>
      <c r="AG70">
        <v>16</v>
      </c>
      <c r="AH70">
        <v>15</v>
      </c>
      <c r="AI70">
        <v>8</v>
      </c>
      <c r="AJ70">
        <v>6</v>
      </c>
      <c r="AK70">
        <v>1</v>
      </c>
      <c r="AL70">
        <v>1</v>
      </c>
      <c r="AM70">
        <v>0</v>
      </c>
      <c r="AN70">
        <v>1</v>
      </c>
      <c r="AO70">
        <v>0</v>
      </c>
      <c r="AP70">
        <v>0.96</v>
      </c>
      <c r="AQ70">
        <v>0</v>
      </c>
    </row>
    <row r="71" spans="1:43" x14ac:dyDescent="0.25">
      <c r="A71">
        <v>2024</v>
      </c>
      <c r="B71">
        <v>45457</v>
      </c>
      <c r="C71">
        <v>8</v>
      </c>
      <c r="D71">
        <v>26595</v>
      </c>
      <c r="E71">
        <v>61927</v>
      </c>
      <c r="F71" t="s">
        <v>473</v>
      </c>
      <c r="G71">
        <v>0.42945726419816882</v>
      </c>
      <c r="H71" t="s">
        <v>50</v>
      </c>
      <c r="I71" t="s">
        <v>70</v>
      </c>
      <c r="J71">
        <v>9</v>
      </c>
      <c r="K71" t="s">
        <v>482</v>
      </c>
      <c r="L71">
        <v>19</v>
      </c>
      <c r="M71">
        <v>10</v>
      </c>
      <c r="N71">
        <v>3015</v>
      </c>
      <c r="O71" t="s">
        <v>487</v>
      </c>
      <c r="P71">
        <v>1185</v>
      </c>
      <c r="Q71" t="s">
        <v>116</v>
      </c>
      <c r="R71">
        <v>28</v>
      </c>
      <c r="S71">
        <v>2</v>
      </c>
      <c r="T71">
        <v>1</v>
      </c>
      <c r="U71">
        <v>1</v>
      </c>
      <c r="V71">
        <v>0</v>
      </c>
      <c r="W71">
        <v>6</v>
      </c>
      <c r="X71">
        <v>4</v>
      </c>
      <c r="Y71">
        <v>9</v>
      </c>
      <c r="Z71">
        <v>12</v>
      </c>
      <c r="AA71">
        <v>12</v>
      </c>
      <c r="AB71">
        <v>9</v>
      </c>
      <c r="AC71">
        <v>4</v>
      </c>
      <c r="AD71">
        <v>4</v>
      </c>
      <c r="AE71">
        <v>0</v>
      </c>
      <c r="AF71">
        <v>1</v>
      </c>
      <c r="AG71">
        <v>12</v>
      </c>
      <c r="AH71">
        <v>16</v>
      </c>
      <c r="AI71">
        <v>5</v>
      </c>
      <c r="AJ71">
        <v>5</v>
      </c>
      <c r="AK71">
        <v>1</v>
      </c>
      <c r="AL71">
        <v>1</v>
      </c>
      <c r="AM71">
        <v>0</v>
      </c>
      <c r="AN71">
        <v>1</v>
      </c>
      <c r="AO71">
        <v>0</v>
      </c>
      <c r="AP71">
        <v>1.01</v>
      </c>
      <c r="AQ71">
        <v>0</v>
      </c>
    </row>
    <row r="72" spans="1:43" x14ac:dyDescent="0.25">
      <c r="A72">
        <v>2024</v>
      </c>
      <c r="B72">
        <v>45457</v>
      </c>
      <c r="C72">
        <v>8</v>
      </c>
      <c r="D72">
        <v>37641</v>
      </c>
      <c r="E72">
        <v>43713</v>
      </c>
      <c r="F72" t="s">
        <v>476</v>
      </c>
      <c r="G72">
        <v>0.86109395374373754</v>
      </c>
      <c r="H72" t="s">
        <v>95</v>
      </c>
      <c r="I72" t="s">
        <v>82</v>
      </c>
      <c r="J72">
        <v>8</v>
      </c>
      <c r="K72" t="s">
        <v>482</v>
      </c>
      <c r="L72">
        <v>15</v>
      </c>
      <c r="M72">
        <v>7</v>
      </c>
      <c r="N72">
        <v>8070</v>
      </c>
      <c r="O72" t="s">
        <v>489</v>
      </c>
      <c r="P72">
        <v>2695</v>
      </c>
      <c r="Q72" t="s">
        <v>114</v>
      </c>
      <c r="R72" t="s">
        <v>74</v>
      </c>
      <c r="S72">
        <v>2</v>
      </c>
      <c r="T72">
        <v>0</v>
      </c>
      <c r="U72">
        <v>1</v>
      </c>
      <c r="V72">
        <v>0</v>
      </c>
      <c r="W72">
        <v>10</v>
      </c>
      <c r="X72">
        <v>6</v>
      </c>
      <c r="Y72">
        <v>10</v>
      </c>
      <c r="Z72">
        <v>14</v>
      </c>
      <c r="AA72">
        <v>13</v>
      </c>
      <c r="AB72">
        <v>10</v>
      </c>
      <c r="AC72">
        <v>2</v>
      </c>
      <c r="AD72">
        <v>4</v>
      </c>
      <c r="AE72">
        <v>1</v>
      </c>
      <c r="AF72">
        <v>1</v>
      </c>
      <c r="AG72">
        <v>28</v>
      </c>
      <c r="AH72">
        <v>9</v>
      </c>
      <c r="AI72">
        <v>13</v>
      </c>
      <c r="AJ72">
        <v>6</v>
      </c>
      <c r="AK72">
        <v>2</v>
      </c>
      <c r="AL72">
        <v>1</v>
      </c>
      <c r="AM72">
        <v>0</v>
      </c>
      <c r="AN72">
        <v>1</v>
      </c>
      <c r="AO72">
        <v>0</v>
      </c>
      <c r="AP72">
        <v>2.36</v>
      </c>
      <c r="AQ72">
        <v>0</v>
      </c>
    </row>
    <row r="73" spans="1:43" x14ac:dyDescent="0.25">
      <c r="A73">
        <v>2024</v>
      </c>
      <c r="B73">
        <v>45457</v>
      </c>
      <c r="C73">
        <v>8</v>
      </c>
      <c r="D73">
        <v>23424</v>
      </c>
      <c r="E73">
        <v>42372</v>
      </c>
      <c r="F73" t="s">
        <v>473</v>
      </c>
      <c r="G73">
        <v>0.55281789861229114</v>
      </c>
      <c r="H73" t="s">
        <v>69</v>
      </c>
      <c r="I73" t="s">
        <v>43</v>
      </c>
      <c r="J73">
        <v>4</v>
      </c>
      <c r="K73" t="s">
        <v>481</v>
      </c>
      <c r="L73">
        <v>13</v>
      </c>
      <c r="M73">
        <v>9</v>
      </c>
      <c r="N73">
        <v>2845</v>
      </c>
      <c r="O73" t="s">
        <v>487</v>
      </c>
      <c r="P73">
        <v>688</v>
      </c>
      <c r="Q73" t="s">
        <v>128</v>
      </c>
      <c r="R73" t="s">
        <v>197</v>
      </c>
      <c r="S73">
        <v>3</v>
      </c>
      <c r="T73">
        <v>1</v>
      </c>
      <c r="U73">
        <v>1</v>
      </c>
      <c r="V73">
        <v>1</v>
      </c>
      <c r="W73">
        <v>5</v>
      </c>
      <c r="X73">
        <v>3</v>
      </c>
      <c r="Y73">
        <v>9</v>
      </c>
      <c r="Z73">
        <v>12</v>
      </c>
      <c r="AA73">
        <v>10</v>
      </c>
      <c r="AB73">
        <v>9</v>
      </c>
      <c r="AC73">
        <v>3</v>
      </c>
      <c r="AD73">
        <v>4</v>
      </c>
      <c r="AE73">
        <v>2</v>
      </c>
      <c r="AF73">
        <v>3</v>
      </c>
      <c r="AG73">
        <v>23</v>
      </c>
      <c r="AH73">
        <v>12</v>
      </c>
      <c r="AI73">
        <v>10</v>
      </c>
      <c r="AJ73">
        <v>5</v>
      </c>
      <c r="AK73">
        <v>2</v>
      </c>
      <c r="AL73">
        <v>1</v>
      </c>
      <c r="AM73">
        <v>0</v>
      </c>
      <c r="AN73">
        <v>1</v>
      </c>
      <c r="AO73">
        <v>0</v>
      </c>
      <c r="AP73">
        <v>2.69</v>
      </c>
      <c r="AQ73">
        <v>0</v>
      </c>
    </row>
    <row r="74" spans="1:43" x14ac:dyDescent="0.25">
      <c r="A74">
        <v>2024</v>
      </c>
      <c r="B74">
        <v>45457</v>
      </c>
      <c r="C74">
        <v>8</v>
      </c>
      <c r="D74">
        <v>17987</v>
      </c>
      <c r="E74">
        <v>19848</v>
      </c>
      <c r="F74" t="s">
        <v>476</v>
      </c>
      <c r="G74">
        <v>0.90623740427247079</v>
      </c>
      <c r="H74" t="s">
        <v>37</v>
      </c>
      <c r="I74" t="s">
        <v>62</v>
      </c>
      <c r="J74">
        <v>6</v>
      </c>
      <c r="K74" t="s">
        <v>482</v>
      </c>
      <c r="L74">
        <v>7</v>
      </c>
      <c r="M74">
        <v>1</v>
      </c>
      <c r="N74">
        <v>3580</v>
      </c>
      <c r="O74" t="s">
        <v>490</v>
      </c>
      <c r="P74">
        <v>3485</v>
      </c>
      <c r="Q74" t="s">
        <v>109</v>
      </c>
      <c r="R74" t="s">
        <v>105</v>
      </c>
      <c r="S74">
        <v>0</v>
      </c>
      <c r="T74">
        <v>0</v>
      </c>
      <c r="U74">
        <v>0</v>
      </c>
      <c r="V74">
        <v>0</v>
      </c>
      <c r="W74">
        <v>5</v>
      </c>
      <c r="X74">
        <v>3</v>
      </c>
      <c r="Y74">
        <v>15</v>
      </c>
      <c r="Z74">
        <v>18</v>
      </c>
      <c r="AA74">
        <v>16</v>
      </c>
      <c r="AB74">
        <v>15</v>
      </c>
      <c r="AC74">
        <v>5</v>
      </c>
      <c r="AD74">
        <v>0</v>
      </c>
      <c r="AE74">
        <v>1</v>
      </c>
      <c r="AF74">
        <v>3</v>
      </c>
      <c r="AG74">
        <v>7</v>
      </c>
      <c r="AH74">
        <v>9</v>
      </c>
      <c r="AI74">
        <v>6</v>
      </c>
      <c r="AJ74">
        <v>3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0.2</v>
      </c>
      <c r="AQ74">
        <v>0</v>
      </c>
    </row>
    <row r="75" spans="1:43" x14ac:dyDescent="0.25">
      <c r="A75">
        <v>2024</v>
      </c>
      <c r="B75">
        <v>45457</v>
      </c>
      <c r="C75">
        <v>8</v>
      </c>
      <c r="D75">
        <v>30048</v>
      </c>
      <c r="E75">
        <v>47364</v>
      </c>
      <c r="F75" t="s">
        <v>477</v>
      </c>
      <c r="G75">
        <v>0.6344058778819357</v>
      </c>
      <c r="H75" t="s">
        <v>38</v>
      </c>
      <c r="I75" t="s">
        <v>63</v>
      </c>
      <c r="J75">
        <v>2</v>
      </c>
      <c r="K75" t="s">
        <v>481</v>
      </c>
      <c r="L75">
        <v>11</v>
      </c>
      <c r="M75">
        <v>9</v>
      </c>
      <c r="N75">
        <v>3000</v>
      </c>
      <c r="O75" t="s">
        <v>487</v>
      </c>
      <c r="P75">
        <v>1565</v>
      </c>
      <c r="Q75" t="s">
        <v>134</v>
      </c>
      <c r="R75" t="s">
        <v>200</v>
      </c>
      <c r="S75">
        <v>1</v>
      </c>
      <c r="T75">
        <v>0</v>
      </c>
      <c r="U75">
        <v>0</v>
      </c>
      <c r="V75">
        <v>0</v>
      </c>
      <c r="W75">
        <v>5</v>
      </c>
      <c r="X75">
        <v>9</v>
      </c>
      <c r="Y75">
        <v>14</v>
      </c>
      <c r="Z75">
        <v>9</v>
      </c>
      <c r="AA75">
        <v>9</v>
      </c>
      <c r="AB75">
        <v>12</v>
      </c>
      <c r="AC75">
        <v>6</v>
      </c>
      <c r="AD75">
        <v>2</v>
      </c>
      <c r="AE75">
        <v>0</v>
      </c>
      <c r="AF75">
        <v>6</v>
      </c>
      <c r="AG75">
        <v>12</v>
      </c>
      <c r="AH75">
        <v>21</v>
      </c>
      <c r="AI75">
        <v>6</v>
      </c>
      <c r="AJ75">
        <v>8</v>
      </c>
      <c r="AK75">
        <v>1</v>
      </c>
      <c r="AL75">
        <v>1</v>
      </c>
      <c r="AM75">
        <v>0</v>
      </c>
      <c r="AN75">
        <v>1</v>
      </c>
      <c r="AO75">
        <v>0</v>
      </c>
      <c r="AP75">
        <v>1.43</v>
      </c>
      <c r="AQ75">
        <v>0</v>
      </c>
    </row>
    <row r="76" spans="1:43" x14ac:dyDescent="0.25">
      <c r="A76">
        <v>2024</v>
      </c>
      <c r="B76">
        <v>45458</v>
      </c>
      <c r="C76">
        <v>9</v>
      </c>
      <c r="D76">
        <v>3338</v>
      </c>
      <c r="E76">
        <v>15010</v>
      </c>
      <c r="F76" t="s">
        <v>473</v>
      </c>
      <c r="G76">
        <v>0.22238507661558959</v>
      </c>
      <c r="H76" t="s">
        <v>56</v>
      </c>
      <c r="I76" t="s">
        <v>44</v>
      </c>
      <c r="J76">
        <v>8</v>
      </c>
      <c r="K76" t="s">
        <v>482</v>
      </c>
      <c r="L76">
        <v>13</v>
      </c>
      <c r="M76">
        <v>5</v>
      </c>
      <c r="N76">
        <v>4190</v>
      </c>
      <c r="O76" t="s">
        <v>490</v>
      </c>
      <c r="P76">
        <v>765</v>
      </c>
      <c r="Q76" t="s">
        <v>202</v>
      </c>
      <c r="R76" t="s">
        <v>135</v>
      </c>
      <c r="S76">
        <v>2</v>
      </c>
      <c r="T76">
        <v>1</v>
      </c>
      <c r="U76">
        <v>1</v>
      </c>
      <c r="V76">
        <v>1</v>
      </c>
      <c r="W76">
        <v>1</v>
      </c>
      <c r="X76">
        <v>1</v>
      </c>
      <c r="Y76">
        <v>12</v>
      </c>
      <c r="Z76">
        <v>12</v>
      </c>
      <c r="AA76">
        <v>12</v>
      </c>
      <c r="AB76">
        <v>12</v>
      </c>
      <c r="AC76">
        <v>5</v>
      </c>
      <c r="AD76">
        <v>0</v>
      </c>
      <c r="AE76">
        <v>0</v>
      </c>
      <c r="AF76">
        <v>5</v>
      </c>
      <c r="AG76">
        <v>6</v>
      </c>
      <c r="AH76">
        <v>14</v>
      </c>
      <c r="AI76">
        <v>1</v>
      </c>
      <c r="AJ76">
        <v>5</v>
      </c>
      <c r="AK76">
        <v>1</v>
      </c>
      <c r="AL76">
        <v>1</v>
      </c>
      <c r="AM76">
        <v>0</v>
      </c>
      <c r="AN76">
        <v>1</v>
      </c>
      <c r="AO76">
        <v>0</v>
      </c>
      <c r="AP76">
        <v>0.48</v>
      </c>
      <c r="AQ76">
        <v>1</v>
      </c>
    </row>
    <row r="77" spans="1:43" x14ac:dyDescent="0.25">
      <c r="A77">
        <v>2024</v>
      </c>
      <c r="B77">
        <v>45459</v>
      </c>
      <c r="C77">
        <v>9</v>
      </c>
      <c r="D77">
        <v>15811</v>
      </c>
      <c r="E77">
        <v>21540</v>
      </c>
      <c r="F77" t="s">
        <v>472</v>
      </c>
      <c r="G77">
        <v>0.73402971216341695</v>
      </c>
      <c r="H77" t="s">
        <v>83</v>
      </c>
      <c r="I77" t="s">
        <v>51</v>
      </c>
      <c r="J77">
        <v>18</v>
      </c>
      <c r="K77" t="s">
        <v>484</v>
      </c>
      <c r="L77">
        <v>1</v>
      </c>
      <c r="M77">
        <v>-17</v>
      </c>
      <c r="N77">
        <v>2910</v>
      </c>
      <c r="O77" t="s">
        <v>487</v>
      </c>
      <c r="P77">
        <v>3135</v>
      </c>
      <c r="Q77" t="s">
        <v>128</v>
      </c>
      <c r="R77" t="s">
        <v>105</v>
      </c>
      <c r="S77">
        <v>1</v>
      </c>
      <c r="T77">
        <v>2</v>
      </c>
      <c r="U77">
        <v>1</v>
      </c>
      <c r="V77">
        <v>1</v>
      </c>
      <c r="W77">
        <v>7</v>
      </c>
      <c r="X77">
        <v>4</v>
      </c>
      <c r="Y77">
        <v>12</v>
      </c>
      <c r="Z77">
        <v>11</v>
      </c>
      <c r="AA77">
        <v>11</v>
      </c>
      <c r="AB77">
        <v>12</v>
      </c>
      <c r="AC77">
        <v>3</v>
      </c>
      <c r="AD77">
        <v>2</v>
      </c>
      <c r="AE77">
        <v>0</v>
      </c>
      <c r="AF77">
        <v>0</v>
      </c>
      <c r="AG77">
        <v>15</v>
      </c>
      <c r="AH77">
        <v>14</v>
      </c>
      <c r="AI77">
        <v>5</v>
      </c>
      <c r="AJ77">
        <v>5</v>
      </c>
      <c r="AK77">
        <v>-1</v>
      </c>
      <c r="AL77">
        <v>0</v>
      </c>
      <c r="AM77">
        <v>0</v>
      </c>
      <c r="AN77">
        <v>0</v>
      </c>
      <c r="AO77">
        <v>1</v>
      </c>
      <c r="AP77">
        <v>1.03</v>
      </c>
      <c r="AQ77">
        <v>0</v>
      </c>
    </row>
    <row r="78" spans="1:43" x14ac:dyDescent="0.25">
      <c r="A78">
        <v>2024</v>
      </c>
      <c r="B78">
        <v>45459</v>
      </c>
      <c r="C78">
        <v>9</v>
      </c>
      <c r="D78">
        <v>4474</v>
      </c>
      <c r="E78">
        <v>42968</v>
      </c>
      <c r="F78" t="s">
        <v>477</v>
      </c>
      <c r="G78">
        <v>0.10412399925525972</v>
      </c>
      <c r="H78" t="s">
        <v>70</v>
      </c>
      <c r="I78" t="s">
        <v>63</v>
      </c>
      <c r="J78">
        <v>15</v>
      </c>
      <c r="K78" t="s">
        <v>483</v>
      </c>
      <c r="L78">
        <v>11</v>
      </c>
      <c r="M78">
        <v>-4</v>
      </c>
      <c r="N78">
        <v>1340</v>
      </c>
      <c r="O78" t="s">
        <v>488</v>
      </c>
      <c r="P78">
        <v>1425</v>
      </c>
      <c r="Q78" t="s">
        <v>107</v>
      </c>
      <c r="R78" t="s">
        <v>205</v>
      </c>
      <c r="S78">
        <v>5</v>
      </c>
      <c r="T78">
        <v>0</v>
      </c>
      <c r="U78">
        <v>4</v>
      </c>
      <c r="V78">
        <v>0</v>
      </c>
      <c r="W78">
        <v>5</v>
      </c>
      <c r="X78">
        <v>1</v>
      </c>
      <c r="Y78">
        <v>9</v>
      </c>
      <c r="Z78">
        <v>6</v>
      </c>
      <c r="AA78">
        <v>4</v>
      </c>
      <c r="AB78">
        <v>9</v>
      </c>
      <c r="AC78">
        <v>0</v>
      </c>
      <c r="AD78">
        <v>8</v>
      </c>
      <c r="AE78">
        <v>1</v>
      </c>
      <c r="AF78">
        <v>1</v>
      </c>
      <c r="AG78">
        <v>21</v>
      </c>
      <c r="AH78">
        <v>2</v>
      </c>
      <c r="AI78">
        <v>5</v>
      </c>
      <c r="AJ78">
        <v>2</v>
      </c>
      <c r="AK78">
        <v>5</v>
      </c>
      <c r="AL78">
        <v>1</v>
      </c>
      <c r="AM78">
        <v>0</v>
      </c>
      <c r="AN78">
        <v>1</v>
      </c>
      <c r="AO78">
        <v>0</v>
      </c>
      <c r="AP78">
        <v>3.59</v>
      </c>
      <c r="AQ78">
        <v>0</v>
      </c>
    </row>
    <row r="79" spans="1:43" x14ac:dyDescent="0.25">
      <c r="A79">
        <v>2024</v>
      </c>
      <c r="B79">
        <v>45459</v>
      </c>
      <c r="C79">
        <v>9</v>
      </c>
      <c r="D79">
        <v>14485</v>
      </c>
      <c r="E79">
        <v>82238</v>
      </c>
      <c r="F79" t="s">
        <v>472</v>
      </c>
      <c r="G79">
        <v>0.17613512001751017</v>
      </c>
      <c r="H79" t="s">
        <v>55</v>
      </c>
      <c r="I79" t="s">
        <v>76</v>
      </c>
      <c r="J79">
        <v>19</v>
      </c>
      <c r="K79" t="s">
        <v>484</v>
      </c>
      <c r="L79">
        <v>14</v>
      </c>
      <c r="M79">
        <v>-5</v>
      </c>
      <c r="N79">
        <v>2845</v>
      </c>
      <c r="O79" t="s">
        <v>487</v>
      </c>
      <c r="P79">
        <v>960</v>
      </c>
      <c r="Q79" t="s">
        <v>207</v>
      </c>
      <c r="R79" t="s">
        <v>163</v>
      </c>
      <c r="S79">
        <v>1</v>
      </c>
      <c r="T79">
        <v>2</v>
      </c>
      <c r="U79">
        <v>1</v>
      </c>
      <c r="V79">
        <v>0</v>
      </c>
      <c r="W79">
        <v>3</v>
      </c>
      <c r="X79">
        <v>3</v>
      </c>
      <c r="Y79">
        <v>10</v>
      </c>
      <c r="Z79">
        <v>12</v>
      </c>
      <c r="AA79">
        <v>11</v>
      </c>
      <c r="AB79">
        <v>10</v>
      </c>
      <c r="AC79">
        <v>5</v>
      </c>
      <c r="AD79">
        <v>4</v>
      </c>
      <c r="AE79">
        <v>1</v>
      </c>
      <c r="AF79">
        <v>1</v>
      </c>
      <c r="AG79">
        <v>9</v>
      </c>
      <c r="AH79">
        <v>17</v>
      </c>
      <c r="AI79">
        <v>4</v>
      </c>
      <c r="AJ79">
        <v>7</v>
      </c>
      <c r="AK79">
        <v>-1</v>
      </c>
      <c r="AL79">
        <v>0</v>
      </c>
      <c r="AM79">
        <v>0</v>
      </c>
      <c r="AN79">
        <v>0</v>
      </c>
      <c r="AO79">
        <v>1</v>
      </c>
      <c r="AP79">
        <v>0.56999999999999995</v>
      </c>
      <c r="AQ79">
        <v>0</v>
      </c>
    </row>
    <row r="80" spans="1:43" x14ac:dyDescent="0.25">
      <c r="A80">
        <v>2024</v>
      </c>
      <c r="B80">
        <v>45459</v>
      </c>
      <c r="C80">
        <v>9</v>
      </c>
      <c r="D80">
        <v>46129</v>
      </c>
      <c r="E80">
        <v>49205</v>
      </c>
      <c r="F80" t="s">
        <v>475</v>
      </c>
      <c r="G80">
        <v>0.93748602784269897</v>
      </c>
      <c r="H80" t="s">
        <v>88</v>
      </c>
      <c r="I80" t="s">
        <v>62</v>
      </c>
      <c r="J80">
        <v>17</v>
      </c>
      <c r="K80" t="s">
        <v>484</v>
      </c>
      <c r="L80">
        <v>7</v>
      </c>
      <c r="M80">
        <v>-10</v>
      </c>
      <c r="N80">
        <v>5300</v>
      </c>
      <c r="O80" t="s">
        <v>490</v>
      </c>
      <c r="P80">
        <v>3435</v>
      </c>
      <c r="Q80" t="s">
        <v>145</v>
      </c>
      <c r="R80" t="s">
        <v>111</v>
      </c>
      <c r="S80">
        <v>2</v>
      </c>
      <c r="T80">
        <v>2</v>
      </c>
      <c r="U80">
        <v>2</v>
      </c>
      <c r="V80">
        <v>2</v>
      </c>
      <c r="W80">
        <v>9</v>
      </c>
      <c r="X80">
        <v>5</v>
      </c>
      <c r="Y80">
        <v>15</v>
      </c>
      <c r="Z80">
        <v>10</v>
      </c>
      <c r="AA80">
        <v>10</v>
      </c>
      <c r="AB80">
        <v>15</v>
      </c>
      <c r="AC80">
        <v>6</v>
      </c>
      <c r="AD80">
        <v>6</v>
      </c>
      <c r="AE80">
        <v>1</v>
      </c>
      <c r="AF80">
        <v>1</v>
      </c>
      <c r="AG80">
        <v>16</v>
      </c>
      <c r="AH80">
        <v>12</v>
      </c>
      <c r="AI80">
        <v>4</v>
      </c>
      <c r="AJ80">
        <v>2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1.02</v>
      </c>
      <c r="AQ80">
        <v>1</v>
      </c>
    </row>
    <row r="81" spans="1:43" x14ac:dyDescent="0.25">
      <c r="A81">
        <v>2024</v>
      </c>
      <c r="B81">
        <v>45459</v>
      </c>
      <c r="C81">
        <v>9</v>
      </c>
      <c r="D81">
        <v>8661</v>
      </c>
      <c r="E81">
        <v>19225</v>
      </c>
      <c r="F81" t="s">
        <v>473</v>
      </c>
      <c r="G81">
        <v>0.45050715214564369</v>
      </c>
      <c r="H81" t="s">
        <v>43</v>
      </c>
      <c r="I81" t="s">
        <v>38</v>
      </c>
      <c r="J81">
        <v>12</v>
      </c>
      <c r="K81" t="s">
        <v>483</v>
      </c>
      <c r="L81">
        <v>3</v>
      </c>
      <c r="M81">
        <v>-9</v>
      </c>
      <c r="N81">
        <v>645</v>
      </c>
      <c r="O81" t="s">
        <v>488</v>
      </c>
      <c r="P81">
        <v>2880</v>
      </c>
      <c r="Q81" t="s">
        <v>208</v>
      </c>
      <c r="R81" t="s">
        <v>105</v>
      </c>
      <c r="S81">
        <v>2</v>
      </c>
      <c r="T81">
        <v>2</v>
      </c>
      <c r="U81">
        <v>1</v>
      </c>
      <c r="V81">
        <v>0</v>
      </c>
      <c r="W81">
        <v>6</v>
      </c>
      <c r="X81">
        <v>7</v>
      </c>
      <c r="Y81">
        <v>14</v>
      </c>
      <c r="Z81">
        <v>13</v>
      </c>
      <c r="AA81">
        <v>11</v>
      </c>
      <c r="AB81">
        <v>14</v>
      </c>
      <c r="AC81">
        <v>4</v>
      </c>
      <c r="AD81">
        <v>3</v>
      </c>
      <c r="AE81">
        <v>4</v>
      </c>
      <c r="AF81">
        <v>1</v>
      </c>
      <c r="AG81">
        <v>17</v>
      </c>
      <c r="AH81">
        <v>22</v>
      </c>
      <c r="AI81">
        <v>6</v>
      </c>
      <c r="AJ81">
        <v>10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1.92</v>
      </c>
      <c r="AQ81">
        <v>1</v>
      </c>
    </row>
    <row r="82" spans="1:43" x14ac:dyDescent="0.25">
      <c r="A82">
        <v>2024</v>
      </c>
      <c r="B82">
        <v>45459</v>
      </c>
      <c r="C82">
        <v>9</v>
      </c>
      <c r="D82">
        <v>14251</v>
      </c>
      <c r="E82">
        <v>30618</v>
      </c>
      <c r="F82" t="s">
        <v>474</v>
      </c>
      <c r="G82">
        <v>0.46544516297602717</v>
      </c>
      <c r="H82" t="s">
        <v>94</v>
      </c>
      <c r="I82" t="s">
        <v>37</v>
      </c>
      <c r="J82">
        <v>20</v>
      </c>
      <c r="K82" t="s">
        <v>484</v>
      </c>
      <c r="L82">
        <v>9</v>
      </c>
      <c r="M82">
        <v>-11</v>
      </c>
      <c r="N82">
        <v>1323</v>
      </c>
      <c r="O82" t="s">
        <v>488</v>
      </c>
      <c r="P82">
        <v>3965</v>
      </c>
      <c r="Q82" t="s">
        <v>209</v>
      </c>
      <c r="R82" t="s">
        <v>193</v>
      </c>
      <c r="S82">
        <v>2</v>
      </c>
      <c r="T82">
        <v>1</v>
      </c>
      <c r="U82">
        <v>1</v>
      </c>
      <c r="V82">
        <v>0</v>
      </c>
      <c r="W82">
        <v>4</v>
      </c>
      <c r="X82">
        <v>2</v>
      </c>
      <c r="Y82">
        <v>6</v>
      </c>
      <c r="Z82">
        <v>16</v>
      </c>
      <c r="AA82">
        <v>16</v>
      </c>
      <c r="AB82">
        <v>5</v>
      </c>
      <c r="AC82">
        <v>4</v>
      </c>
      <c r="AD82">
        <v>2</v>
      </c>
      <c r="AE82">
        <v>3</v>
      </c>
      <c r="AF82">
        <v>2</v>
      </c>
      <c r="AG82">
        <v>11</v>
      </c>
      <c r="AH82">
        <v>15</v>
      </c>
      <c r="AI82">
        <v>5</v>
      </c>
      <c r="AJ82">
        <v>8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1.48</v>
      </c>
      <c r="AQ82">
        <v>0</v>
      </c>
    </row>
    <row r="83" spans="1:43" x14ac:dyDescent="0.25">
      <c r="A83">
        <v>2024</v>
      </c>
      <c r="B83">
        <v>45459</v>
      </c>
      <c r="C83">
        <v>9</v>
      </c>
      <c r="D83">
        <v>38641</v>
      </c>
      <c r="E83">
        <v>42372</v>
      </c>
      <c r="F83" t="s">
        <v>475</v>
      </c>
      <c r="G83">
        <v>0.91194656848862454</v>
      </c>
      <c r="H83" t="s">
        <v>69</v>
      </c>
      <c r="I83" t="s">
        <v>77</v>
      </c>
      <c r="J83">
        <v>4</v>
      </c>
      <c r="K83" t="s">
        <v>481</v>
      </c>
      <c r="L83">
        <v>2</v>
      </c>
      <c r="M83">
        <v>-2</v>
      </c>
      <c r="N83">
        <v>2005</v>
      </c>
      <c r="O83" t="s">
        <v>487</v>
      </c>
      <c r="P83">
        <v>7390</v>
      </c>
      <c r="Q83" t="s">
        <v>137</v>
      </c>
      <c r="R83" t="s">
        <v>98</v>
      </c>
      <c r="S83">
        <v>1</v>
      </c>
      <c r="T83">
        <v>1</v>
      </c>
      <c r="U83">
        <v>0</v>
      </c>
      <c r="V83">
        <v>0</v>
      </c>
      <c r="W83">
        <v>5</v>
      </c>
      <c r="X83">
        <v>9</v>
      </c>
      <c r="Y83">
        <v>11</v>
      </c>
      <c r="Z83">
        <v>11</v>
      </c>
      <c r="AA83">
        <v>10</v>
      </c>
      <c r="AB83">
        <v>11</v>
      </c>
      <c r="AC83">
        <v>5</v>
      </c>
      <c r="AD83">
        <v>2</v>
      </c>
      <c r="AE83">
        <v>0</v>
      </c>
      <c r="AF83">
        <v>2</v>
      </c>
      <c r="AG83">
        <v>14</v>
      </c>
      <c r="AH83">
        <v>9</v>
      </c>
      <c r="AI83">
        <v>6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1.79</v>
      </c>
      <c r="AQ83">
        <v>0</v>
      </c>
    </row>
    <row r="84" spans="1:43" x14ac:dyDescent="0.25">
      <c r="A84">
        <v>2024</v>
      </c>
      <c r="B84">
        <v>45459</v>
      </c>
      <c r="C84">
        <v>9</v>
      </c>
      <c r="D84">
        <v>11275</v>
      </c>
      <c r="E84">
        <v>24584</v>
      </c>
      <c r="F84" t="s">
        <v>473</v>
      </c>
      <c r="G84">
        <v>0.45863163032866905</v>
      </c>
      <c r="H84" t="s">
        <v>82</v>
      </c>
      <c r="I84" t="s">
        <v>50</v>
      </c>
      <c r="J84">
        <v>16</v>
      </c>
      <c r="K84" t="s">
        <v>484</v>
      </c>
      <c r="L84">
        <v>10</v>
      </c>
      <c r="M84">
        <v>-6</v>
      </c>
      <c r="N84">
        <v>1915</v>
      </c>
      <c r="O84" t="s">
        <v>487</v>
      </c>
      <c r="P84">
        <v>2565</v>
      </c>
      <c r="Q84" t="s">
        <v>134</v>
      </c>
      <c r="R84" t="s">
        <v>209</v>
      </c>
      <c r="S84">
        <v>0</v>
      </c>
      <c r="T84">
        <v>0</v>
      </c>
      <c r="U84">
        <v>0</v>
      </c>
      <c r="V84">
        <v>0</v>
      </c>
      <c r="W84">
        <v>5</v>
      </c>
      <c r="X84">
        <v>5</v>
      </c>
      <c r="Y84">
        <v>11</v>
      </c>
      <c r="Z84">
        <v>11</v>
      </c>
      <c r="AA84">
        <v>10</v>
      </c>
      <c r="AB84">
        <v>11</v>
      </c>
      <c r="AC84">
        <v>2</v>
      </c>
      <c r="AD84">
        <v>4</v>
      </c>
      <c r="AE84">
        <v>0</v>
      </c>
      <c r="AF84">
        <v>3</v>
      </c>
      <c r="AG84">
        <v>14</v>
      </c>
      <c r="AH84">
        <v>8</v>
      </c>
      <c r="AI84">
        <v>7</v>
      </c>
      <c r="AJ84">
        <v>3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1.06</v>
      </c>
      <c r="AQ84">
        <v>0</v>
      </c>
    </row>
    <row r="85" spans="1:43" x14ac:dyDescent="0.25">
      <c r="A85">
        <v>2024</v>
      </c>
      <c r="B85">
        <v>45461</v>
      </c>
      <c r="C85">
        <v>9</v>
      </c>
      <c r="D85">
        <v>31448</v>
      </c>
      <c r="E85">
        <v>46000</v>
      </c>
      <c r="F85" t="s">
        <v>475</v>
      </c>
      <c r="G85">
        <v>0.68365217391304345</v>
      </c>
      <c r="H85" t="s">
        <v>89</v>
      </c>
      <c r="I85" t="s">
        <v>95</v>
      </c>
      <c r="J85">
        <v>6</v>
      </c>
      <c r="K85" t="s">
        <v>482</v>
      </c>
      <c r="L85">
        <v>5</v>
      </c>
      <c r="M85">
        <v>-1</v>
      </c>
      <c r="N85">
        <v>4760</v>
      </c>
      <c r="O85" t="s">
        <v>490</v>
      </c>
      <c r="P85">
        <v>10060</v>
      </c>
      <c r="Q85" t="s">
        <v>117</v>
      </c>
      <c r="R85" t="s">
        <v>114</v>
      </c>
      <c r="S85">
        <v>0</v>
      </c>
      <c r="T85">
        <v>4</v>
      </c>
      <c r="U85">
        <v>0</v>
      </c>
      <c r="V85">
        <v>1</v>
      </c>
      <c r="W85">
        <v>3</v>
      </c>
      <c r="X85">
        <v>6</v>
      </c>
      <c r="Y85">
        <v>16</v>
      </c>
      <c r="Z85">
        <v>16</v>
      </c>
      <c r="AA85">
        <v>16</v>
      </c>
      <c r="AB85">
        <v>15</v>
      </c>
      <c r="AC85">
        <v>5</v>
      </c>
      <c r="AD85">
        <v>3</v>
      </c>
      <c r="AE85">
        <v>1</v>
      </c>
      <c r="AF85">
        <v>2</v>
      </c>
      <c r="AG85">
        <v>11</v>
      </c>
      <c r="AH85">
        <v>22</v>
      </c>
      <c r="AI85">
        <v>5</v>
      </c>
      <c r="AJ85">
        <v>8</v>
      </c>
      <c r="AK85">
        <v>-4</v>
      </c>
      <c r="AL85">
        <v>0</v>
      </c>
      <c r="AM85">
        <v>0</v>
      </c>
      <c r="AN85">
        <v>0</v>
      </c>
      <c r="AO85">
        <v>1</v>
      </c>
      <c r="AP85">
        <v>0.37</v>
      </c>
      <c r="AQ85">
        <v>1</v>
      </c>
    </row>
    <row r="86" spans="1:43" x14ac:dyDescent="0.25">
      <c r="A86">
        <v>2024</v>
      </c>
      <c r="B86">
        <v>45470</v>
      </c>
      <c r="C86">
        <v>12</v>
      </c>
      <c r="D86">
        <v>26465</v>
      </c>
      <c r="E86">
        <v>61927</v>
      </c>
      <c r="F86" t="s">
        <v>473</v>
      </c>
      <c r="G86">
        <v>0.42735801831188336</v>
      </c>
      <c r="H86" t="s">
        <v>50</v>
      </c>
      <c r="I86" t="s">
        <v>69</v>
      </c>
      <c r="J86">
        <v>6</v>
      </c>
      <c r="K86" t="s">
        <v>482</v>
      </c>
      <c r="L86">
        <v>8</v>
      </c>
      <c r="M86">
        <v>2</v>
      </c>
      <c r="N86">
        <v>3150</v>
      </c>
      <c r="O86" t="s">
        <v>487</v>
      </c>
      <c r="P86">
        <v>2600</v>
      </c>
      <c r="Q86">
        <v>27</v>
      </c>
      <c r="R86" t="s">
        <v>107</v>
      </c>
      <c r="S86">
        <v>2</v>
      </c>
      <c r="T86">
        <v>0</v>
      </c>
      <c r="U86">
        <v>1</v>
      </c>
      <c r="V86">
        <v>0</v>
      </c>
      <c r="W86">
        <v>7</v>
      </c>
      <c r="X86">
        <v>12</v>
      </c>
      <c r="Y86">
        <v>8</v>
      </c>
      <c r="Z86">
        <v>6</v>
      </c>
      <c r="AA86">
        <v>6</v>
      </c>
      <c r="AB86">
        <v>7</v>
      </c>
      <c r="AC86">
        <v>3</v>
      </c>
      <c r="AD86">
        <v>5</v>
      </c>
      <c r="AE86">
        <v>1</v>
      </c>
      <c r="AF86">
        <v>0</v>
      </c>
      <c r="AG86">
        <v>22</v>
      </c>
      <c r="AH86">
        <v>14</v>
      </c>
      <c r="AI86">
        <v>8</v>
      </c>
      <c r="AJ86">
        <v>6</v>
      </c>
      <c r="AK86">
        <v>2</v>
      </c>
      <c r="AL86">
        <v>1</v>
      </c>
      <c r="AM86">
        <v>0</v>
      </c>
      <c r="AN86">
        <v>1</v>
      </c>
      <c r="AO86">
        <v>0</v>
      </c>
      <c r="AP86">
        <v>1.88</v>
      </c>
      <c r="AQ86">
        <v>0</v>
      </c>
    </row>
    <row r="87" spans="1:43" x14ac:dyDescent="0.25">
      <c r="A87">
        <v>2024</v>
      </c>
      <c r="B87">
        <v>45470</v>
      </c>
      <c r="C87">
        <v>12</v>
      </c>
      <c r="D87">
        <v>8838</v>
      </c>
      <c r="E87">
        <v>13000</v>
      </c>
      <c r="F87" t="s">
        <v>476</v>
      </c>
      <c r="G87">
        <v>0.67984615384615388</v>
      </c>
      <c r="H87" t="s">
        <v>76</v>
      </c>
      <c r="I87" t="s">
        <v>83</v>
      </c>
      <c r="J87">
        <v>17</v>
      </c>
      <c r="K87" t="s">
        <v>484</v>
      </c>
      <c r="L87">
        <v>19</v>
      </c>
      <c r="M87">
        <v>2</v>
      </c>
      <c r="N87">
        <v>1120</v>
      </c>
      <c r="O87" t="s">
        <v>488</v>
      </c>
      <c r="P87">
        <v>3230</v>
      </c>
      <c r="Q87" t="s">
        <v>209</v>
      </c>
      <c r="R87" t="s">
        <v>111</v>
      </c>
      <c r="S87">
        <v>1</v>
      </c>
      <c r="T87">
        <v>1</v>
      </c>
      <c r="U87">
        <v>0</v>
      </c>
      <c r="V87">
        <v>0</v>
      </c>
      <c r="W87">
        <v>5</v>
      </c>
      <c r="X87">
        <v>8</v>
      </c>
      <c r="Y87">
        <v>13</v>
      </c>
      <c r="Z87">
        <v>11</v>
      </c>
      <c r="AA87">
        <v>10</v>
      </c>
      <c r="AB87">
        <v>12</v>
      </c>
      <c r="AC87">
        <v>3</v>
      </c>
      <c r="AD87">
        <v>4</v>
      </c>
      <c r="AE87">
        <v>2</v>
      </c>
      <c r="AF87">
        <v>0</v>
      </c>
      <c r="AG87">
        <v>16</v>
      </c>
      <c r="AH87">
        <v>11</v>
      </c>
      <c r="AI87">
        <v>8</v>
      </c>
      <c r="AJ87">
        <v>5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1.69</v>
      </c>
      <c r="AQ87">
        <v>0</v>
      </c>
    </row>
    <row r="88" spans="1:43" x14ac:dyDescent="0.25">
      <c r="A88">
        <v>2024</v>
      </c>
      <c r="B88">
        <v>45470</v>
      </c>
      <c r="C88">
        <v>12</v>
      </c>
      <c r="D88">
        <v>9978</v>
      </c>
      <c r="E88">
        <v>19848</v>
      </c>
      <c r="F88" t="s">
        <v>474</v>
      </c>
      <c r="G88">
        <v>0.50272067714631197</v>
      </c>
      <c r="H88" t="s">
        <v>37</v>
      </c>
      <c r="I88" t="s">
        <v>89</v>
      </c>
      <c r="J88">
        <v>5</v>
      </c>
      <c r="K88" t="s">
        <v>481</v>
      </c>
      <c r="L88">
        <v>7</v>
      </c>
      <c r="M88">
        <v>2</v>
      </c>
      <c r="N88">
        <v>4450</v>
      </c>
      <c r="O88" t="s">
        <v>490</v>
      </c>
      <c r="P88">
        <v>4355</v>
      </c>
      <c r="Q88" t="s">
        <v>174</v>
      </c>
      <c r="R88" t="s">
        <v>66</v>
      </c>
      <c r="S88">
        <v>1</v>
      </c>
      <c r="T88">
        <v>2</v>
      </c>
      <c r="U88">
        <v>0</v>
      </c>
      <c r="V88">
        <v>0</v>
      </c>
      <c r="W88">
        <v>5</v>
      </c>
      <c r="X88">
        <v>9</v>
      </c>
      <c r="Y88">
        <v>17</v>
      </c>
      <c r="Z88">
        <v>10</v>
      </c>
      <c r="AA88">
        <v>10</v>
      </c>
      <c r="AB88">
        <v>16</v>
      </c>
      <c r="AC88">
        <v>3</v>
      </c>
      <c r="AD88">
        <v>6</v>
      </c>
      <c r="AE88">
        <v>3</v>
      </c>
      <c r="AF88">
        <v>0</v>
      </c>
      <c r="AG88">
        <v>13</v>
      </c>
      <c r="AH88">
        <v>16</v>
      </c>
      <c r="AI88">
        <v>3</v>
      </c>
      <c r="AJ88">
        <v>5</v>
      </c>
      <c r="AK88">
        <v>-1</v>
      </c>
      <c r="AL88">
        <v>0</v>
      </c>
      <c r="AM88">
        <v>0</v>
      </c>
      <c r="AN88">
        <v>0</v>
      </c>
      <c r="AO88">
        <v>1</v>
      </c>
      <c r="AP88">
        <v>1.72</v>
      </c>
      <c r="AQ88">
        <v>0</v>
      </c>
    </row>
    <row r="89" spans="1:43" x14ac:dyDescent="0.25">
      <c r="A89">
        <v>2024</v>
      </c>
      <c r="B89">
        <v>45470</v>
      </c>
      <c r="C89">
        <v>12</v>
      </c>
      <c r="D89">
        <v>13333</v>
      </c>
      <c r="E89">
        <v>46931</v>
      </c>
      <c r="F89" t="s">
        <v>474</v>
      </c>
      <c r="G89">
        <v>0.28409793100509256</v>
      </c>
      <c r="H89" t="s">
        <v>51</v>
      </c>
      <c r="I89" t="s">
        <v>56</v>
      </c>
      <c r="J89">
        <v>3</v>
      </c>
      <c r="K89" t="s">
        <v>481</v>
      </c>
      <c r="L89">
        <v>10</v>
      </c>
      <c r="M89">
        <v>7</v>
      </c>
      <c r="N89">
        <v>3005</v>
      </c>
      <c r="O89" t="s">
        <v>487</v>
      </c>
      <c r="P89">
        <v>4640</v>
      </c>
      <c r="Q89" t="s">
        <v>205</v>
      </c>
      <c r="R89" t="s">
        <v>217</v>
      </c>
      <c r="S89">
        <v>2</v>
      </c>
      <c r="T89">
        <v>1</v>
      </c>
      <c r="U89">
        <v>1</v>
      </c>
      <c r="V89">
        <v>1</v>
      </c>
      <c r="W89">
        <v>7</v>
      </c>
      <c r="X89">
        <v>4</v>
      </c>
      <c r="Y89">
        <v>13</v>
      </c>
      <c r="Z89">
        <v>12</v>
      </c>
      <c r="AA89">
        <v>12</v>
      </c>
      <c r="AB89">
        <v>12</v>
      </c>
      <c r="AC89">
        <v>5</v>
      </c>
      <c r="AD89">
        <v>2</v>
      </c>
      <c r="AE89">
        <v>1</v>
      </c>
      <c r="AF89">
        <v>1</v>
      </c>
      <c r="AG89">
        <v>12</v>
      </c>
      <c r="AH89">
        <v>13</v>
      </c>
      <c r="AI89">
        <v>7</v>
      </c>
      <c r="AJ89">
        <v>4</v>
      </c>
      <c r="AK89">
        <v>1</v>
      </c>
      <c r="AL89">
        <v>1</v>
      </c>
      <c r="AM89">
        <v>0</v>
      </c>
      <c r="AN89">
        <v>1</v>
      </c>
      <c r="AO89">
        <v>0</v>
      </c>
      <c r="AP89">
        <v>0.55000000000000004</v>
      </c>
      <c r="AQ89">
        <v>0</v>
      </c>
    </row>
    <row r="90" spans="1:43" x14ac:dyDescent="0.25">
      <c r="A90">
        <v>2024</v>
      </c>
      <c r="B90">
        <v>45470</v>
      </c>
      <c r="C90">
        <v>12</v>
      </c>
      <c r="D90">
        <v>38318</v>
      </c>
      <c r="E90">
        <v>47364</v>
      </c>
      <c r="F90" t="s">
        <v>475</v>
      </c>
      <c r="G90">
        <v>0.80901106325479266</v>
      </c>
      <c r="H90" t="s">
        <v>38</v>
      </c>
      <c r="I90" t="s">
        <v>82</v>
      </c>
      <c r="J90">
        <v>2</v>
      </c>
      <c r="K90" t="s">
        <v>481</v>
      </c>
      <c r="L90">
        <v>16</v>
      </c>
      <c r="M90">
        <v>14</v>
      </c>
      <c r="N90">
        <v>3795</v>
      </c>
      <c r="O90" t="s">
        <v>490</v>
      </c>
      <c r="P90">
        <v>2830</v>
      </c>
      <c r="Q90" t="s">
        <v>137</v>
      </c>
      <c r="R90" t="s">
        <v>168</v>
      </c>
      <c r="S90">
        <v>2</v>
      </c>
      <c r="T90">
        <v>1</v>
      </c>
      <c r="U90">
        <v>1</v>
      </c>
      <c r="V90">
        <v>1</v>
      </c>
      <c r="W90">
        <v>7</v>
      </c>
      <c r="X90">
        <v>0</v>
      </c>
      <c r="Y90">
        <v>14</v>
      </c>
      <c r="Z90">
        <v>15</v>
      </c>
      <c r="AA90">
        <v>13</v>
      </c>
      <c r="AB90">
        <v>14</v>
      </c>
      <c r="AC90">
        <v>2</v>
      </c>
      <c r="AD90">
        <v>6</v>
      </c>
      <c r="AE90">
        <v>4</v>
      </c>
      <c r="AF90">
        <v>1</v>
      </c>
      <c r="AG90">
        <v>17</v>
      </c>
      <c r="AH90">
        <v>9</v>
      </c>
      <c r="AI90">
        <v>6</v>
      </c>
      <c r="AJ90">
        <v>6</v>
      </c>
      <c r="AK90">
        <v>1</v>
      </c>
      <c r="AL90">
        <v>1</v>
      </c>
      <c r="AM90">
        <v>0</v>
      </c>
      <c r="AN90">
        <v>1</v>
      </c>
      <c r="AO90">
        <v>0</v>
      </c>
      <c r="AP90">
        <v>2.48</v>
      </c>
      <c r="AQ90">
        <v>0</v>
      </c>
    </row>
    <row r="91" spans="1:43" x14ac:dyDescent="0.25">
      <c r="A91">
        <v>2024</v>
      </c>
      <c r="B91">
        <v>45470</v>
      </c>
      <c r="C91">
        <v>12</v>
      </c>
      <c r="D91">
        <v>38475</v>
      </c>
      <c r="E91">
        <v>49205</v>
      </c>
      <c r="F91" t="s">
        <v>473</v>
      </c>
      <c r="G91">
        <v>0.7819327304135758</v>
      </c>
      <c r="H91" t="s">
        <v>88</v>
      </c>
      <c r="I91" t="s">
        <v>70</v>
      </c>
      <c r="J91">
        <v>18</v>
      </c>
      <c r="K91" t="s">
        <v>484</v>
      </c>
      <c r="L91">
        <v>14</v>
      </c>
      <c r="M91">
        <v>-4</v>
      </c>
      <c r="N91">
        <v>4980</v>
      </c>
      <c r="O91" t="s">
        <v>490</v>
      </c>
      <c r="P91">
        <v>1490</v>
      </c>
      <c r="Q91" t="s">
        <v>220</v>
      </c>
      <c r="R91" t="s">
        <v>86</v>
      </c>
      <c r="S91">
        <v>1</v>
      </c>
      <c r="T91">
        <v>1</v>
      </c>
      <c r="U91">
        <v>0</v>
      </c>
      <c r="V91">
        <v>1</v>
      </c>
      <c r="W91">
        <v>13</v>
      </c>
      <c r="X91">
        <v>1</v>
      </c>
      <c r="Y91">
        <v>10</v>
      </c>
      <c r="Z91">
        <v>13</v>
      </c>
      <c r="AA91">
        <v>12</v>
      </c>
      <c r="AB91">
        <v>10</v>
      </c>
      <c r="AC91">
        <v>3</v>
      </c>
      <c r="AD91">
        <v>6</v>
      </c>
      <c r="AE91">
        <v>2</v>
      </c>
      <c r="AF91">
        <v>1</v>
      </c>
      <c r="AG91">
        <v>24</v>
      </c>
      <c r="AH91">
        <v>13</v>
      </c>
      <c r="AI91">
        <v>9</v>
      </c>
      <c r="AJ91">
        <v>3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1.1299999999999999</v>
      </c>
      <c r="AQ91">
        <v>0</v>
      </c>
    </row>
    <row r="92" spans="1:43" x14ac:dyDescent="0.25">
      <c r="A92">
        <v>2024</v>
      </c>
      <c r="B92">
        <v>45470</v>
      </c>
      <c r="C92">
        <v>12</v>
      </c>
      <c r="D92">
        <v>28631</v>
      </c>
      <c r="E92">
        <v>60326</v>
      </c>
      <c r="F92" t="s">
        <v>473</v>
      </c>
      <c r="G92">
        <v>0.47460464807877201</v>
      </c>
      <c r="H92" t="s">
        <v>63</v>
      </c>
      <c r="I92" t="s">
        <v>95</v>
      </c>
      <c r="J92">
        <v>11</v>
      </c>
      <c r="K92" t="s">
        <v>483</v>
      </c>
      <c r="L92">
        <v>4</v>
      </c>
      <c r="M92">
        <v>-7</v>
      </c>
      <c r="N92">
        <v>1650</v>
      </c>
      <c r="O92" t="s">
        <v>487</v>
      </c>
      <c r="P92">
        <v>6660</v>
      </c>
      <c r="Q92">
        <v>30</v>
      </c>
      <c r="R92" t="s">
        <v>134</v>
      </c>
      <c r="S92">
        <v>3</v>
      </c>
      <c r="T92">
        <v>0</v>
      </c>
      <c r="U92">
        <v>1</v>
      </c>
      <c r="V92">
        <v>0</v>
      </c>
      <c r="W92">
        <v>3</v>
      </c>
      <c r="X92">
        <v>8</v>
      </c>
      <c r="Y92">
        <v>17</v>
      </c>
      <c r="Z92">
        <v>11</v>
      </c>
      <c r="AA92">
        <v>8</v>
      </c>
      <c r="AB92">
        <v>17</v>
      </c>
      <c r="AC92">
        <v>7</v>
      </c>
      <c r="AD92">
        <v>3</v>
      </c>
      <c r="AE92">
        <v>0</v>
      </c>
      <c r="AF92">
        <v>2</v>
      </c>
      <c r="AG92">
        <v>12</v>
      </c>
      <c r="AH92">
        <v>17</v>
      </c>
      <c r="AI92">
        <v>2</v>
      </c>
      <c r="AJ92">
        <v>6</v>
      </c>
      <c r="AK92">
        <v>3</v>
      </c>
      <c r="AL92">
        <v>1</v>
      </c>
      <c r="AM92">
        <v>0</v>
      </c>
      <c r="AN92">
        <v>1</v>
      </c>
      <c r="AO92">
        <v>0</v>
      </c>
      <c r="AP92">
        <v>1.02</v>
      </c>
      <c r="AQ92">
        <v>0</v>
      </c>
    </row>
    <row r="93" spans="1:43" x14ac:dyDescent="0.25">
      <c r="A93">
        <v>2024</v>
      </c>
      <c r="B93">
        <v>45470</v>
      </c>
      <c r="C93">
        <v>12</v>
      </c>
      <c r="D93">
        <v>12675</v>
      </c>
      <c r="E93">
        <v>23726</v>
      </c>
      <c r="F93" t="s">
        <v>476</v>
      </c>
      <c r="G93">
        <v>0.53422405799544803</v>
      </c>
      <c r="H93" t="s">
        <v>44</v>
      </c>
      <c r="I93" t="s">
        <v>77</v>
      </c>
      <c r="J93">
        <v>13</v>
      </c>
      <c r="K93" t="s">
        <v>483</v>
      </c>
      <c r="L93">
        <v>1</v>
      </c>
      <c r="M93">
        <v>-12</v>
      </c>
      <c r="N93">
        <v>965</v>
      </c>
      <c r="O93" t="s">
        <v>488</v>
      </c>
      <c r="P93">
        <v>9900</v>
      </c>
      <c r="Q93" t="s">
        <v>74</v>
      </c>
      <c r="R93" t="s">
        <v>221</v>
      </c>
      <c r="S93">
        <v>2</v>
      </c>
      <c r="T93">
        <v>1</v>
      </c>
      <c r="U93">
        <v>1</v>
      </c>
      <c r="V93">
        <v>1</v>
      </c>
      <c r="W93">
        <v>7</v>
      </c>
      <c r="X93">
        <v>8</v>
      </c>
      <c r="Y93">
        <v>9</v>
      </c>
      <c r="Z93">
        <v>10</v>
      </c>
      <c r="AA93">
        <v>10</v>
      </c>
      <c r="AB93">
        <v>9</v>
      </c>
      <c r="AC93">
        <v>3</v>
      </c>
      <c r="AD93">
        <v>7</v>
      </c>
      <c r="AE93">
        <v>4</v>
      </c>
      <c r="AF93">
        <v>2</v>
      </c>
      <c r="AG93">
        <v>15</v>
      </c>
      <c r="AH93">
        <v>9</v>
      </c>
      <c r="AI93">
        <v>6</v>
      </c>
      <c r="AJ93">
        <v>2</v>
      </c>
      <c r="AK93">
        <v>1</v>
      </c>
      <c r="AL93">
        <v>1</v>
      </c>
      <c r="AM93">
        <v>0</v>
      </c>
      <c r="AN93">
        <v>1</v>
      </c>
      <c r="AO93">
        <v>0</v>
      </c>
      <c r="AP93">
        <v>2.4500000000000002</v>
      </c>
      <c r="AQ93">
        <v>0</v>
      </c>
    </row>
    <row r="94" spans="1:43" x14ac:dyDescent="0.25">
      <c r="A94">
        <v>2024</v>
      </c>
      <c r="B94">
        <v>45471</v>
      </c>
      <c r="C94">
        <v>12</v>
      </c>
      <c r="D94">
        <v>26569</v>
      </c>
      <c r="E94">
        <v>82238</v>
      </c>
      <c r="F94" t="s">
        <v>475</v>
      </c>
      <c r="G94">
        <v>0.32307449111116515</v>
      </c>
      <c r="H94" t="s">
        <v>55</v>
      </c>
      <c r="I94" t="s">
        <v>94</v>
      </c>
      <c r="J94">
        <v>20</v>
      </c>
      <c r="K94" t="s">
        <v>484</v>
      </c>
      <c r="L94">
        <v>15</v>
      </c>
      <c r="M94">
        <v>-5</v>
      </c>
      <c r="N94">
        <v>2225</v>
      </c>
      <c r="O94" t="s">
        <v>487</v>
      </c>
      <c r="P94">
        <v>1233</v>
      </c>
      <c r="Q94" t="s">
        <v>224</v>
      </c>
      <c r="R94" t="s">
        <v>114</v>
      </c>
      <c r="S94">
        <v>0</v>
      </c>
      <c r="T94">
        <v>1</v>
      </c>
      <c r="U94">
        <v>0</v>
      </c>
      <c r="V94">
        <v>0</v>
      </c>
      <c r="W94">
        <v>6</v>
      </c>
      <c r="X94">
        <v>2</v>
      </c>
      <c r="Y94">
        <v>14</v>
      </c>
      <c r="Z94">
        <v>12</v>
      </c>
      <c r="AA94">
        <v>11</v>
      </c>
      <c r="AB94">
        <v>14</v>
      </c>
      <c r="AC94">
        <v>5</v>
      </c>
      <c r="AD94">
        <v>5</v>
      </c>
      <c r="AE94">
        <v>2</v>
      </c>
      <c r="AF94">
        <v>0</v>
      </c>
      <c r="AG94">
        <v>12</v>
      </c>
      <c r="AH94">
        <v>9</v>
      </c>
      <c r="AI94">
        <v>4</v>
      </c>
      <c r="AJ94">
        <v>1</v>
      </c>
      <c r="AK94">
        <v>-1</v>
      </c>
      <c r="AL94">
        <v>0</v>
      </c>
      <c r="AM94">
        <v>0</v>
      </c>
      <c r="AN94">
        <v>0</v>
      </c>
      <c r="AO94">
        <v>1</v>
      </c>
      <c r="AP94">
        <v>0.34</v>
      </c>
      <c r="AQ94">
        <v>0</v>
      </c>
    </row>
    <row r="95" spans="1:43" x14ac:dyDescent="0.25">
      <c r="A95">
        <v>2024</v>
      </c>
      <c r="B95">
        <v>45471</v>
      </c>
      <c r="C95">
        <v>12</v>
      </c>
      <c r="D95">
        <v>28008</v>
      </c>
      <c r="E95">
        <v>72039</v>
      </c>
      <c r="F95" t="s">
        <v>476</v>
      </c>
      <c r="G95">
        <v>0.3887894057385583</v>
      </c>
      <c r="H95" t="s">
        <v>62</v>
      </c>
      <c r="I95" t="s">
        <v>43</v>
      </c>
      <c r="J95">
        <v>9</v>
      </c>
      <c r="K95" t="s">
        <v>482</v>
      </c>
      <c r="L95">
        <v>12</v>
      </c>
      <c r="M95">
        <v>3</v>
      </c>
      <c r="N95">
        <v>2895</v>
      </c>
      <c r="O95" t="s">
        <v>487</v>
      </c>
      <c r="P95">
        <v>443</v>
      </c>
      <c r="Q95" t="s">
        <v>193</v>
      </c>
      <c r="R95" t="s">
        <v>179</v>
      </c>
      <c r="S95">
        <v>2</v>
      </c>
      <c r="T95">
        <v>1</v>
      </c>
      <c r="U95">
        <v>2</v>
      </c>
      <c r="V95">
        <v>0</v>
      </c>
      <c r="W95">
        <v>2</v>
      </c>
      <c r="X95">
        <v>2</v>
      </c>
      <c r="Y95">
        <v>10</v>
      </c>
      <c r="Z95">
        <v>22</v>
      </c>
      <c r="AA95">
        <v>21</v>
      </c>
      <c r="AB95">
        <v>9</v>
      </c>
      <c r="AC95">
        <v>0</v>
      </c>
      <c r="AD95">
        <v>4</v>
      </c>
      <c r="AE95">
        <v>1</v>
      </c>
      <c r="AF95">
        <v>0</v>
      </c>
      <c r="AG95">
        <v>13</v>
      </c>
      <c r="AH95">
        <v>10</v>
      </c>
      <c r="AI95">
        <v>4</v>
      </c>
      <c r="AJ95">
        <v>6</v>
      </c>
      <c r="AK95">
        <v>1</v>
      </c>
      <c r="AL95">
        <v>1</v>
      </c>
      <c r="AM95">
        <v>0</v>
      </c>
      <c r="AN95">
        <v>1</v>
      </c>
      <c r="AO95">
        <v>0</v>
      </c>
      <c r="AP95">
        <v>0.47</v>
      </c>
      <c r="AQ95">
        <v>0</v>
      </c>
    </row>
    <row r="96" spans="1:43" x14ac:dyDescent="0.25">
      <c r="A96">
        <v>2024</v>
      </c>
      <c r="B96">
        <v>45472</v>
      </c>
      <c r="C96">
        <v>13</v>
      </c>
      <c r="D96">
        <v>16121</v>
      </c>
      <c r="E96">
        <v>24584</v>
      </c>
      <c r="F96" t="s">
        <v>476</v>
      </c>
      <c r="G96">
        <v>0.65575170842824604</v>
      </c>
      <c r="H96" t="s">
        <v>82</v>
      </c>
      <c r="I96" t="s">
        <v>51</v>
      </c>
      <c r="J96">
        <v>16</v>
      </c>
      <c r="K96" t="s">
        <v>484</v>
      </c>
      <c r="L96">
        <v>3</v>
      </c>
      <c r="M96">
        <v>-13</v>
      </c>
      <c r="N96">
        <v>2660</v>
      </c>
      <c r="O96" t="s">
        <v>487</v>
      </c>
      <c r="P96">
        <v>3145</v>
      </c>
      <c r="Q96" t="s">
        <v>163</v>
      </c>
      <c r="R96" t="s">
        <v>92</v>
      </c>
      <c r="S96">
        <v>1</v>
      </c>
      <c r="T96">
        <v>1</v>
      </c>
      <c r="U96">
        <v>0</v>
      </c>
      <c r="V96">
        <v>0</v>
      </c>
      <c r="W96">
        <v>0</v>
      </c>
      <c r="X96">
        <v>5</v>
      </c>
      <c r="Y96">
        <v>13</v>
      </c>
      <c r="Z96">
        <v>23</v>
      </c>
      <c r="AA96">
        <v>20</v>
      </c>
      <c r="AB96">
        <v>12</v>
      </c>
      <c r="AC96">
        <v>5</v>
      </c>
      <c r="AD96">
        <v>1</v>
      </c>
      <c r="AE96">
        <v>0</v>
      </c>
      <c r="AF96">
        <v>0</v>
      </c>
      <c r="AG96">
        <v>10</v>
      </c>
      <c r="AH96">
        <v>13</v>
      </c>
      <c r="AI96">
        <v>6</v>
      </c>
      <c r="AJ96">
        <v>4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1.82</v>
      </c>
      <c r="AQ96">
        <v>0</v>
      </c>
    </row>
    <row r="97" spans="1:43" x14ac:dyDescent="0.25">
      <c r="A97">
        <v>2024</v>
      </c>
      <c r="B97">
        <v>45472</v>
      </c>
      <c r="C97">
        <v>13</v>
      </c>
      <c r="D97">
        <v>5024</v>
      </c>
      <c r="E97">
        <v>42968</v>
      </c>
      <c r="F97" t="s">
        <v>477</v>
      </c>
      <c r="G97">
        <v>0.11692422267734127</v>
      </c>
      <c r="H97" t="s">
        <v>70</v>
      </c>
      <c r="I97" t="s">
        <v>56</v>
      </c>
      <c r="J97">
        <v>14</v>
      </c>
      <c r="K97" t="s">
        <v>483</v>
      </c>
      <c r="L97">
        <v>11</v>
      </c>
      <c r="M97">
        <v>-3</v>
      </c>
      <c r="N97">
        <v>1410</v>
      </c>
      <c r="O97" t="s">
        <v>488</v>
      </c>
      <c r="P97">
        <v>4470</v>
      </c>
      <c r="Q97" t="s">
        <v>135</v>
      </c>
      <c r="R97" t="s">
        <v>228</v>
      </c>
      <c r="S97">
        <v>1</v>
      </c>
      <c r="T97">
        <v>1</v>
      </c>
      <c r="U97">
        <v>1</v>
      </c>
      <c r="V97">
        <v>1</v>
      </c>
      <c r="W97">
        <v>3</v>
      </c>
      <c r="X97">
        <v>11</v>
      </c>
      <c r="Y97">
        <v>13</v>
      </c>
      <c r="Z97">
        <v>16</v>
      </c>
      <c r="AA97">
        <v>16</v>
      </c>
      <c r="AB97">
        <v>12</v>
      </c>
      <c r="AC97">
        <v>4</v>
      </c>
      <c r="AD97">
        <v>1</v>
      </c>
      <c r="AE97">
        <v>2</v>
      </c>
      <c r="AF97">
        <v>1</v>
      </c>
      <c r="AG97">
        <v>5</v>
      </c>
      <c r="AH97">
        <v>15</v>
      </c>
      <c r="AI97">
        <v>3</v>
      </c>
      <c r="AJ97">
        <v>6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0.25</v>
      </c>
      <c r="AQ97">
        <v>1</v>
      </c>
    </row>
    <row r="98" spans="1:43" x14ac:dyDescent="0.25">
      <c r="A98">
        <v>2024</v>
      </c>
      <c r="B98">
        <v>45473</v>
      </c>
      <c r="C98">
        <v>13</v>
      </c>
      <c r="D98">
        <v>39767</v>
      </c>
      <c r="E98">
        <v>46000</v>
      </c>
      <c r="F98" t="s">
        <v>474</v>
      </c>
      <c r="G98">
        <v>0.86450000000000005</v>
      </c>
      <c r="H98" t="s">
        <v>89</v>
      </c>
      <c r="I98" t="s">
        <v>76</v>
      </c>
      <c r="J98">
        <v>9</v>
      </c>
      <c r="K98" t="s">
        <v>482</v>
      </c>
      <c r="L98">
        <v>17</v>
      </c>
      <c r="M98">
        <v>8</v>
      </c>
      <c r="N98">
        <v>2920</v>
      </c>
      <c r="O98" t="s">
        <v>487</v>
      </c>
      <c r="P98">
        <v>1250</v>
      </c>
      <c r="Q98" t="s">
        <v>117</v>
      </c>
      <c r="R98" t="s">
        <v>104</v>
      </c>
      <c r="S98">
        <v>1</v>
      </c>
      <c r="T98">
        <v>1</v>
      </c>
      <c r="U98">
        <v>1</v>
      </c>
      <c r="V98">
        <v>1</v>
      </c>
      <c r="W98">
        <v>5</v>
      </c>
      <c r="X98">
        <v>8</v>
      </c>
      <c r="Y98">
        <v>10</v>
      </c>
      <c r="Z98">
        <v>11</v>
      </c>
      <c r="AA98">
        <v>9</v>
      </c>
      <c r="AB98">
        <v>10</v>
      </c>
      <c r="AC98">
        <v>4</v>
      </c>
      <c r="AD98">
        <v>5</v>
      </c>
      <c r="AE98">
        <v>0</v>
      </c>
      <c r="AF98">
        <v>2</v>
      </c>
      <c r="AG98">
        <v>15</v>
      </c>
      <c r="AH98">
        <v>12</v>
      </c>
      <c r="AI98">
        <v>4</v>
      </c>
      <c r="AJ98">
        <v>4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0.75</v>
      </c>
      <c r="AQ98">
        <v>0</v>
      </c>
    </row>
    <row r="99" spans="1:43" x14ac:dyDescent="0.25">
      <c r="A99">
        <v>2024</v>
      </c>
      <c r="B99">
        <v>45475</v>
      </c>
      <c r="C99">
        <v>13</v>
      </c>
      <c r="D99">
        <v>41175</v>
      </c>
      <c r="E99">
        <v>43713</v>
      </c>
      <c r="F99" t="s">
        <v>473</v>
      </c>
      <c r="G99">
        <v>0.94193946880790613</v>
      </c>
      <c r="H99" t="s">
        <v>95</v>
      </c>
      <c r="I99" t="s">
        <v>88</v>
      </c>
      <c r="J99">
        <v>2</v>
      </c>
      <c r="K99" t="s">
        <v>481</v>
      </c>
      <c r="L99">
        <v>19</v>
      </c>
      <c r="M99">
        <v>17</v>
      </c>
      <c r="N99">
        <v>9010</v>
      </c>
      <c r="O99" t="s">
        <v>489</v>
      </c>
      <c r="P99">
        <v>4630</v>
      </c>
      <c r="Q99">
        <v>26</v>
      </c>
      <c r="R99" t="s">
        <v>230</v>
      </c>
      <c r="S99">
        <v>2</v>
      </c>
      <c r="T99">
        <v>0</v>
      </c>
      <c r="U99">
        <v>0</v>
      </c>
      <c r="V99">
        <v>0</v>
      </c>
      <c r="W99">
        <v>7</v>
      </c>
      <c r="X99">
        <v>3</v>
      </c>
      <c r="Y99">
        <v>18</v>
      </c>
      <c r="Z99">
        <v>10</v>
      </c>
      <c r="AA99">
        <v>10</v>
      </c>
      <c r="AB99">
        <v>18</v>
      </c>
      <c r="AC99">
        <v>4</v>
      </c>
      <c r="AD99">
        <v>8</v>
      </c>
      <c r="AE99">
        <v>2</v>
      </c>
      <c r="AF99">
        <v>0</v>
      </c>
      <c r="AG99">
        <v>19</v>
      </c>
      <c r="AH99">
        <v>13</v>
      </c>
      <c r="AI99">
        <v>3</v>
      </c>
      <c r="AJ99">
        <v>8</v>
      </c>
      <c r="AK99">
        <v>2</v>
      </c>
      <c r="AL99">
        <v>1</v>
      </c>
      <c r="AM99">
        <v>0</v>
      </c>
      <c r="AN99">
        <v>1</v>
      </c>
      <c r="AO99">
        <v>0</v>
      </c>
      <c r="AP99">
        <v>1.02</v>
      </c>
      <c r="AQ99">
        <v>1</v>
      </c>
    </row>
    <row r="100" spans="1:43" x14ac:dyDescent="0.25">
      <c r="A100">
        <v>2024</v>
      </c>
      <c r="B100">
        <v>45477</v>
      </c>
      <c r="C100">
        <v>14</v>
      </c>
      <c r="D100">
        <v>12352</v>
      </c>
      <c r="E100">
        <v>19225</v>
      </c>
      <c r="F100" t="s">
        <v>473</v>
      </c>
      <c r="G100">
        <v>0.64249674902470744</v>
      </c>
      <c r="H100" t="s">
        <v>43</v>
      </c>
      <c r="I100" t="s">
        <v>50</v>
      </c>
      <c r="J100">
        <v>12</v>
      </c>
      <c r="K100" t="s">
        <v>483</v>
      </c>
      <c r="L100">
        <v>9</v>
      </c>
      <c r="M100">
        <v>-3</v>
      </c>
      <c r="N100">
        <v>673</v>
      </c>
      <c r="O100" t="s">
        <v>488</v>
      </c>
      <c r="P100">
        <v>2950</v>
      </c>
      <c r="Q100">
        <v>31</v>
      </c>
      <c r="R100" t="s">
        <v>168</v>
      </c>
      <c r="S100">
        <v>1</v>
      </c>
      <c r="T100">
        <v>0</v>
      </c>
      <c r="U100">
        <v>0</v>
      </c>
      <c r="V100">
        <v>0</v>
      </c>
      <c r="W100">
        <v>7</v>
      </c>
      <c r="X100">
        <v>10</v>
      </c>
      <c r="Y100">
        <v>11</v>
      </c>
      <c r="Z100">
        <v>7</v>
      </c>
      <c r="AA100">
        <v>6</v>
      </c>
      <c r="AB100">
        <v>11</v>
      </c>
      <c r="AC100">
        <v>6</v>
      </c>
      <c r="AD100">
        <v>5</v>
      </c>
      <c r="AE100">
        <v>2</v>
      </c>
      <c r="AF100">
        <v>1</v>
      </c>
      <c r="AG100">
        <v>13</v>
      </c>
      <c r="AH100">
        <v>17</v>
      </c>
      <c r="AI100">
        <v>5</v>
      </c>
      <c r="AJ100">
        <v>10</v>
      </c>
      <c r="AK100">
        <v>1</v>
      </c>
      <c r="AL100">
        <v>1</v>
      </c>
      <c r="AM100">
        <v>0</v>
      </c>
      <c r="AN100">
        <v>1</v>
      </c>
      <c r="AO100">
        <v>0</v>
      </c>
      <c r="AP100">
        <v>1.59</v>
      </c>
      <c r="AQ100">
        <v>1</v>
      </c>
    </row>
    <row r="101" spans="1:43" x14ac:dyDescent="0.25">
      <c r="A101">
        <v>2024</v>
      </c>
      <c r="B101">
        <v>45477</v>
      </c>
      <c r="C101">
        <v>14</v>
      </c>
      <c r="D101">
        <v>14384</v>
      </c>
      <c r="E101">
        <v>24584</v>
      </c>
      <c r="F101" t="s">
        <v>475</v>
      </c>
      <c r="G101">
        <v>0.58509599739668072</v>
      </c>
      <c r="H101" t="s">
        <v>82</v>
      </c>
      <c r="I101" t="s">
        <v>63</v>
      </c>
      <c r="J101">
        <v>14</v>
      </c>
      <c r="K101" t="s">
        <v>483</v>
      </c>
      <c r="L101">
        <v>11</v>
      </c>
      <c r="M101">
        <v>-3</v>
      </c>
      <c r="N101">
        <v>2780</v>
      </c>
      <c r="O101" t="s">
        <v>487</v>
      </c>
      <c r="P101">
        <v>1340</v>
      </c>
      <c r="Q101" t="s">
        <v>105</v>
      </c>
      <c r="R101" t="s">
        <v>67</v>
      </c>
      <c r="S101">
        <v>2</v>
      </c>
      <c r="T101">
        <v>0</v>
      </c>
      <c r="U101">
        <v>1</v>
      </c>
      <c r="V101">
        <v>0</v>
      </c>
      <c r="W101">
        <v>7</v>
      </c>
      <c r="X101">
        <v>3</v>
      </c>
      <c r="Y101">
        <v>21</v>
      </c>
      <c r="Z101">
        <v>12</v>
      </c>
      <c r="AA101">
        <v>12</v>
      </c>
      <c r="AB101">
        <v>21</v>
      </c>
      <c r="AC101">
        <v>4</v>
      </c>
      <c r="AD101">
        <v>7</v>
      </c>
      <c r="AE101">
        <v>2</v>
      </c>
      <c r="AF101">
        <v>1</v>
      </c>
      <c r="AG101">
        <v>19</v>
      </c>
      <c r="AH101">
        <v>10</v>
      </c>
      <c r="AI101">
        <v>5</v>
      </c>
      <c r="AJ101">
        <v>4</v>
      </c>
      <c r="AK101">
        <v>2</v>
      </c>
      <c r="AL101">
        <v>1</v>
      </c>
      <c r="AM101">
        <v>0</v>
      </c>
      <c r="AN101">
        <v>1</v>
      </c>
      <c r="AO101">
        <v>0</v>
      </c>
      <c r="AP101">
        <v>1.82</v>
      </c>
      <c r="AQ101">
        <v>0</v>
      </c>
    </row>
    <row r="102" spans="1:43" x14ac:dyDescent="0.25">
      <c r="A102">
        <v>2024</v>
      </c>
      <c r="B102">
        <v>45477</v>
      </c>
      <c r="C102">
        <v>14</v>
      </c>
      <c r="D102">
        <v>28632</v>
      </c>
      <c r="E102">
        <v>42372</v>
      </c>
      <c r="F102" t="s">
        <v>475</v>
      </c>
      <c r="G102">
        <v>0.67572925516850746</v>
      </c>
      <c r="H102" t="s">
        <v>69</v>
      </c>
      <c r="I102" t="s">
        <v>62</v>
      </c>
      <c r="J102">
        <v>7</v>
      </c>
      <c r="K102" t="s">
        <v>482</v>
      </c>
      <c r="L102">
        <v>5</v>
      </c>
      <c r="M102">
        <v>-2</v>
      </c>
      <c r="N102">
        <v>2980</v>
      </c>
      <c r="O102" t="s">
        <v>487</v>
      </c>
      <c r="P102">
        <v>2765</v>
      </c>
      <c r="Q102" t="s">
        <v>114</v>
      </c>
      <c r="R102" t="s">
        <v>144</v>
      </c>
      <c r="S102">
        <v>1</v>
      </c>
      <c r="T102">
        <v>2</v>
      </c>
      <c r="U102">
        <v>1</v>
      </c>
      <c r="V102">
        <v>1</v>
      </c>
      <c r="W102">
        <v>6</v>
      </c>
      <c r="X102">
        <v>2</v>
      </c>
      <c r="Y102">
        <v>19</v>
      </c>
      <c r="Z102">
        <v>8</v>
      </c>
      <c r="AA102">
        <v>7</v>
      </c>
      <c r="AB102">
        <v>18</v>
      </c>
      <c r="AC102">
        <v>6</v>
      </c>
      <c r="AD102">
        <v>3</v>
      </c>
      <c r="AE102">
        <v>1</v>
      </c>
      <c r="AF102">
        <v>2</v>
      </c>
      <c r="AG102">
        <v>12</v>
      </c>
      <c r="AH102">
        <v>13</v>
      </c>
      <c r="AI102">
        <v>6</v>
      </c>
      <c r="AJ102">
        <v>1</v>
      </c>
      <c r="AK102">
        <v>-1</v>
      </c>
      <c r="AL102">
        <v>0</v>
      </c>
      <c r="AM102">
        <v>0</v>
      </c>
      <c r="AN102">
        <v>0</v>
      </c>
      <c r="AO102">
        <v>1</v>
      </c>
      <c r="AP102">
        <v>0.4</v>
      </c>
      <c r="AQ102">
        <v>1</v>
      </c>
    </row>
    <row r="103" spans="1:43" x14ac:dyDescent="0.25">
      <c r="A103">
        <v>2024</v>
      </c>
      <c r="B103">
        <v>45477</v>
      </c>
      <c r="C103">
        <v>14</v>
      </c>
      <c r="D103">
        <v>39993</v>
      </c>
      <c r="E103">
        <v>46000</v>
      </c>
      <c r="F103" t="s">
        <v>476</v>
      </c>
      <c r="G103">
        <v>0.86941304347826087</v>
      </c>
      <c r="H103" t="s">
        <v>89</v>
      </c>
      <c r="I103" t="s">
        <v>77</v>
      </c>
      <c r="J103">
        <v>10</v>
      </c>
      <c r="K103" t="s">
        <v>482</v>
      </c>
      <c r="L103">
        <v>1</v>
      </c>
      <c r="M103">
        <v>-9</v>
      </c>
      <c r="N103">
        <v>3995</v>
      </c>
      <c r="O103" t="s">
        <v>490</v>
      </c>
      <c r="P103">
        <v>5970</v>
      </c>
      <c r="Q103" t="s">
        <v>122</v>
      </c>
      <c r="R103" t="s">
        <v>134</v>
      </c>
      <c r="S103">
        <v>2</v>
      </c>
      <c r="T103">
        <v>4</v>
      </c>
      <c r="U103">
        <v>0</v>
      </c>
      <c r="V103">
        <v>2</v>
      </c>
      <c r="W103">
        <v>4</v>
      </c>
      <c r="X103">
        <v>4</v>
      </c>
      <c r="Y103">
        <v>12</v>
      </c>
      <c r="Z103">
        <v>11</v>
      </c>
      <c r="AA103">
        <v>10</v>
      </c>
      <c r="AB103">
        <v>12</v>
      </c>
      <c r="AC103">
        <v>4</v>
      </c>
      <c r="AD103">
        <v>2</v>
      </c>
      <c r="AE103">
        <v>1</v>
      </c>
      <c r="AF103">
        <v>2</v>
      </c>
      <c r="AG103">
        <v>11</v>
      </c>
      <c r="AH103">
        <v>14</v>
      </c>
      <c r="AI103">
        <v>3</v>
      </c>
      <c r="AJ103">
        <v>3</v>
      </c>
      <c r="AK103">
        <v>-2</v>
      </c>
      <c r="AL103">
        <v>0</v>
      </c>
      <c r="AM103">
        <v>0</v>
      </c>
      <c r="AN103">
        <v>0</v>
      </c>
      <c r="AO103">
        <v>1</v>
      </c>
      <c r="AP103">
        <v>2.2999999999999998</v>
      </c>
      <c r="AQ103">
        <v>1</v>
      </c>
    </row>
    <row r="104" spans="1:43" x14ac:dyDescent="0.25">
      <c r="A104">
        <v>2024</v>
      </c>
      <c r="B104">
        <v>45477</v>
      </c>
      <c r="C104">
        <v>14</v>
      </c>
      <c r="D104">
        <v>3102</v>
      </c>
      <c r="E104">
        <v>15010</v>
      </c>
      <c r="F104" t="s">
        <v>473</v>
      </c>
      <c r="G104">
        <v>0.2066622251832112</v>
      </c>
      <c r="H104" t="s">
        <v>56</v>
      </c>
      <c r="I104" t="s">
        <v>76</v>
      </c>
      <c r="J104">
        <v>8</v>
      </c>
      <c r="K104" t="s">
        <v>482</v>
      </c>
      <c r="L104">
        <v>19</v>
      </c>
      <c r="M104">
        <v>11</v>
      </c>
      <c r="N104">
        <v>4080</v>
      </c>
      <c r="O104" t="s">
        <v>490</v>
      </c>
      <c r="P104">
        <v>1280</v>
      </c>
      <c r="Q104" t="s">
        <v>233</v>
      </c>
      <c r="R104" t="s">
        <v>117</v>
      </c>
      <c r="S104">
        <v>3</v>
      </c>
      <c r="T104">
        <v>1</v>
      </c>
      <c r="U104">
        <v>3</v>
      </c>
      <c r="V104">
        <v>1</v>
      </c>
      <c r="W104">
        <v>3</v>
      </c>
      <c r="X104">
        <v>8</v>
      </c>
      <c r="Y104">
        <v>15</v>
      </c>
      <c r="Z104">
        <v>9</v>
      </c>
      <c r="AA104">
        <v>9</v>
      </c>
      <c r="AB104">
        <v>15</v>
      </c>
      <c r="AC104">
        <v>5</v>
      </c>
      <c r="AD104">
        <v>2</v>
      </c>
      <c r="AE104">
        <v>1</v>
      </c>
      <c r="AF104">
        <v>3</v>
      </c>
      <c r="AG104">
        <v>13</v>
      </c>
      <c r="AH104">
        <v>13</v>
      </c>
      <c r="AI104">
        <v>5</v>
      </c>
      <c r="AJ104">
        <v>6</v>
      </c>
      <c r="AK104">
        <v>2</v>
      </c>
      <c r="AL104">
        <v>1</v>
      </c>
      <c r="AM104">
        <v>0</v>
      </c>
      <c r="AN104">
        <v>1</v>
      </c>
      <c r="AO104">
        <v>0</v>
      </c>
      <c r="AP104">
        <v>1.54</v>
      </c>
      <c r="AQ104">
        <v>0</v>
      </c>
    </row>
    <row r="105" spans="1:43" x14ac:dyDescent="0.25">
      <c r="A105">
        <v>2024</v>
      </c>
      <c r="B105">
        <v>45477</v>
      </c>
      <c r="C105">
        <v>14</v>
      </c>
      <c r="D105">
        <v>7849</v>
      </c>
      <c r="E105">
        <v>42968</v>
      </c>
      <c r="F105" t="s">
        <v>472</v>
      </c>
      <c r="G105">
        <v>0.18267082479985106</v>
      </c>
      <c r="H105" t="s">
        <v>70</v>
      </c>
      <c r="I105" t="s">
        <v>51</v>
      </c>
      <c r="J105">
        <v>15</v>
      </c>
      <c r="K105" t="s">
        <v>483</v>
      </c>
      <c r="L105">
        <v>2</v>
      </c>
      <c r="M105">
        <v>-13</v>
      </c>
      <c r="N105">
        <v>1410</v>
      </c>
      <c r="O105" t="s">
        <v>488</v>
      </c>
      <c r="P105">
        <v>3110</v>
      </c>
      <c r="Q105" t="s">
        <v>235</v>
      </c>
      <c r="R105" t="s">
        <v>107</v>
      </c>
      <c r="S105">
        <v>1</v>
      </c>
      <c r="T105">
        <v>2</v>
      </c>
      <c r="U105">
        <v>1</v>
      </c>
      <c r="V105">
        <v>1</v>
      </c>
      <c r="W105">
        <v>7</v>
      </c>
      <c r="X105">
        <v>5</v>
      </c>
      <c r="Y105">
        <v>8</v>
      </c>
      <c r="Z105">
        <v>15</v>
      </c>
      <c r="AA105">
        <v>14</v>
      </c>
      <c r="AB105">
        <v>8</v>
      </c>
      <c r="AC105">
        <v>2</v>
      </c>
      <c r="AD105">
        <v>5</v>
      </c>
      <c r="AE105">
        <v>2</v>
      </c>
      <c r="AF105">
        <v>7</v>
      </c>
      <c r="AG105">
        <v>11</v>
      </c>
      <c r="AH105">
        <v>6</v>
      </c>
      <c r="AI105">
        <v>4</v>
      </c>
      <c r="AJ105">
        <v>0</v>
      </c>
      <c r="AK105">
        <v>-1</v>
      </c>
      <c r="AL105">
        <v>0</v>
      </c>
      <c r="AM105">
        <v>0</v>
      </c>
      <c r="AN105">
        <v>0</v>
      </c>
      <c r="AO105">
        <v>1</v>
      </c>
      <c r="AP105">
        <v>1.57</v>
      </c>
      <c r="AQ105">
        <v>0</v>
      </c>
    </row>
    <row r="106" spans="1:43" x14ac:dyDescent="0.25">
      <c r="A106">
        <v>2024</v>
      </c>
      <c r="B106">
        <v>45541</v>
      </c>
      <c r="C106">
        <v>16</v>
      </c>
      <c r="D106">
        <v>4826</v>
      </c>
      <c r="E106">
        <v>42968</v>
      </c>
      <c r="F106" t="s">
        <v>474</v>
      </c>
      <c r="G106">
        <v>0.11231614224539192</v>
      </c>
      <c r="H106" t="s">
        <v>70</v>
      </c>
      <c r="I106" t="s">
        <v>44</v>
      </c>
      <c r="J106">
        <v>16</v>
      </c>
      <c r="K106" t="s">
        <v>484</v>
      </c>
      <c r="L106">
        <v>14</v>
      </c>
      <c r="M106">
        <v>-2</v>
      </c>
      <c r="N106">
        <v>1125</v>
      </c>
      <c r="O106" t="s">
        <v>488</v>
      </c>
      <c r="P106">
        <v>1040</v>
      </c>
      <c r="Q106" t="s">
        <v>107</v>
      </c>
      <c r="R106" t="s">
        <v>166</v>
      </c>
      <c r="S106">
        <v>0</v>
      </c>
      <c r="T106">
        <v>0</v>
      </c>
      <c r="U106">
        <v>0</v>
      </c>
      <c r="V106">
        <v>0</v>
      </c>
      <c r="W106">
        <v>3</v>
      </c>
      <c r="X106">
        <v>3</v>
      </c>
      <c r="Y106">
        <v>17</v>
      </c>
      <c r="Z106">
        <v>11</v>
      </c>
      <c r="AA106">
        <v>10</v>
      </c>
      <c r="AB106">
        <v>16</v>
      </c>
      <c r="AC106">
        <v>3</v>
      </c>
      <c r="AD106">
        <v>3</v>
      </c>
      <c r="AE106">
        <v>0</v>
      </c>
      <c r="AF106">
        <v>2</v>
      </c>
      <c r="AG106">
        <v>12</v>
      </c>
      <c r="AH106">
        <v>9</v>
      </c>
      <c r="AI106">
        <v>4</v>
      </c>
      <c r="AJ106">
        <v>6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0.4</v>
      </c>
      <c r="AQ106">
        <v>0</v>
      </c>
    </row>
    <row r="107" spans="1:43" x14ac:dyDescent="0.25">
      <c r="A107">
        <v>2024</v>
      </c>
      <c r="B107">
        <v>45561</v>
      </c>
      <c r="C107">
        <v>16</v>
      </c>
      <c r="D107">
        <v>3871</v>
      </c>
      <c r="E107">
        <v>15010</v>
      </c>
      <c r="F107" t="s">
        <v>472</v>
      </c>
      <c r="G107">
        <v>0.25789473684210529</v>
      </c>
      <c r="H107" t="s">
        <v>56</v>
      </c>
      <c r="I107" t="s">
        <v>37</v>
      </c>
      <c r="J107">
        <v>11</v>
      </c>
      <c r="K107" t="s">
        <v>483</v>
      </c>
      <c r="L107">
        <v>9</v>
      </c>
      <c r="M107">
        <v>-2</v>
      </c>
      <c r="N107">
        <v>4080</v>
      </c>
      <c r="O107" t="s">
        <v>490</v>
      </c>
      <c r="P107">
        <v>4210</v>
      </c>
      <c r="Q107" t="s">
        <v>233</v>
      </c>
      <c r="R107" t="s">
        <v>209</v>
      </c>
      <c r="S107">
        <v>2</v>
      </c>
      <c r="T107">
        <v>2</v>
      </c>
      <c r="U107">
        <v>1</v>
      </c>
      <c r="V107">
        <v>1</v>
      </c>
      <c r="W107">
        <v>1</v>
      </c>
      <c r="X107">
        <v>9</v>
      </c>
      <c r="Y107">
        <v>13</v>
      </c>
      <c r="Z107">
        <v>13</v>
      </c>
      <c r="AA107">
        <v>13</v>
      </c>
      <c r="AB107">
        <v>11</v>
      </c>
      <c r="AC107">
        <v>9</v>
      </c>
      <c r="AD107">
        <v>2</v>
      </c>
      <c r="AE107">
        <v>1</v>
      </c>
      <c r="AF107">
        <v>2</v>
      </c>
      <c r="AG107">
        <v>11</v>
      </c>
      <c r="AH107">
        <v>24</v>
      </c>
      <c r="AI107">
        <v>4</v>
      </c>
      <c r="AJ107">
        <v>9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0.4</v>
      </c>
      <c r="AQ107">
        <v>0</v>
      </c>
    </row>
    <row r="108" spans="1:43" x14ac:dyDescent="0.25">
      <c r="A108">
        <v>2024</v>
      </c>
      <c r="B108">
        <v>45588</v>
      </c>
      <c r="C108">
        <v>17</v>
      </c>
      <c r="D108">
        <v>39465</v>
      </c>
      <c r="E108">
        <v>82238</v>
      </c>
      <c r="F108" t="s">
        <v>472</v>
      </c>
      <c r="G108">
        <v>0.47988764318198401</v>
      </c>
      <c r="H108" t="s">
        <v>55</v>
      </c>
      <c r="I108" t="s">
        <v>69</v>
      </c>
      <c r="J108">
        <v>20</v>
      </c>
      <c r="K108" t="s">
        <v>484</v>
      </c>
      <c r="L108">
        <v>8</v>
      </c>
      <c r="M108">
        <v>-12</v>
      </c>
      <c r="N108">
        <v>3875</v>
      </c>
      <c r="O108" t="s">
        <v>490</v>
      </c>
      <c r="P108">
        <v>1525</v>
      </c>
      <c r="Q108" t="s">
        <v>48</v>
      </c>
      <c r="R108" t="s">
        <v>168</v>
      </c>
      <c r="S108">
        <v>1</v>
      </c>
      <c r="T108">
        <v>0</v>
      </c>
      <c r="U108">
        <v>0</v>
      </c>
      <c r="V108">
        <v>0</v>
      </c>
      <c r="W108">
        <v>5</v>
      </c>
      <c r="X108">
        <v>3</v>
      </c>
      <c r="Y108">
        <v>9</v>
      </c>
      <c r="Z108">
        <v>15</v>
      </c>
      <c r="AA108">
        <v>12</v>
      </c>
      <c r="AB108">
        <v>9</v>
      </c>
      <c r="AC108">
        <v>2</v>
      </c>
      <c r="AD108">
        <v>4</v>
      </c>
      <c r="AE108">
        <v>1</v>
      </c>
      <c r="AF108">
        <v>1</v>
      </c>
      <c r="AG108">
        <v>14</v>
      </c>
      <c r="AH108">
        <v>6</v>
      </c>
      <c r="AI108">
        <v>4</v>
      </c>
      <c r="AJ108">
        <v>3</v>
      </c>
      <c r="AK108">
        <v>1</v>
      </c>
      <c r="AL108">
        <v>1</v>
      </c>
      <c r="AM108">
        <v>0</v>
      </c>
      <c r="AN108">
        <v>1</v>
      </c>
      <c r="AO108">
        <v>0</v>
      </c>
      <c r="AP108">
        <v>0.95</v>
      </c>
      <c r="AQ108">
        <v>0</v>
      </c>
    </row>
    <row r="109" spans="1:43" x14ac:dyDescent="0.25">
      <c r="A109">
        <v>2024</v>
      </c>
      <c r="B109">
        <v>45533</v>
      </c>
      <c r="C109">
        <v>19</v>
      </c>
      <c r="D109">
        <v>11849</v>
      </c>
      <c r="E109">
        <v>19225</v>
      </c>
      <c r="F109" t="s">
        <v>473</v>
      </c>
      <c r="G109">
        <v>0.61633289986996098</v>
      </c>
      <c r="H109" t="s">
        <v>43</v>
      </c>
      <c r="I109" t="s">
        <v>56</v>
      </c>
      <c r="J109">
        <v>13</v>
      </c>
      <c r="K109" t="s">
        <v>483</v>
      </c>
      <c r="L109">
        <v>12</v>
      </c>
      <c r="M109">
        <v>-1</v>
      </c>
      <c r="N109">
        <v>873</v>
      </c>
      <c r="O109" t="s">
        <v>488</v>
      </c>
      <c r="P109">
        <v>3150</v>
      </c>
      <c r="Q109" t="s">
        <v>105</v>
      </c>
      <c r="R109" t="s">
        <v>228</v>
      </c>
      <c r="S109">
        <v>1</v>
      </c>
      <c r="T109">
        <v>0</v>
      </c>
      <c r="U109">
        <v>1</v>
      </c>
      <c r="V109">
        <v>0</v>
      </c>
      <c r="W109">
        <v>6</v>
      </c>
      <c r="X109">
        <v>8</v>
      </c>
      <c r="Y109">
        <v>17</v>
      </c>
      <c r="Z109">
        <v>15</v>
      </c>
      <c r="AA109">
        <v>15</v>
      </c>
      <c r="AB109">
        <v>17</v>
      </c>
      <c r="AC109">
        <v>6</v>
      </c>
      <c r="AD109">
        <v>1</v>
      </c>
      <c r="AE109">
        <v>0</v>
      </c>
      <c r="AF109">
        <v>1</v>
      </c>
      <c r="AG109">
        <v>14</v>
      </c>
      <c r="AH109">
        <v>15</v>
      </c>
      <c r="AI109">
        <v>6</v>
      </c>
      <c r="AJ109">
        <v>9</v>
      </c>
      <c r="AK109">
        <v>1</v>
      </c>
      <c r="AL109">
        <v>1</v>
      </c>
      <c r="AM109">
        <v>0</v>
      </c>
      <c r="AN109">
        <v>1</v>
      </c>
      <c r="AO109">
        <v>0</v>
      </c>
      <c r="AP109">
        <v>2.1</v>
      </c>
      <c r="AQ109">
        <v>0</v>
      </c>
    </row>
    <row r="110" spans="1:43" x14ac:dyDescent="0.25">
      <c r="A110">
        <v>2024</v>
      </c>
      <c r="B110">
        <v>45547</v>
      </c>
      <c r="C110">
        <v>19</v>
      </c>
      <c r="D110">
        <v>26441</v>
      </c>
      <c r="E110">
        <v>50848</v>
      </c>
      <c r="F110" t="s">
        <v>475</v>
      </c>
      <c r="G110">
        <v>0.52000078665827565</v>
      </c>
      <c r="H110" t="s">
        <v>37</v>
      </c>
      <c r="I110" t="s">
        <v>63</v>
      </c>
      <c r="J110">
        <v>9</v>
      </c>
      <c r="K110" t="s">
        <v>482</v>
      </c>
      <c r="L110">
        <v>5</v>
      </c>
      <c r="M110">
        <v>-4</v>
      </c>
      <c r="N110">
        <v>2985</v>
      </c>
      <c r="O110" t="s">
        <v>487</v>
      </c>
      <c r="P110">
        <v>1465</v>
      </c>
      <c r="Q110" t="s">
        <v>135</v>
      </c>
      <c r="R110" t="s">
        <v>67</v>
      </c>
      <c r="S110">
        <v>2</v>
      </c>
      <c r="T110">
        <v>1</v>
      </c>
      <c r="U110">
        <v>1</v>
      </c>
      <c r="V110">
        <v>1</v>
      </c>
      <c r="W110">
        <v>8</v>
      </c>
      <c r="X110">
        <v>3</v>
      </c>
      <c r="Y110">
        <v>19</v>
      </c>
      <c r="Z110">
        <v>9</v>
      </c>
      <c r="AA110">
        <v>6</v>
      </c>
      <c r="AB110">
        <v>18</v>
      </c>
      <c r="AC110">
        <v>0</v>
      </c>
      <c r="AD110">
        <v>6</v>
      </c>
      <c r="AE110">
        <v>4</v>
      </c>
      <c r="AF110">
        <v>2</v>
      </c>
      <c r="AG110">
        <v>16</v>
      </c>
      <c r="AH110">
        <v>12</v>
      </c>
      <c r="AI110">
        <v>3</v>
      </c>
      <c r="AJ110">
        <v>8</v>
      </c>
      <c r="AK110">
        <v>1</v>
      </c>
      <c r="AL110">
        <v>1</v>
      </c>
      <c r="AM110">
        <v>0</v>
      </c>
      <c r="AN110">
        <v>1</v>
      </c>
      <c r="AO110">
        <v>0</v>
      </c>
      <c r="AP110">
        <v>0.87</v>
      </c>
      <c r="AQ110">
        <v>0</v>
      </c>
    </row>
    <row r="111" spans="1:43" x14ac:dyDescent="0.25">
      <c r="A111">
        <v>2024</v>
      </c>
      <c r="B111">
        <v>45590</v>
      </c>
      <c r="C111">
        <v>19</v>
      </c>
      <c r="D111">
        <v>16696</v>
      </c>
      <c r="E111">
        <v>24584</v>
      </c>
      <c r="F111" t="s">
        <v>476</v>
      </c>
      <c r="G111">
        <v>0.67914090465343313</v>
      </c>
      <c r="H111" t="s">
        <v>82</v>
      </c>
      <c r="I111" t="s">
        <v>70</v>
      </c>
      <c r="J111">
        <v>11</v>
      </c>
      <c r="K111" t="s">
        <v>483</v>
      </c>
      <c r="L111">
        <v>16</v>
      </c>
      <c r="M111">
        <v>5</v>
      </c>
      <c r="N111">
        <v>3105</v>
      </c>
      <c r="O111" t="s">
        <v>487</v>
      </c>
      <c r="P111">
        <v>1745</v>
      </c>
      <c r="Q111" t="s">
        <v>120</v>
      </c>
      <c r="R111" t="s">
        <v>92</v>
      </c>
      <c r="S111">
        <v>1</v>
      </c>
      <c r="T111">
        <v>0</v>
      </c>
      <c r="U111">
        <v>0</v>
      </c>
      <c r="V111">
        <v>0</v>
      </c>
      <c r="W111">
        <v>3</v>
      </c>
      <c r="X111">
        <v>2</v>
      </c>
      <c r="Y111">
        <v>16</v>
      </c>
      <c r="Z111">
        <v>14</v>
      </c>
      <c r="AA111">
        <v>13</v>
      </c>
      <c r="AB111">
        <v>15</v>
      </c>
      <c r="AC111">
        <v>2</v>
      </c>
      <c r="AD111">
        <v>1</v>
      </c>
      <c r="AE111">
        <v>0</v>
      </c>
      <c r="AF111">
        <v>1</v>
      </c>
      <c r="AG111">
        <v>13</v>
      </c>
      <c r="AH111">
        <v>13</v>
      </c>
      <c r="AI111">
        <v>4</v>
      </c>
      <c r="AJ111">
        <v>10</v>
      </c>
      <c r="AK111">
        <v>1</v>
      </c>
      <c r="AL111">
        <v>1</v>
      </c>
      <c r="AM111">
        <v>0</v>
      </c>
      <c r="AN111">
        <v>1</v>
      </c>
      <c r="AO111">
        <v>0</v>
      </c>
      <c r="AP111">
        <v>1.22</v>
      </c>
      <c r="AQ111">
        <v>0</v>
      </c>
    </row>
    <row r="112" spans="1:43" x14ac:dyDescent="0.25">
      <c r="A112">
        <v>2024</v>
      </c>
      <c r="B112">
        <v>45510</v>
      </c>
      <c r="C112">
        <v>21</v>
      </c>
      <c r="D112">
        <v>20000</v>
      </c>
      <c r="E112">
        <v>21150</v>
      </c>
      <c r="F112" t="s">
        <v>477</v>
      </c>
      <c r="G112">
        <v>0.94562647754137119</v>
      </c>
      <c r="H112" t="s">
        <v>50</v>
      </c>
      <c r="I112" t="s">
        <v>63</v>
      </c>
      <c r="J112">
        <v>5</v>
      </c>
      <c r="K112" t="s">
        <v>481</v>
      </c>
      <c r="L112">
        <v>3</v>
      </c>
      <c r="M112">
        <v>-2</v>
      </c>
      <c r="N112">
        <v>4230</v>
      </c>
      <c r="O112" t="s">
        <v>490</v>
      </c>
      <c r="P112">
        <v>1120</v>
      </c>
      <c r="Q112" t="s">
        <v>41</v>
      </c>
      <c r="R112" t="s">
        <v>197</v>
      </c>
      <c r="S112">
        <v>1</v>
      </c>
      <c r="T112">
        <v>2</v>
      </c>
      <c r="U112">
        <v>1</v>
      </c>
      <c r="V112">
        <v>2</v>
      </c>
      <c r="W112">
        <v>5</v>
      </c>
      <c r="X112">
        <v>1</v>
      </c>
      <c r="Y112">
        <v>18</v>
      </c>
      <c r="Z112">
        <v>17</v>
      </c>
      <c r="AA112">
        <v>15</v>
      </c>
      <c r="AB112">
        <v>18</v>
      </c>
      <c r="AC112">
        <v>2</v>
      </c>
      <c r="AD112">
        <v>6</v>
      </c>
      <c r="AE112">
        <v>1</v>
      </c>
      <c r="AF112">
        <v>2</v>
      </c>
      <c r="AG112">
        <v>15</v>
      </c>
      <c r="AH112">
        <v>11</v>
      </c>
      <c r="AI112">
        <v>5</v>
      </c>
      <c r="AJ112">
        <v>3</v>
      </c>
      <c r="AK112">
        <v>-1</v>
      </c>
      <c r="AL112">
        <v>0</v>
      </c>
      <c r="AM112">
        <v>0</v>
      </c>
      <c r="AN112">
        <v>0</v>
      </c>
      <c r="AO112">
        <v>1</v>
      </c>
      <c r="AP112">
        <v>0.31</v>
      </c>
      <c r="AQ112">
        <v>0</v>
      </c>
    </row>
    <row r="113" spans="1:43" x14ac:dyDescent="0.25">
      <c r="A113">
        <v>2024</v>
      </c>
      <c r="B113">
        <v>45514</v>
      </c>
      <c r="C113">
        <v>22</v>
      </c>
      <c r="D113">
        <v>40311</v>
      </c>
      <c r="E113">
        <v>60326</v>
      </c>
      <c r="F113" t="s">
        <v>476</v>
      </c>
      <c r="G113">
        <v>0.66821934157742935</v>
      </c>
      <c r="H113" t="s">
        <v>63</v>
      </c>
      <c r="I113" t="s">
        <v>43</v>
      </c>
      <c r="J113">
        <v>3</v>
      </c>
      <c r="K113" t="s">
        <v>481</v>
      </c>
      <c r="L113">
        <v>12</v>
      </c>
      <c r="M113">
        <v>9</v>
      </c>
      <c r="N113">
        <v>1145</v>
      </c>
      <c r="O113" t="s">
        <v>488</v>
      </c>
      <c r="P113">
        <v>630</v>
      </c>
      <c r="Q113">
        <v>30</v>
      </c>
      <c r="R113" t="s">
        <v>205</v>
      </c>
      <c r="S113">
        <v>1</v>
      </c>
      <c r="T113">
        <v>0</v>
      </c>
      <c r="U113">
        <v>0</v>
      </c>
      <c r="V113">
        <v>0</v>
      </c>
      <c r="W113">
        <v>4</v>
      </c>
      <c r="X113">
        <v>6</v>
      </c>
      <c r="Y113">
        <v>16</v>
      </c>
      <c r="Z113">
        <v>13</v>
      </c>
      <c r="AA113">
        <v>13</v>
      </c>
      <c r="AB113">
        <v>16</v>
      </c>
      <c r="AC113">
        <v>2</v>
      </c>
      <c r="AD113">
        <v>3</v>
      </c>
      <c r="AE113">
        <v>2</v>
      </c>
      <c r="AF113">
        <v>1</v>
      </c>
      <c r="AG113">
        <v>16</v>
      </c>
      <c r="AH113">
        <v>12</v>
      </c>
      <c r="AI113">
        <v>7</v>
      </c>
      <c r="AJ113">
        <v>7</v>
      </c>
      <c r="AK113">
        <v>1</v>
      </c>
      <c r="AL113">
        <v>1</v>
      </c>
      <c r="AM113">
        <v>0</v>
      </c>
      <c r="AN113">
        <v>1</v>
      </c>
      <c r="AO113">
        <v>0</v>
      </c>
      <c r="AP113">
        <v>1.9</v>
      </c>
      <c r="AQ113">
        <v>0</v>
      </c>
    </row>
    <row r="114" spans="1:43" x14ac:dyDescent="0.25">
      <c r="A114">
        <v>2024</v>
      </c>
      <c r="B114">
        <v>45515</v>
      </c>
      <c r="C114">
        <v>22</v>
      </c>
      <c r="D114">
        <v>45972</v>
      </c>
      <c r="E114">
        <v>47364</v>
      </c>
      <c r="F114" t="s">
        <v>473</v>
      </c>
      <c r="G114">
        <v>0.97061059032176333</v>
      </c>
      <c r="H114" t="s">
        <v>38</v>
      </c>
      <c r="I114" t="s">
        <v>94</v>
      </c>
      <c r="J114">
        <v>7</v>
      </c>
      <c r="K114" t="s">
        <v>482</v>
      </c>
      <c r="L114">
        <v>17</v>
      </c>
      <c r="M114">
        <v>10</v>
      </c>
      <c r="N114">
        <v>3745</v>
      </c>
      <c r="O114" t="s">
        <v>490</v>
      </c>
      <c r="P114">
        <v>1218</v>
      </c>
      <c r="Q114" t="s">
        <v>134</v>
      </c>
      <c r="R114" t="s">
        <v>135</v>
      </c>
      <c r="S114">
        <v>2</v>
      </c>
      <c r="T114">
        <v>0</v>
      </c>
      <c r="U114">
        <v>1</v>
      </c>
      <c r="V114">
        <v>0</v>
      </c>
      <c r="W114">
        <v>3</v>
      </c>
      <c r="X114">
        <v>7</v>
      </c>
      <c r="Y114">
        <v>10</v>
      </c>
      <c r="Z114">
        <v>12</v>
      </c>
      <c r="AA114">
        <v>11</v>
      </c>
      <c r="AB114">
        <v>9</v>
      </c>
      <c r="AC114">
        <v>5</v>
      </c>
      <c r="AD114">
        <v>1</v>
      </c>
      <c r="AE114">
        <v>2</v>
      </c>
      <c r="AF114">
        <v>0</v>
      </c>
      <c r="AG114">
        <v>7</v>
      </c>
      <c r="AH114">
        <v>13</v>
      </c>
      <c r="AI114">
        <v>2</v>
      </c>
      <c r="AJ114">
        <v>3</v>
      </c>
      <c r="AK114">
        <v>2</v>
      </c>
      <c r="AL114">
        <v>1</v>
      </c>
      <c r="AM114">
        <v>0</v>
      </c>
      <c r="AN114">
        <v>1</v>
      </c>
      <c r="AO114">
        <v>0</v>
      </c>
      <c r="AP114">
        <v>0.64</v>
      </c>
      <c r="AQ114">
        <v>0</v>
      </c>
    </row>
    <row r="115" spans="1:43" x14ac:dyDescent="0.25">
      <c r="A115">
        <v>2024</v>
      </c>
      <c r="B115">
        <v>45515</v>
      </c>
      <c r="C115">
        <v>22</v>
      </c>
      <c r="D115">
        <v>5288</v>
      </c>
      <c r="E115">
        <v>23726</v>
      </c>
      <c r="F115" t="s">
        <v>473</v>
      </c>
      <c r="G115">
        <v>0.22287785551715417</v>
      </c>
      <c r="H115" t="s">
        <v>44</v>
      </c>
      <c r="I115" t="s">
        <v>51</v>
      </c>
      <c r="J115">
        <v>14</v>
      </c>
      <c r="K115" t="s">
        <v>483</v>
      </c>
      <c r="L115">
        <v>1</v>
      </c>
      <c r="M115">
        <v>-13</v>
      </c>
      <c r="N115">
        <v>690</v>
      </c>
      <c r="O115" t="s">
        <v>488</v>
      </c>
      <c r="P115">
        <v>5380</v>
      </c>
      <c r="Q115" t="s">
        <v>209</v>
      </c>
      <c r="R115">
        <v>26</v>
      </c>
      <c r="S115">
        <v>3</v>
      </c>
      <c r="T115">
        <v>2</v>
      </c>
      <c r="U115">
        <v>2</v>
      </c>
      <c r="V115">
        <v>0</v>
      </c>
      <c r="W115">
        <v>6</v>
      </c>
      <c r="X115">
        <v>12</v>
      </c>
      <c r="Y115">
        <v>10</v>
      </c>
      <c r="Z115">
        <v>14</v>
      </c>
      <c r="AA115">
        <v>14</v>
      </c>
      <c r="AB115">
        <v>9</v>
      </c>
      <c r="AC115">
        <v>7</v>
      </c>
      <c r="AD115">
        <v>4</v>
      </c>
      <c r="AE115">
        <v>1</v>
      </c>
      <c r="AF115">
        <v>0</v>
      </c>
      <c r="AG115">
        <v>16</v>
      </c>
      <c r="AH115">
        <v>24</v>
      </c>
      <c r="AI115">
        <v>3</v>
      </c>
      <c r="AJ115">
        <v>8</v>
      </c>
      <c r="AK115">
        <v>1</v>
      </c>
      <c r="AL115">
        <v>1</v>
      </c>
      <c r="AM115">
        <v>0</v>
      </c>
      <c r="AN115">
        <v>1</v>
      </c>
      <c r="AO115">
        <v>0</v>
      </c>
      <c r="AP115">
        <v>1.85</v>
      </c>
      <c r="AQ115">
        <v>0</v>
      </c>
    </row>
    <row r="116" spans="1:43" x14ac:dyDescent="0.25">
      <c r="A116">
        <v>2024</v>
      </c>
      <c r="B116">
        <v>45515</v>
      </c>
      <c r="C116">
        <v>22</v>
      </c>
      <c r="D116">
        <v>9853</v>
      </c>
      <c r="E116">
        <v>42968</v>
      </c>
      <c r="F116" t="s">
        <v>474</v>
      </c>
      <c r="G116">
        <v>0.22931018432321729</v>
      </c>
      <c r="H116" t="s">
        <v>70</v>
      </c>
      <c r="I116" t="s">
        <v>83</v>
      </c>
      <c r="J116">
        <v>19</v>
      </c>
      <c r="K116" t="s">
        <v>484</v>
      </c>
      <c r="L116">
        <v>15</v>
      </c>
      <c r="M116">
        <v>-4</v>
      </c>
      <c r="N116">
        <v>1245</v>
      </c>
      <c r="O116" t="s">
        <v>488</v>
      </c>
      <c r="P116">
        <v>3780</v>
      </c>
      <c r="Q116" t="s">
        <v>134</v>
      </c>
      <c r="R116" t="s">
        <v>116</v>
      </c>
      <c r="S116">
        <v>1</v>
      </c>
      <c r="T116">
        <v>3</v>
      </c>
      <c r="U116">
        <v>0</v>
      </c>
      <c r="V116">
        <v>1</v>
      </c>
      <c r="W116">
        <v>5</v>
      </c>
      <c r="X116">
        <v>5</v>
      </c>
      <c r="Y116">
        <v>15</v>
      </c>
      <c r="Z116">
        <v>7</v>
      </c>
      <c r="AA116">
        <v>6</v>
      </c>
      <c r="AB116">
        <v>12</v>
      </c>
      <c r="AC116">
        <v>3</v>
      </c>
      <c r="AD116">
        <v>3</v>
      </c>
      <c r="AE116">
        <v>3</v>
      </c>
      <c r="AF116">
        <v>1</v>
      </c>
      <c r="AG116">
        <v>15</v>
      </c>
      <c r="AH116">
        <v>10</v>
      </c>
      <c r="AI116">
        <v>6</v>
      </c>
      <c r="AJ116">
        <v>4</v>
      </c>
      <c r="AK116">
        <v>-2</v>
      </c>
      <c r="AL116">
        <v>0</v>
      </c>
      <c r="AM116">
        <v>0</v>
      </c>
      <c r="AN116">
        <v>0</v>
      </c>
      <c r="AO116">
        <v>1</v>
      </c>
      <c r="AP116">
        <v>0.5</v>
      </c>
      <c r="AQ116">
        <v>0</v>
      </c>
    </row>
    <row r="117" spans="1:43" x14ac:dyDescent="0.25">
      <c r="A117">
        <v>2024</v>
      </c>
      <c r="B117">
        <v>45515</v>
      </c>
      <c r="C117">
        <v>22</v>
      </c>
      <c r="D117">
        <v>42018</v>
      </c>
      <c r="E117">
        <v>49205</v>
      </c>
      <c r="F117" t="s">
        <v>474</v>
      </c>
      <c r="G117">
        <v>0.85393760796667006</v>
      </c>
      <c r="H117" t="s">
        <v>88</v>
      </c>
      <c r="I117" t="s">
        <v>56</v>
      </c>
      <c r="J117">
        <v>18</v>
      </c>
      <c r="K117" t="s">
        <v>484</v>
      </c>
      <c r="L117">
        <v>13</v>
      </c>
      <c r="M117">
        <v>-5</v>
      </c>
      <c r="N117">
        <v>2610</v>
      </c>
      <c r="O117" t="s">
        <v>487</v>
      </c>
      <c r="P117">
        <v>4000</v>
      </c>
      <c r="Q117" t="s">
        <v>135</v>
      </c>
      <c r="R117" t="s">
        <v>145</v>
      </c>
      <c r="S117">
        <v>1</v>
      </c>
      <c r="T117">
        <v>1</v>
      </c>
      <c r="U117">
        <v>0</v>
      </c>
      <c r="V117">
        <v>1</v>
      </c>
      <c r="W117">
        <v>6</v>
      </c>
      <c r="X117">
        <v>6</v>
      </c>
      <c r="Y117">
        <v>11</v>
      </c>
      <c r="Z117">
        <v>18</v>
      </c>
      <c r="AA117">
        <v>18</v>
      </c>
      <c r="AB117">
        <v>11</v>
      </c>
      <c r="AC117">
        <v>5</v>
      </c>
      <c r="AD117">
        <v>4</v>
      </c>
      <c r="AE117">
        <v>3</v>
      </c>
      <c r="AF117">
        <v>1</v>
      </c>
      <c r="AG117">
        <v>19</v>
      </c>
      <c r="AH117">
        <v>11</v>
      </c>
      <c r="AI117">
        <v>9</v>
      </c>
      <c r="AJ117">
        <v>3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1.38</v>
      </c>
      <c r="AQ117">
        <v>0</v>
      </c>
    </row>
    <row r="118" spans="1:43" x14ac:dyDescent="0.25">
      <c r="A118">
        <v>2024</v>
      </c>
      <c r="B118">
        <v>45515</v>
      </c>
      <c r="C118">
        <v>22</v>
      </c>
      <c r="D118">
        <v>20003</v>
      </c>
      <c r="E118">
        <v>44584</v>
      </c>
      <c r="F118" t="s">
        <v>473</v>
      </c>
      <c r="G118">
        <v>0.44865871164543336</v>
      </c>
      <c r="H118" t="s">
        <v>82</v>
      </c>
      <c r="I118" t="s">
        <v>55</v>
      </c>
      <c r="J118">
        <v>11</v>
      </c>
      <c r="K118" t="s">
        <v>483</v>
      </c>
      <c r="L118">
        <v>16</v>
      </c>
      <c r="M118">
        <v>5</v>
      </c>
      <c r="N118">
        <v>2130</v>
      </c>
      <c r="O118" t="s">
        <v>487</v>
      </c>
      <c r="P118">
        <v>5535</v>
      </c>
      <c r="Q118" t="s">
        <v>166</v>
      </c>
      <c r="R118" t="s">
        <v>144</v>
      </c>
      <c r="S118">
        <v>2</v>
      </c>
      <c r="T118">
        <v>0</v>
      </c>
      <c r="U118">
        <v>1</v>
      </c>
      <c r="V118">
        <v>0</v>
      </c>
      <c r="W118">
        <v>6</v>
      </c>
      <c r="X118">
        <v>3</v>
      </c>
      <c r="Y118">
        <v>23</v>
      </c>
      <c r="Z118">
        <v>12</v>
      </c>
      <c r="AA118">
        <v>11</v>
      </c>
      <c r="AB118">
        <v>23</v>
      </c>
      <c r="AC118">
        <v>3</v>
      </c>
      <c r="AD118">
        <v>1</v>
      </c>
      <c r="AE118">
        <v>2</v>
      </c>
      <c r="AF118">
        <v>1</v>
      </c>
      <c r="AG118">
        <v>8</v>
      </c>
      <c r="AH118">
        <v>12</v>
      </c>
      <c r="AI118">
        <v>3</v>
      </c>
      <c r="AJ118">
        <v>9</v>
      </c>
      <c r="AK118">
        <v>2</v>
      </c>
      <c r="AL118">
        <v>1</v>
      </c>
      <c r="AM118">
        <v>0</v>
      </c>
      <c r="AN118">
        <v>1</v>
      </c>
      <c r="AO118">
        <v>0</v>
      </c>
      <c r="AP118">
        <v>1.22</v>
      </c>
      <c r="AQ118">
        <v>0</v>
      </c>
    </row>
    <row r="119" spans="1:43" x14ac:dyDescent="0.25">
      <c r="A119">
        <v>2024</v>
      </c>
      <c r="B119">
        <v>45515</v>
      </c>
      <c r="C119">
        <v>22</v>
      </c>
      <c r="D119">
        <v>61583</v>
      </c>
      <c r="E119">
        <v>61927</v>
      </c>
      <c r="F119" t="s">
        <v>476</v>
      </c>
      <c r="G119">
        <v>0.99444507242398306</v>
      </c>
      <c r="H119" t="s">
        <v>50</v>
      </c>
      <c r="I119" t="s">
        <v>89</v>
      </c>
      <c r="J119">
        <v>6</v>
      </c>
      <c r="K119" t="s">
        <v>482</v>
      </c>
      <c r="L119">
        <v>9</v>
      </c>
      <c r="M119">
        <v>3</v>
      </c>
      <c r="N119">
        <v>4210</v>
      </c>
      <c r="O119" t="s">
        <v>490</v>
      </c>
      <c r="P119">
        <v>6350</v>
      </c>
      <c r="Q119" t="s">
        <v>120</v>
      </c>
      <c r="R119" t="s">
        <v>137</v>
      </c>
      <c r="S119">
        <v>0</v>
      </c>
      <c r="T119">
        <v>0</v>
      </c>
      <c r="U119">
        <v>0</v>
      </c>
      <c r="V119">
        <v>0</v>
      </c>
      <c r="W119">
        <v>4</v>
      </c>
      <c r="X119">
        <v>4</v>
      </c>
      <c r="Y119">
        <v>19</v>
      </c>
      <c r="Z119">
        <v>12</v>
      </c>
      <c r="AA119">
        <v>12</v>
      </c>
      <c r="AB119">
        <v>17</v>
      </c>
      <c r="AC119">
        <v>3</v>
      </c>
      <c r="AD119">
        <v>1</v>
      </c>
      <c r="AE119">
        <v>2</v>
      </c>
      <c r="AF119">
        <v>2</v>
      </c>
      <c r="AG119">
        <v>6</v>
      </c>
      <c r="AH119">
        <v>12</v>
      </c>
      <c r="AI119">
        <v>4</v>
      </c>
      <c r="AJ119">
        <v>4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0.3</v>
      </c>
      <c r="AQ119">
        <v>0</v>
      </c>
    </row>
    <row r="120" spans="1:43" x14ac:dyDescent="0.25">
      <c r="A120">
        <v>2024</v>
      </c>
      <c r="B120">
        <v>45515</v>
      </c>
      <c r="C120">
        <v>22</v>
      </c>
      <c r="D120">
        <v>55051</v>
      </c>
      <c r="E120">
        <v>78838</v>
      </c>
      <c r="F120" t="s">
        <v>473</v>
      </c>
      <c r="G120">
        <v>0.69828001725056443</v>
      </c>
      <c r="H120" t="s">
        <v>77</v>
      </c>
      <c r="I120" t="s">
        <v>95</v>
      </c>
      <c r="J120">
        <v>2</v>
      </c>
      <c r="K120" t="s">
        <v>481</v>
      </c>
      <c r="L120">
        <v>4</v>
      </c>
      <c r="M120">
        <v>2</v>
      </c>
      <c r="N120">
        <v>11800</v>
      </c>
      <c r="O120" t="s">
        <v>489</v>
      </c>
      <c r="P120">
        <v>7500</v>
      </c>
      <c r="Q120" t="s">
        <v>73</v>
      </c>
      <c r="R120">
        <v>25</v>
      </c>
      <c r="S120">
        <v>1</v>
      </c>
      <c r="T120">
        <v>1</v>
      </c>
      <c r="U120">
        <v>0</v>
      </c>
      <c r="V120">
        <v>0</v>
      </c>
      <c r="W120">
        <v>4</v>
      </c>
      <c r="X120">
        <v>2</v>
      </c>
      <c r="Y120">
        <v>15</v>
      </c>
      <c r="Z120">
        <v>21</v>
      </c>
      <c r="AA120">
        <v>20</v>
      </c>
      <c r="AB120">
        <v>14</v>
      </c>
      <c r="AC120">
        <v>5</v>
      </c>
      <c r="AD120">
        <v>6</v>
      </c>
      <c r="AE120">
        <v>1</v>
      </c>
      <c r="AF120">
        <v>2</v>
      </c>
      <c r="AG120">
        <v>11</v>
      </c>
      <c r="AH120">
        <v>9</v>
      </c>
      <c r="AI120">
        <v>2</v>
      </c>
      <c r="AJ120">
        <v>2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0.3</v>
      </c>
      <c r="AQ120">
        <v>0</v>
      </c>
    </row>
    <row r="121" spans="1:43" x14ac:dyDescent="0.25">
      <c r="A121">
        <v>2024</v>
      </c>
      <c r="B121">
        <v>45516</v>
      </c>
      <c r="C121">
        <v>22</v>
      </c>
      <c r="D121">
        <v>17136</v>
      </c>
      <c r="E121">
        <v>50848</v>
      </c>
      <c r="F121" t="s">
        <v>473</v>
      </c>
      <c r="G121">
        <v>0.33700440528634362</v>
      </c>
      <c r="H121" t="s">
        <v>37</v>
      </c>
      <c r="I121" t="s">
        <v>69</v>
      </c>
      <c r="J121">
        <v>10</v>
      </c>
      <c r="K121" t="s">
        <v>482</v>
      </c>
      <c r="L121">
        <v>8</v>
      </c>
      <c r="M121">
        <v>-2</v>
      </c>
      <c r="N121">
        <v>3200</v>
      </c>
      <c r="O121" t="s">
        <v>487</v>
      </c>
      <c r="P121">
        <v>2145</v>
      </c>
      <c r="Q121" t="s">
        <v>149</v>
      </c>
      <c r="R121" t="s">
        <v>117</v>
      </c>
      <c r="S121">
        <v>2</v>
      </c>
      <c r="T121">
        <v>2</v>
      </c>
      <c r="U121">
        <v>1</v>
      </c>
      <c r="V121">
        <v>1</v>
      </c>
      <c r="W121">
        <v>9</v>
      </c>
      <c r="X121">
        <v>0</v>
      </c>
      <c r="Y121">
        <v>18</v>
      </c>
      <c r="Z121">
        <v>13</v>
      </c>
      <c r="AA121">
        <v>13</v>
      </c>
      <c r="AB121">
        <v>17</v>
      </c>
      <c r="AC121">
        <v>3</v>
      </c>
      <c r="AD121">
        <v>1</v>
      </c>
      <c r="AE121">
        <v>0</v>
      </c>
      <c r="AF121">
        <v>2</v>
      </c>
      <c r="AG121">
        <v>23</v>
      </c>
      <c r="AH121">
        <v>12</v>
      </c>
      <c r="AI121">
        <v>8</v>
      </c>
      <c r="AJ121">
        <v>4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1</v>
      </c>
      <c r="AQ121">
        <v>0</v>
      </c>
    </row>
    <row r="122" spans="1:43" x14ac:dyDescent="0.25">
      <c r="A122">
        <v>2024</v>
      </c>
      <c r="B122">
        <v>45521</v>
      </c>
      <c r="C122">
        <v>23</v>
      </c>
      <c r="D122">
        <v>36290</v>
      </c>
      <c r="E122">
        <v>46000</v>
      </c>
      <c r="F122" t="s">
        <v>477</v>
      </c>
      <c r="G122">
        <v>0.78891304347826086</v>
      </c>
      <c r="H122" t="s">
        <v>89</v>
      </c>
      <c r="I122" t="s">
        <v>70</v>
      </c>
      <c r="J122">
        <v>8</v>
      </c>
      <c r="K122" t="s">
        <v>482</v>
      </c>
      <c r="L122">
        <v>19</v>
      </c>
      <c r="M122">
        <v>11</v>
      </c>
      <c r="N122">
        <v>2785</v>
      </c>
      <c r="O122" t="s">
        <v>487</v>
      </c>
      <c r="P122">
        <v>1365</v>
      </c>
      <c r="Q122" t="s">
        <v>66</v>
      </c>
      <c r="R122">
        <v>28</v>
      </c>
      <c r="S122">
        <v>1</v>
      </c>
      <c r="T122">
        <v>1</v>
      </c>
      <c r="U122">
        <v>1</v>
      </c>
      <c r="V122">
        <v>1</v>
      </c>
      <c r="W122">
        <v>8</v>
      </c>
      <c r="X122">
        <v>6</v>
      </c>
      <c r="Y122">
        <v>13</v>
      </c>
      <c r="Z122">
        <v>14</v>
      </c>
      <c r="AA122">
        <v>12</v>
      </c>
      <c r="AB122">
        <v>13</v>
      </c>
      <c r="AC122">
        <v>4</v>
      </c>
      <c r="AD122">
        <v>3</v>
      </c>
      <c r="AE122">
        <v>3</v>
      </c>
      <c r="AF122">
        <v>0</v>
      </c>
      <c r="AG122">
        <v>13</v>
      </c>
      <c r="AH122">
        <v>11</v>
      </c>
      <c r="AI122">
        <v>7</v>
      </c>
      <c r="AJ122">
        <v>2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1.87</v>
      </c>
      <c r="AQ122">
        <v>0</v>
      </c>
    </row>
    <row r="123" spans="1:43" x14ac:dyDescent="0.25">
      <c r="A123">
        <v>2024</v>
      </c>
      <c r="B123">
        <v>45521</v>
      </c>
      <c r="C123">
        <v>23</v>
      </c>
      <c r="D123">
        <v>56102</v>
      </c>
      <c r="E123">
        <v>60540</v>
      </c>
      <c r="F123" t="s">
        <v>473</v>
      </c>
      <c r="G123">
        <v>0.92669309547406675</v>
      </c>
      <c r="H123" t="s">
        <v>83</v>
      </c>
      <c r="I123" t="s">
        <v>38</v>
      </c>
      <c r="J123">
        <v>15</v>
      </c>
      <c r="K123" t="s">
        <v>483</v>
      </c>
      <c r="L123">
        <v>5</v>
      </c>
      <c r="M123">
        <v>-10</v>
      </c>
      <c r="N123">
        <v>2700</v>
      </c>
      <c r="O123" t="s">
        <v>487</v>
      </c>
      <c r="P123">
        <v>3745</v>
      </c>
      <c r="Q123" t="s">
        <v>252</v>
      </c>
      <c r="R123" t="s">
        <v>100</v>
      </c>
      <c r="S123">
        <v>0</v>
      </c>
      <c r="T123">
        <v>2</v>
      </c>
      <c r="U123">
        <v>0</v>
      </c>
      <c r="V123">
        <v>1</v>
      </c>
      <c r="W123">
        <v>1</v>
      </c>
      <c r="X123">
        <v>5</v>
      </c>
      <c r="Y123">
        <v>10</v>
      </c>
      <c r="Z123">
        <v>10</v>
      </c>
      <c r="AA123">
        <v>10</v>
      </c>
      <c r="AB123">
        <v>10</v>
      </c>
      <c r="AC123">
        <v>3</v>
      </c>
      <c r="AD123">
        <v>5</v>
      </c>
      <c r="AE123">
        <v>1</v>
      </c>
      <c r="AF123">
        <v>1</v>
      </c>
      <c r="AG123">
        <v>13</v>
      </c>
      <c r="AH123">
        <v>12</v>
      </c>
      <c r="AI123">
        <v>5</v>
      </c>
      <c r="AJ123">
        <v>3</v>
      </c>
      <c r="AK123">
        <v>-2</v>
      </c>
      <c r="AL123">
        <v>0</v>
      </c>
      <c r="AM123">
        <v>0</v>
      </c>
      <c r="AN123">
        <v>0</v>
      </c>
      <c r="AO123">
        <v>1</v>
      </c>
      <c r="AP123">
        <v>1.2</v>
      </c>
      <c r="AQ123">
        <v>0</v>
      </c>
    </row>
    <row r="124" spans="1:43" x14ac:dyDescent="0.25">
      <c r="A124">
        <v>2024</v>
      </c>
      <c r="B124">
        <v>45521</v>
      </c>
      <c r="C124">
        <v>23</v>
      </c>
      <c r="D124">
        <v>3928</v>
      </c>
      <c r="E124">
        <v>15010</v>
      </c>
      <c r="F124" t="s">
        <v>473</v>
      </c>
      <c r="G124">
        <v>0.26169220519653563</v>
      </c>
      <c r="H124" t="s">
        <v>56</v>
      </c>
      <c r="I124" t="s">
        <v>63</v>
      </c>
      <c r="J124">
        <v>14</v>
      </c>
      <c r="K124" t="s">
        <v>483</v>
      </c>
      <c r="L124">
        <v>2</v>
      </c>
      <c r="M124">
        <v>-12</v>
      </c>
      <c r="N124">
        <v>3045</v>
      </c>
      <c r="O124" t="s">
        <v>487</v>
      </c>
      <c r="P124">
        <v>1335</v>
      </c>
      <c r="Q124" t="s">
        <v>253</v>
      </c>
      <c r="R124" t="s">
        <v>197</v>
      </c>
      <c r="S124">
        <v>1</v>
      </c>
      <c r="T124">
        <v>2</v>
      </c>
      <c r="U124">
        <v>1</v>
      </c>
      <c r="V124">
        <v>1</v>
      </c>
      <c r="W124">
        <v>9</v>
      </c>
      <c r="X124">
        <v>2</v>
      </c>
      <c r="Y124">
        <v>19</v>
      </c>
      <c r="Z124">
        <v>13</v>
      </c>
      <c r="AA124">
        <v>13</v>
      </c>
      <c r="AB124">
        <v>18</v>
      </c>
      <c r="AC124">
        <v>5</v>
      </c>
      <c r="AD124">
        <v>7</v>
      </c>
      <c r="AE124">
        <v>3</v>
      </c>
      <c r="AF124">
        <v>1</v>
      </c>
      <c r="AG124">
        <v>13</v>
      </c>
      <c r="AH124">
        <v>14</v>
      </c>
      <c r="AI124">
        <v>2</v>
      </c>
      <c r="AJ124">
        <v>2</v>
      </c>
      <c r="AK124">
        <v>-1</v>
      </c>
      <c r="AL124">
        <v>0</v>
      </c>
      <c r="AM124">
        <v>0</v>
      </c>
      <c r="AN124">
        <v>0</v>
      </c>
      <c r="AO124">
        <v>1</v>
      </c>
      <c r="AP124">
        <v>2.2000000000000002</v>
      </c>
      <c r="AQ124">
        <v>0</v>
      </c>
    </row>
    <row r="125" spans="1:43" x14ac:dyDescent="0.25">
      <c r="A125">
        <v>2024</v>
      </c>
      <c r="B125">
        <v>45522</v>
      </c>
      <c r="C125">
        <v>23</v>
      </c>
      <c r="D125">
        <v>23731</v>
      </c>
      <c r="E125">
        <v>46931</v>
      </c>
      <c r="F125" t="s">
        <v>472</v>
      </c>
      <c r="G125">
        <v>0.50565724148217595</v>
      </c>
      <c r="H125" t="s">
        <v>51</v>
      </c>
      <c r="I125" t="s">
        <v>77</v>
      </c>
      <c r="J125">
        <v>1</v>
      </c>
      <c r="K125" t="s">
        <v>481</v>
      </c>
      <c r="L125">
        <v>3</v>
      </c>
      <c r="M125">
        <v>2</v>
      </c>
      <c r="N125">
        <v>6080</v>
      </c>
      <c r="O125" t="s">
        <v>490</v>
      </c>
      <c r="P125">
        <v>7070</v>
      </c>
      <c r="Q125" t="s">
        <v>104</v>
      </c>
      <c r="R125" t="s">
        <v>86</v>
      </c>
      <c r="S125">
        <v>4</v>
      </c>
      <c r="T125">
        <v>1</v>
      </c>
      <c r="U125">
        <v>1</v>
      </c>
      <c r="V125">
        <v>1</v>
      </c>
      <c r="W125">
        <v>5</v>
      </c>
      <c r="X125">
        <v>2</v>
      </c>
      <c r="Y125">
        <v>17</v>
      </c>
      <c r="Z125">
        <v>7</v>
      </c>
      <c r="AA125">
        <v>7</v>
      </c>
      <c r="AB125">
        <v>17</v>
      </c>
      <c r="AC125">
        <v>2</v>
      </c>
      <c r="AD125">
        <v>5</v>
      </c>
      <c r="AE125">
        <v>3</v>
      </c>
      <c r="AF125">
        <v>0</v>
      </c>
      <c r="AG125">
        <v>19</v>
      </c>
      <c r="AH125">
        <v>10</v>
      </c>
      <c r="AI125">
        <v>7</v>
      </c>
      <c r="AJ125">
        <v>4</v>
      </c>
      <c r="AK125">
        <v>3</v>
      </c>
      <c r="AL125">
        <v>1</v>
      </c>
      <c r="AM125">
        <v>0</v>
      </c>
      <c r="AN125">
        <v>1</v>
      </c>
      <c r="AO125">
        <v>0</v>
      </c>
      <c r="AP125">
        <v>3.3</v>
      </c>
      <c r="AQ125">
        <v>0</v>
      </c>
    </row>
    <row r="126" spans="1:43" x14ac:dyDescent="0.25">
      <c r="A126">
        <v>2024</v>
      </c>
      <c r="B126">
        <v>45522</v>
      </c>
      <c r="C126">
        <v>23</v>
      </c>
      <c r="D126">
        <v>5460</v>
      </c>
      <c r="E126">
        <v>13000</v>
      </c>
      <c r="F126" t="s">
        <v>476</v>
      </c>
      <c r="G126">
        <v>0.42</v>
      </c>
      <c r="H126" t="s">
        <v>76</v>
      </c>
      <c r="I126" t="s">
        <v>37</v>
      </c>
      <c r="J126">
        <v>20</v>
      </c>
      <c r="K126" t="s">
        <v>484</v>
      </c>
      <c r="L126">
        <v>12</v>
      </c>
      <c r="M126">
        <v>-8</v>
      </c>
      <c r="N126">
        <v>855</v>
      </c>
      <c r="O126" t="s">
        <v>488</v>
      </c>
      <c r="P126">
        <v>2615</v>
      </c>
      <c r="Q126" t="s">
        <v>134</v>
      </c>
      <c r="R126" t="s">
        <v>107</v>
      </c>
      <c r="S126">
        <v>1</v>
      </c>
      <c r="T126">
        <v>0</v>
      </c>
      <c r="U126">
        <v>0</v>
      </c>
      <c r="V126">
        <v>0</v>
      </c>
      <c r="W126">
        <v>4</v>
      </c>
      <c r="X126">
        <v>7</v>
      </c>
      <c r="Y126">
        <v>11</v>
      </c>
      <c r="Z126">
        <v>6</v>
      </c>
      <c r="AA126">
        <v>6</v>
      </c>
      <c r="AB126">
        <v>11</v>
      </c>
      <c r="AC126">
        <v>6</v>
      </c>
      <c r="AD126">
        <v>4</v>
      </c>
      <c r="AE126">
        <v>1</v>
      </c>
      <c r="AF126">
        <v>0</v>
      </c>
      <c r="AG126">
        <v>13</v>
      </c>
      <c r="AH126">
        <v>19</v>
      </c>
      <c r="AI126">
        <v>4</v>
      </c>
      <c r="AJ126">
        <v>5</v>
      </c>
      <c r="AK126">
        <v>1</v>
      </c>
      <c r="AL126">
        <v>1</v>
      </c>
      <c r="AM126">
        <v>0</v>
      </c>
      <c r="AN126">
        <v>1</v>
      </c>
      <c r="AO126">
        <v>0</v>
      </c>
      <c r="AP126">
        <v>0.8</v>
      </c>
      <c r="AQ126">
        <v>0</v>
      </c>
    </row>
    <row r="127" spans="1:43" x14ac:dyDescent="0.25">
      <c r="A127">
        <v>2024</v>
      </c>
      <c r="B127">
        <v>45522</v>
      </c>
      <c r="C127">
        <v>23</v>
      </c>
      <c r="D127">
        <v>37244</v>
      </c>
      <c r="E127">
        <v>43713</v>
      </c>
      <c r="F127" t="s">
        <v>474</v>
      </c>
      <c r="G127">
        <v>0.85201198728067162</v>
      </c>
      <c r="H127" t="s">
        <v>95</v>
      </c>
      <c r="I127" t="s">
        <v>62</v>
      </c>
      <c r="J127">
        <v>4</v>
      </c>
      <c r="K127" t="s">
        <v>481</v>
      </c>
      <c r="L127">
        <v>6</v>
      </c>
      <c r="M127">
        <v>2</v>
      </c>
      <c r="N127">
        <v>8560</v>
      </c>
      <c r="O127" t="s">
        <v>489</v>
      </c>
      <c r="P127">
        <v>3170</v>
      </c>
      <c r="Q127">
        <v>27</v>
      </c>
      <c r="R127" t="s">
        <v>120</v>
      </c>
      <c r="S127">
        <v>2</v>
      </c>
      <c r="T127">
        <v>1</v>
      </c>
      <c r="U127">
        <v>0</v>
      </c>
      <c r="V127">
        <v>0</v>
      </c>
      <c r="W127">
        <v>6</v>
      </c>
      <c r="X127">
        <v>1</v>
      </c>
      <c r="Y127">
        <v>17</v>
      </c>
      <c r="Z127">
        <v>12</v>
      </c>
      <c r="AA127">
        <v>12</v>
      </c>
      <c r="AB127">
        <v>16</v>
      </c>
      <c r="AC127">
        <v>3</v>
      </c>
      <c r="AD127">
        <v>6</v>
      </c>
      <c r="AE127">
        <v>2</v>
      </c>
      <c r="AF127">
        <v>1</v>
      </c>
      <c r="AG127">
        <v>24</v>
      </c>
      <c r="AH127">
        <v>8</v>
      </c>
      <c r="AI127">
        <v>10</v>
      </c>
      <c r="AJ127">
        <v>4</v>
      </c>
      <c r="AK127">
        <v>1</v>
      </c>
      <c r="AL127">
        <v>1</v>
      </c>
      <c r="AM127">
        <v>0</v>
      </c>
      <c r="AN127">
        <v>1</v>
      </c>
      <c r="AO127">
        <v>0</v>
      </c>
      <c r="AP127">
        <v>2.17</v>
      </c>
      <c r="AQ127">
        <v>0</v>
      </c>
    </row>
    <row r="128" spans="1:43" x14ac:dyDescent="0.25">
      <c r="A128">
        <v>2024</v>
      </c>
      <c r="B128">
        <v>45522</v>
      </c>
      <c r="C128">
        <v>23</v>
      </c>
      <c r="D128">
        <v>22926</v>
      </c>
      <c r="E128">
        <v>42372</v>
      </c>
      <c r="F128" t="s">
        <v>473</v>
      </c>
      <c r="G128">
        <v>0.54106485414896632</v>
      </c>
      <c r="H128" t="s">
        <v>69</v>
      </c>
      <c r="I128" t="s">
        <v>44</v>
      </c>
      <c r="J128">
        <v>9</v>
      </c>
      <c r="K128" t="s">
        <v>482</v>
      </c>
      <c r="L128">
        <v>13</v>
      </c>
      <c r="M128">
        <v>4</v>
      </c>
      <c r="N128">
        <v>2145</v>
      </c>
      <c r="O128" t="s">
        <v>487</v>
      </c>
      <c r="P128">
        <v>710</v>
      </c>
      <c r="Q128" t="s">
        <v>217</v>
      </c>
      <c r="R128" t="s">
        <v>74</v>
      </c>
      <c r="S128">
        <v>1</v>
      </c>
      <c r="T128">
        <v>2</v>
      </c>
      <c r="U128">
        <v>1</v>
      </c>
      <c r="V128">
        <v>1</v>
      </c>
      <c r="W128">
        <v>10</v>
      </c>
      <c r="X128">
        <v>4</v>
      </c>
      <c r="Y128">
        <v>17</v>
      </c>
      <c r="Z128">
        <v>10</v>
      </c>
      <c r="AA128">
        <v>9</v>
      </c>
      <c r="AB128">
        <v>16</v>
      </c>
      <c r="AC128">
        <v>3</v>
      </c>
      <c r="AD128">
        <v>6</v>
      </c>
      <c r="AE128">
        <v>1</v>
      </c>
      <c r="AF128">
        <v>1</v>
      </c>
      <c r="AG128">
        <v>23</v>
      </c>
      <c r="AH128">
        <v>8</v>
      </c>
      <c r="AI128">
        <v>10</v>
      </c>
      <c r="AJ128">
        <v>2</v>
      </c>
      <c r="AK128">
        <v>-1</v>
      </c>
      <c r="AL128">
        <v>0</v>
      </c>
      <c r="AM128">
        <v>0</v>
      </c>
      <c r="AN128">
        <v>0</v>
      </c>
      <c r="AO128">
        <v>1</v>
      </c>
      <c r="AP128">
        <v>1.6</v>
      </c>
      <c r="AQ128">
        <v>0</v>
      </c>
    </row>
    <row r="129" spans="1:43" x14ac:dyDescent="0.25">
      <c r="A129">
        <v>2024</v>
      </c>
      <c r="B129">
        <v>45522</v>
      </c>
      <c r="C129">
        <v>23</v>
      </c>
      <c r="D129">
        <v>18403</v>
      </c>
      <c r="E129">
        <v>19225</v>
      </c>
      <c r="F129" t="s">
        <v>476</v>
      </c>
      <c r="G129">
        <v>0.95724317295188555</v>
      </c>
      <c r="H129" t="s">
        <v>43</v>
      </c>
      <c r="I129" t="s">
        <v>82</v>
      </c>
      <c r="J129">
        <v>11</v>
      </c>
      <c r="K129" t="s">
        <v>483</v>
      </c>
      <c r="L129">
        <v>10</v>
      </c>
      <c r="M129">
        <v>-1</v>
      </c>
      <c r="N129">
        <v>620</v>
      </c>
      <c r="O129" t="s">
        <v>488</v>
      </c>
      <c r="P129">
        <v>3780</v>
      </c>
      <c r="Q129" t="s">
        <v>67</v>
      </c>
      <c r="R129" t="s">
        <v>151</v>
      </c>
      <c r="S129">
        <v>2</v>
      </c>
      <c r="T129">
        <v>2</v>
      </c>
      <c r="U129">
        <v>1</v>
      </c>
      <c r="V129">
        <v>2</v>
      </c>
      <c r="W129">
        <v>9</v>
      </c>
      <c r="X129">
        <v>10</v>
      </c>
      <c r="Y129">
        <v>15</v>
      </c>
      <c r="Z129">
        <v>7</v>
      </c>
      <c r="AA129">
        <v>5</v>
      </c>
      <c r="AB129">
        <v>15</v>
      </c>
      <c r="AC129">
        <v>2</v>
      </c>
      <c r="AD129">
        <v>6</v>
      </c>
      <c r="AE129">
        <v>4</v>
      </c>
      <c r="AF129">
        <v>1</v>
      </c>
      <c r="AG129">
        <v>19</v>
      </c>
      <c r="AH129">
        <v>13</v>
      </c>
      <c r="AI129">
        <v>10</v>
      </c>
      <c r="AJ129">
        <v>5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1.0900000000000001</v>
      </c>
      <c r="AQ129">
        <v>0</v>
      </c>
    </row>
    <row r="130" spans="1:43" x14ac:dyDescent="0.25">
      <c r="A130">
        <v>2024</v>
      </c>
      <c r="B130">
        <v>45522</v>
      </c>
      <c r="C130">
        <v>23</v>
      </c>
      <c r="D130">
        <v>30475</v>
      </c>
      <c r="E130">
        <v>82238</v>
      </c>
      <c r="F130" t="s">
        <v>477</v>
      </c>
      <c r="G130">
        <v>0.37057078236338431</v>
      </c>
      <c r="H130" t="s">
        <v>55</v>
      </c>
      <c r="I130" t="s">
        <v>88</v>
      </c>
      <c r="J130">
        <v>16</v>
      </c>
      <c r="K130" t="s">
        <v>484</v>
      </c>
      <c r="L130">
        <v>18</v>
      </c>
      <c r="M130">
        <v>2</v>
      </c>
      <c r="N130">
        <v>4750</v>
      </c>
      <c r="O130" t="s">
        <v>490</v>
      </c>
      <c r="P130">
        <v>3530</v>
      </c>
      <c r="Q130" t="s">
        <v>116</v>
      </c>
      <c r="R130">
        <v>26</v>
      </c>
      <c r="S130">
        <v>0</v>
      </c>
      <c r="T130">
        <v>0</v>
      </c>
      <c r="U130">
        <v>0</v>
      </c>
      <c r="V130">
        <v>0</v>
      </c>
      <c r="W130">
        <v>6</v>
      </c>
      <c r="X130">
        <v>2</v>
      </c>
      <c r="Y130">
        <v>10</v>
      </c>
      <c r="Z130">
        <v>17</v>
      </c>
      <c r="AA130">
        <v>16</v>
      </c>
      <c r="AB130">
        <v>9</v>
      </c>
      <c r="AC130">
        <v>2</v>
      </c>
      <c r="AD130">
        <v>4</v>
      </c>
      <c r="AE130">
        <v>0</v>
      </c>
      <c r="AF130">
        <v>3</v>
      </c>
      <c r="AG130">
        <v>16</v>
      </c>
      <c r="AH130">
        <v>8</v>
      </c>
      <c r="AI130">
        <v>6</v>
      </c>
      <c r="AJ130">
        <v>4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0.56999999999999995</v>
      </c>
      <c r="AQ130">
        <v>0</v>
      </c>
    </row>
    <row r="131" spans="1:43" x14ac:dyDescent="0.25">
      <c r="A131">
        <v>2024</v>
      </c>
      <c r="B131">
        <v>45524</v>
      </c>
      <c r="C131">
        <v>23</v>
      </c>
      <c r="D131">
        <v>17062</v>
      </c>
      <c r="E131">
        <v>30618</v>
      </c>
      <c r="F131" t="s">
        <v>473</v>
      </c>
      <c r="G131">
        <v>0.55725390293291532</v>
      </c>
      <c r="H131" t="s">
        <v>94</v>
      </c>
      <c r="I131" t="s">
        <v>50</v>
      </c>
      <c r="J131">
        <v>17</v>
      </c>
      <c r="K131" t="s">
        <v>484</v>
      </c>
      <c r="L131">
        <v>7</v>
      </c>
      <c r="M131">
        <v>-10</v>
      </c>
      <c r="N131">
        <v>1308</v>
      </c>
      <c r="O131" t="s">
        <v>488</v>
      </c>
      <c r="P131">
        <v>3420</v>
      </c>
      <c r="Q131">
        <v>28</v>
      </c>
      <c r="R131" t="s">
        <v>66</v>
      </c>
      <c r="S131">
        <v>2</v>
      </c>
      <c r="T131">
        <v>2</v>
      </c>
      <c r="U131">
        <v>2</v>
      </c>
      <c r="V131">
        <v>0</v>
      </c>
      <c r="W131">
        <v>4</v>
      </c>
      <c r="X131">
        <v>7</v>
      </c>
      <c r="Y131">
        <v>10</v>
      </c>
      <c r="Z131">
        <v>13</v>
      </c>
      <c r="AA131">
        <v>11</v>
      </c>
      <c r="AB131">
        <v>9</v>
      </c>
      <c r="AC131">
        <v>10</v>
      </c>
      <c r="AD131">
        <v>3</v>
      </c>
      <c r="AE131">
        <v>0</v>
      </c>
      <c r="AF131">
        <v>0</v>
      </c>
      <c r="AG131">
        <v>14</v>
      </c>
      <c r="AH131">
        <v>25</v>
      </c>
      <c r="AI131">
        <v>5</v>
      </c>
      <c r="AJ131">
        <v>8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1.23</v>
      </c>
      <c r="AQ131">
        <v>1</v>
      </c>
    </row>
    <row r="132" spans="1:43" x14ac:dyDescent="0.25">
      <c r="A132">
        <v>2024</v>
      </c>
      <c r="B132">
        <v>45528</v>
      </c>
      <c r="C132">
        <v>24</v>
      </c>
      <c r="D132">
        <v>30956</v>
      </c>
      <c r="E132">
        <v>43713</v>
      </c>
      <c r="F132" t="s">
        <v>477</v>
      </c>
      <c r="G132">
        <v>0.70816461922082674</v>
      </c>
      <c r="H132" t="s">
        <v>95</v>
      </c>
      <c r="I132" t="s">
        <v>70</v>
      </c>
      <c r="J132">
        <v>4</v>
      </c>
      <c r="K132" t="s">
        <v>481</v>
      </c>
      <c r="L132">
        <v>19</v>
      </c>
      <c r="M132">
        <v>15</v>
      </c>
      <c r="N132">
        <v>9850</v>
      </c>
      <c r="O132" t="s">
        <v>489</v>
      </c>
      <c r="P132">
        <v>1225</v>
      </c>
      <c r="Q132" t="s">
        <v>239</v>
      </c>
      <c r="R132">
        <v>27</v>
      </c>
      <c r="S132">
        <v>5</v>
      </c>
      <c r="T132">
        <v>0</v>
      </c>
      <c r="U132">
        <v>4</v>
      </c>
      <c r="V132">
        <v>0</v>
      </c>
      <c r="W132">
        <v>7</v>
      </c>
      <c r="X132">
        <v>1</v>
      </c>
      <c r="Y132">
        <v>16</v>
      </c>
      <c r="Z132">
        <v>6</v>
      </c>
      <c r="AA132">
        <v>6</v>
      </c>
      <c r="AB132">
        <v>16</v>
      </c>
      <c r="AC132">
        <v>3</v>
      </c>
      <c r="AD132">
        <v>4</v>
      </c>
      <c r="AE132">
        <v>1</v>
      </c>
      <c r="AF132">
        <v>2</v>
      </c>
      <c r="AG132">
        <v>14</v>
      </c>
      <c r="AH132">
        <v>10</v>
      </c>
      <c r="AI132">
        <v>3</v>
      </c>
      <c r="AJ132">
        <v>4</v>
      </c>
      <c r="AK132">
        <v>5</v>
      </c>
      <c r="AL132">
        <v>1</v>
      </c>
      <c r="AM132">
        <v>0</v>
      </c>
      <c r="AN132">
        <v>1</v>
      </c>
      <c r="AO132">
        <v>0</v>
      </c>
      <c r="AP132">
        <v>2.61</v>
      </c>
      <c r="AQ132">
        <v>0</v>
      </c>
    </row>
    <row r="133" spans="1:43" x14ac:dyDescent="0.25">
      <c r="A133">
        <v>2024</v>
      </c>
      <c r="B133">
        <v>45528</v>
      </c>
      <c r="C133">
        <v>24</v>
      </c>
      <c r="D133">
        <v>4407</v>
      </c>
      <c r="E133">
        <v>13000</v>
      </c>
      <c r="F133" t="s">
        <v>473</v>
      </c>
      <c r="G133">
        <v>0.33900000000000002</v>
      </c>
      <c r="H133" t="s">
        <v>76</v>
      </c>
      <c r="I133" t="s">
        <v>44</v>
      </c>
      <c r="J133">
        <v>20</v>
      </c>
      <c r="K133" t="s">
        <v>484</v>
      </c>
      <c r="L133">
        <v>13</v>
      </c>
      <c r="M133">
        <v>-7</v>
      </c>
      <c r="N133">
        <v>785</v>
      </c>
      <c r="O133" t="s">
        <v>488</v>
      </c>
      <c r="P133">
        <v>800</v>
      </c>
      <c r="Q133" t="s">
        <v>66</v>
      </c>
      <c r="R133" t="s">
        <v>111</v>
      </c>
      <c r="S133">
        <v>2</v>
      </c>
      <c r="T133">
        <v>1</v>
      </c>
      <c r="U133">
        <v>0</v>
      </c>
      <c r="V133">
        <v>0</v>
      </c>
      <c r="W133">
        <v>4</v>
      </c>
      <c r="X133">
        <v>5</v>
      </c>
      <c r="Y133">
        <v>17</v>
      </c>
      <c r="Z133">
        <v>10</v>
      </c>
      <c r="AA133">
        <v>10</v>
      </c>
      <c r="AB133">
        <v>16</v>
      </c>
      <c r="AC133">
        <v>2</v>
      </c>
      <c r="AD133">
        <v>5</v>
      </c>
      <c r="AE133">
        <v>0</v>
      </c>
      <c r="AF133">
        <v>2</v>
      </c>
      <c r="AG133">
        <v>18</v>
      </c>
      <c r="AH133">
        <v>13</v>
      </c>
      <c r="AI133">
        <v>7</v>
      </c>
      <c r="AJ133">
        <v>5</v>
      </c>
      <c r="AK133">
        <v>1</v>
      </c>
      <c r="AL133">
        <v>1</v>
      </c>
      <c r="AM133">
        <v>0</v>
      </c>
      <c r="AN133">
        <v>1</v>
      </c>
      <c r="AO133">
        <v>0</v>
      </c>
      <c r="AP133">
        <v>2.4300000000000002</v>
      </c>
      <c r="AQ133">
        <v>1</v>
      </c>
    </row>
    <row r="134" spans="1:43" x14ac:dyDescent="0.25">
      <c r="A134">
        <v>2024</v>
      </c>
      <c r="B134">
        <v>45529</v>
      </c>
      <c r="C134">
        <v>24</v>
      </c>
      <c r="D134">
        <v>32712</v>
      </c>
      <c r="E134">
        <v>72039</v>
      </c>
      <c r="F134" t="s">
        <v>472</v>
      </c>
      <c r="G134">
        <v>0.45408736934160665</v>
      </c>
      <c r="H134" t="s">
        <v>62</v>
      </c>
      <c r="I134" t="s">
        <v>94</v>
      </c>
      <c r="J134">
        <v>5</v>
      </c>
      <c r="K134" t="s">
        <v>481</v>
      </c>
      <c r="L134">
        <v>17</v>
      </c>
      <c r="M134">
        <v>12</v>
      </c>
      <c r="N134">
        <v>2215</v>
      </c>
      <c r="O134" t="s">
        <v>487</v>
      </c>
      <c r="P134">
        <v>1248</v>
      </c>
      <c r="Q134" t="s">
        <v>100</v>
      </c>
      <c r="R134">
        <v>28</v>
      </c>
      <c r="S134">
        <v>2</v>
      </c>
      <c r="T134">
        <v>1</v>
      </c>
      <c r="U134">
        <v>2</v>
      </c>
      <c r="V134">
        <v>0</v>
      </c>
      <c r="W134">
        <v>4</v>
      </c>
      <c r="X134">
        <v>3</v>
      </c>
      <c r="Y134">
        <v>7</v>
      </c>
      <c r="Z134">
        <v>8</v>
      </c>
      <c r="AA134">
        <v>8</v>
      </c>
      <c r="AB134">
        <v>7</v>
      </c>
      <c r="AC134">
        <v>3</v>
      </c>
      <c r="AD134">
        <v>1</v>
      </c>
      <c r="AE134">
        <v>1</v>
      </c>
      <c r="AF134">
        <v>0</v>
      </c>
      <c r="AG134">
        <v>12</v>
      </c>
      <c r="AH134">
        <v>10</v>
      </c>
      <c r="AI134">
        <v>5</v>
      </c>
      <c r="AJ134">
        <v>4</v>
      </c>
      <c r="AK134">
        <v>1</v>
      </c>
      <c r="AL134">
        <v>1</v>
      </c>
      <c r="AM134">
        <v>0</v>
      </c>
      <c r="AN134">
        <v>1</v>
      </c>
      <c r="AO134">
        <v>0</v>
      </c>
      <c r="AP134">
        <v>0.65</v>
      </c>
      <c r="AQ134">
        <v>0</v>
      </c>
    </row>
    <row r="135" spans="1:43" x14ac:dyDescent="0.25">
      <c r="A135">
        <v>2024</v>
      </c>
      <c r="B135">
        <v>45529</v>
      </c>
      <c r="C135">
        <v>24</v>
      </c>
      <c r="D135">
        <v>32068</v>
      </c>
      <c r="E135">
        <v>46000</v>
      </c>
      <c r="F135" t="s">
        <v>473</v>
      </c>
      <c r="G135">
        <v>0.69713043478260872</v>
      </c>
      <c r="H135" t="s">
        <v>89</v>
      </c>
      <c r="I135" t="s">
        <v>55</v>
      </c>
      <c r="J135">
        <v>10</v>
      </c>
      <c r="K135" t="s">
        <v>482</v>
      </c>
      <c r="L135">
        <v>16</v>
      </c>
      <c r="M135">
        <v>6</v>
      </c>
      <c r="N135">
        <v>3550</v>
      </c>
      <c r="O135" t="s">
        <v>490</v>
      </c>
      <c r="P135">
        <v>5840</v>
      </c>
      <c r="Q135" t="s">
        <v>74</v>
      </c>
      <c r="R135" t="s">
        <v>205</v>
      </c>
      <c r="S135">
        <v>0</v>
      </c>
      <c r="T135">
        <v>2</v>
      </c>
      <c r="U135">
        <v>0</v>
      </c>
      <c r="V135">
        <v>1</v>
      </c>
      <c r="W135">
        <v>5</v>
      </c>
      <c r="X135">
        <v>2</v>
      </c>
      <c r="Y135">
        <v>19</v>
      </c>
      <c r="Z135">
        <v>7</v>
      </c>
      <c r="AA135">
        <v>7</v>
      </c>
      <c r="AB135">
        <v>19</v>
      </c>
      <c r="AC135">
        <v>5</v>
      </c>
      <c r="AD135">
        <v>0</v>
      </c>
      <c r="AE135">
        <v>1</v>
      </c>
      <c r="AF135">
        <v>0</v>
      </c>
      <c r="AG135">
        <v>19</v>
      </c>
      <c r="AH135">
        <v>8</v>
      </c>
      <c r="AI135">
        <v>14</v>
      </c>
      <c r="AJ135">
        <v>1</v>
      </c>
      <c r="AK135">
        <v>-2</v>
      </c>
      <c r="AL135">
        <v>0</v>
      </c>
      <c r="AM135">
        <v>0</v>
      </c>
      <c r="AN135">
        <v>0</v>
      </c>
      <c r="AO135">
        <v>1</v>
      </c>
      <c r="AP135">
        <v>0.5</v>
      </c>
      <c r="AQ135">
        <v>0</v>
      </c>
    </row>
    <row r="136" spans="1:43" x14ac:dyDescent="0.25">
      <c r="A136">
        <v>2024</v>
      </c>
      <c r="B136">
        <v>45529</v>
      </c>
      <c r="C136">
        <v>24</v>
      </c>
      <c r="D136">
        <v>40198</v>
      </c>
      <c r="E136">
        <v>47364</v>
      </c>
      <c r="F136" t="s">
        <v>473</v>
      </c>
      <c r="G136">
        <v>0.84870365678574444</v>
      </c>
      <c r="H136" t="s">
        <v>38</v>
      </c>
      <c r="I136" t="s">
        <v>51</v>
      </c>
      <c r="J136">
        <v>6</v>
      </c>
      <c r="K136" t="s">
        <v>482</v>
      </c>
      <c r="L136">
        <v>2</v>
      </c>
      <c r="M136">
        <v>-4</v>
      </c>
      <c r="N136">
        <v>3745</v>
      </c>
      <c r="O136" t="s">
        <v>490</v>
      </c>
      <c r="P136">
        <v>6220</v>
      </c>
      <c r="Q136" t="s">
        <v>100</v>
      </c>
      <c r="R136" t="s">
        <v>98</v>
      </c>
      <c r="S136">
        <v>0</v>
      </c>
      <c r="T136">
        <v>0</v>
      </c>
      <c r="U136">
        <v>0</v>
      </c>
      <c r="V136">
        <v>0</v>
      </c>
      <c r="W136">
        <v>4</v>
      </c>
      <c r="X136">
        <v>7</v>
      </c>
      <c r="Y136">
        <v>19</v>
      </c>
      <c r="Z136">
        <v>21</v>
      </c>
      <c r="AA136">
        <v>21</v>
      </c>
      <c r="AB136">
        <v>19</v>
      </c>
      <c r="AC136">
        <v>5</v>
      </c>
      <c r="AD136">
        <v>7</v>
      </c>
      <c r="AE136">
        <v>3</v>
      </c>
      <c r="AF136">
        <v>2</v>
      </c>
      <c r="AG136">
        <v>17</v>
      </c>
      <c r="AH136">
        <v>14</v>
      </c>
      <c r="AI136">
        <v>9</v>
      </c>
      <c r="AJ136">
        <v>4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0.92</v>
      </c>
      <c r="AQ136">
        <v>0</v>
      </c>
    </row>
    <row r="137" spans="1:43" x14ac:dyDescent="0.25">
      <c r="A137">
        <v>2024</v>
      </c>
      <c r="B137">
        <v>45529</v>
      </c>
      <c r="C137">
        <v>24</v>
      </c>
      <c r="D137">
        <v>51297</v>
      </c>
      <c r="E137">
        <v>60326</v>
      </c>
      <c r="F137" t="s">
        <v>473</v>
      </c>
      <c r="G137">
        <v>0.85032987434936846</v>
      </c>
      <c r="H137" t="s">
        <v>63</v>
      </c>
      <c r="I137" t="s">
        <v>88</v>
      </c>
      <c r="J137">
        <v>1</v>
      </c>
      <c r="K137" t="s">
        <v>481</v>
      </c>
      <c r="L137">
        <v>18</v>
      </c>
      <c r="M137">
        <v>17</v>
      </c>
      <c r="N137">
        <v>1605</v>
      </c>
      <c r="O137" t="s">
        <v>487</v>
      </c>
      <c r="P137">
        <v>3530</v>
      </c>
      <c r="Q137" t="s">
        <v>208</v>
      </c>
      <c r="R137">
        <v>26</v>
      </c>
      <c r="S137">
        <v>1</v>
      </c>
      <c r="T137">
        <v>0</v>
      </c>
      <c r="U137">
        <v>0</v>
      </c>
      <c r="V137">
        <v>0</v>
      </c>
      <c r="W137">
        <v>3</v>
      </c>
      <c r="X137">
        <v>9</v>
      </c>
      <c r="Y137">
        <v>14</v>
      </c>
      <c r="Z137">
        <v>16</v>
      </c>
      <c r="AA137">
        <v>15</v>
      </c>
      <c r="AB137">
        <v>14</v>
      </c>
      <c r="AC137">
        <v>3</v>
      </c>
      <c r="AD137">
        <v>4</v>
      </c>
      <c r="AE137">
        <v>2</v>
      </c>
      <c r="AF137">
        <v>2</v>
      </c>
      <c r="AG137">
        <v>8</v>
      </c>
      <c r="AH137">
        <v>12</v>
      </c>
      <c r="AI137">
        <v>3</v>
      </c>
      <c r="AJ137">
        <v>2</v>
      </c>
      <c r="AK137">
        <v>1</v>
      </c>
      <c r="AL137">
        <v>1</v>
      </c>
      <c r="AM137">
        <v>0</v>
      </c>
      <c r="AN137">
        <v>1</v>
      </c>
      <c r="AO137">
        <v>0</v>
      </c>
      <c r="AP137">
        <v>1.04</v>
      </c>
      <c r="AQ137">
        <v>0</v>
      </c>
    </row>
    <row r="138" spans="1:43" x14ac:dyDescent="0.25">
      <c r="A138">
        <v>2024</v>
      </c>
      <c r="B138">
        <v>45529</v>
      </c>
      <c r="C138">
        <v>24</v>
      </c>
      <c r="D138">
        <v>17377</v>
      </c>
      <c r="E138">
        <v>19225</v>
      </c>
      <c r="F138" t="s">
        <v>473</v>
      </c>
      <c r="G138">
        <v>0.90387516254876465</v>
      </c>
      <c r="H138" t="s">
        <v>43</v>
      </c>
      <c r="I138" t="s">
        <v>83</v>
      </c>
      <c r="J138">
        <v>12</v>
      </c>
      <c r="K138" t="s">
        <v>483</v>
      </c>
      <c r="L138">
        <v>15</v>
      </c>
      <c r="M138">
        <v>3</v>
      </c>
      <c r="N138">
        <v>805</v>
      </c>
      <c r="O138" t="s">
        <v>488</v>
      </c>
      <c r="P138">
        <v>4190</v>
      </c>
      <c r="Q138">
        <v>31</v>
      </c>
      <c r="R138" t="s">
        <v>92</v>
      </c>
      <c r="S138">
        <v>0</v>
      </c>
      <c r="T138">
        <v>1</v>
      </c>
      <c r="U138">
        <v>0</v>
      </c>
      <c r="V138">
        <v>0</v>
      </c>
      <c r="W138">
        <v>6</v>
      </c>
      <c r="X138">
        <v>9</v>
      </c>
      <c r="Y138">
        <v>15</v>
      </c>
      <c r="Z138">
        <v>8</v>
      </c>
      <c r="AA138">
        <v>8</v>
      </c>
      <c r="AB138">
        <v>15</v>
      </c>
      <c r="AC138">
        <v>3</v>
      </c>
      <c r="AD138">
        <v>4</v>
      </c>
      <c r="AE138">
        <v>3</v>
      </c>
      <c r="AF138">
        <v>4</v>
      </c>
      <c r="AG138">
        <v>19</v>
      </c>
      <c r="AH138">
        <v>14</v>
      </c>
      <c r="AI138">
        <v>9</v>
      </c>
      <c r="AJ138">
        <v>3</v>
      </c>
      <c r="AK138">
        <v>-1</v>
      </c>
      <c r="AL138">
        <v>0</v>
      </c>
      <c r="AM138">
        <v>0</v>
      </c>
      <c r="AN138">
        <v>0</v>
      </c>
      <c r="AO138">
        <v>1</v>
      </c>
      <c r="AP138">
        <v>0.86</v>
      </c>
      <c r="AQ138">
        <v>0</v>
      </c>
    </row>
    <row r="139" spans="1:43" x14ac:dyDescent="0.25">
      <c r="A139">
        <v>2024</v>
      </c>
      <c r="B139">
        <v>45530</v>
      </c>
      <c r="C139">
        <v>24</v>
      </c>
      <c r="D139">
        <v>26634</v>
      </c>
      <c r="E139">
        <v>50848</v>
      </c>
      <c r="F139" t="s">
        <v>477</v>
      </c>
      <c r="G139">
        <v>0.52379641283826306</v>
      </c>
      <c r="H139" t="s">
        <v>37</v>
      </c>
      <c r="I139" t="s">
        <v>50</v>
      </c>
      <c r="J139">
        <v>9</v>
      </c>
      <c r="K139" t="s">
        <v>482</v>
      </c>
      <c r="L139">
        <v>7</v>
      </c>
      <c r="M139">
        <v>-2</v>
      </c>
      <c r="N139">
        <v>3315</v>
      </c>
      <c r="O139" t="s">
        <v>487</v>
      </c>
      <c r="P139">
        <v>3660</v>
      </c>
      <c r="Q139" t="s">
        <v>135</v>
      </c>
      <c r="R139" t="s">
        <v>105</v>
      </c>
      <c r="S139">
        <v>1</v>
      </c>
      <c r="T139">
        <v>0</v>
      </c>
      <c r="U139">
        <v>0</v>
      </c>
      <c r="V139">
        <v>0</v>
      </c>
      <c r="W139">
        <v>12</v>
      </c>
      <c r="X139">
        <v>3</v>
      </c>
      <c r="Y139">
        <v>12</v>
      </c>
      <c r="Z139">
        <v>9</v>
      </c>
      <c r="AA139">
        <v>9</v>
      </c>
      <c r="AB139">
        <v>12</v>
      </c>
      <c r="AC139">
        <v>3</v>
      </c>
      <c r="AD139">
        <v>8</v>
      </c>
      <c r="AE139">
        <v>0</v>
      </c>
      <c r="AF139">
        <v>0</v>
      </c>
      <c r="AG139">
        <v>19</v>
      </c>
      <c r="AH139">
        <v>5</v>
      </c>
      <c r="AI139">
        <v>8</v>
      </c>
      <c r="AJ139">
        <v>2</v>
      </c>
      <c r="AK139">
        <v>1</v>
      </c>
      <c r="AL139">
        <v>1</v>
      </c>
      <c r="AM139">
        <v>0</v>
      </c>
      <c r="AN139">
        <v>1</v>
      </c>
      <c r="AO139">
        <v>0</v>
      </c>
      <c r="AP139">
        <v>2.66</v>
      </c>
      <c r="AQ139">
        <v>0</v>
      </c>
    </row>
    <row r="140" spans="1:43" x14ac:dyDescent="0.25">
      <c r="A140">
        <v>2024</v>
      </c>
      <c r="B140">
        <v>45530</v>
      </c>
      <c r="C140">
        <v>24</v>
      </c>
      <c r="D140">
        <v>28159</v>
      </c>
      <c r="E140">
        <v>78838</v>
      </c>
      <c r="F140" t="s">
        <v>476</v>
      </c>
      <c r="G140">
        <v>0.35717547375631042</v>
      </c>
      <c r="H140" t="s">
        <v>77</v>
      </c>
      <c r="I140" t="s">
        <v>56</v>
      </c>
      <c r="J140">
        <v>3</v>
      </c>
      <c r="K140" t="s">
        <v>481</v>
      </c>
      <c r="L140">
        <v>14</v>
      </c>
      <c r="M140">
        <v>11</v>
      </c>
      <c r="N140">
        <v>6520</v>
      </c>
      <c r="O140" t="s">
        <v>490</v>
      </c>
      <c r="P140">
        <v>3150</v>
      </c>
      <c r="Q140" t="s">
        <v>105</v>
      </c>
      <c r="R140" t="s">
        <v>60</v>
      </c>
      <c r="S140">
        <v>2</v>
      </c>
      <c r="T140">
        <v>1</v>
      </c>
      <c r="U140">
        <v>1</v>
      </c>
      <c r="V140">
        <v>0</v>
      </c>
      <c r="W140">
        <v>6</v>
      </c>
      <c r="X140">
        <v>10</v>
      </c>
      <c r="Y140">
        <v>13</v>
      </c>
      <c r="Z140">
        <v>12</v>
      </c>
      <c r="AA140">
        <v>12</v>
      </c>
      <c r="AB140">
        <v>13</v>
      </c>
      <c r="AC140">
        <v>1</v>
      </c>
      <c r="AD140">
        <v>6</v>
      </c>
      <c r="AE140">
        <v>1</v>
      </c>
      <c r="AF140">
        <v>1</v>
      </c>
      <c r="AG140">
        <v>13</v>
      </c>
      <c r="AH140">
        <v>12</v>
      </c>
      <c r="AI140">
        <v>2</v>
      </c>
      <c r="AJ140">
        <v>9</v>
      </c>
      <c r="AK140">
        <v>1</v>
      </c>
      <c r="AL140">
        <v>1</v>
      </c>
      <c r="AM140">
        <v>0</v>
      </c>
      <c r="AN140">
        <v>1</v>
      </c>
      <c r="AO140">
        <v>0</v>
      </c>
      <c r="AP140">
        <v>1.26</v>
      </c>
      <c r="AQ140">
        <v>0</v>
      </c>
    </row>
    <row r="141" spans="1:43" x14ac:dyDescent="0.25">
      <c r="A141">
        <v>2024</v>
      </c>
      <c r="B141">
        <v>45531</v>
      </c>
      <c r="C141">
        <v>24</v>
      </c>
      <c r="D141">
        <v>16775</v>
      </c>
      <c r="E141">
        <v>24584</v>
      </c>
      <c r="F141" t="s">
        <v>476</v>
      </c>
      <c r="G141">
        <v>0.68235437683045885</v>
      </c>
      <c r="H141" t="s">
        <v>82</v>
      </c>
      <c r="I141" t="s">
        <v>69</v>
      </c>
      <c r="J141">
        <v>8</v>
      </c>
      <c r="K141" t="s">
        <v>482</v>
      </c>
      <c r="L141">
        <v>11</v>
      </c>
      <c r="M141">
        <v>3</v>
      </c>
      <c r="N141">
        <v>2980</v>
      </c>
      <c r="O141" t="s">
        <v>487</v>
      </c>
      <c r="P141">
        <v>2820</v>
      </c>
      <c r="Q141" t="s">
        <v>129</v>
      </c>
      <c r="R141" t="s">
        <v>116</v>
      </c>
      <c r="S141">
        <v>2</v>
      </c>
      <c r="T141">
        <v>1</v>
      </c>
      <c r="U141">
        <v>0</v>
      </c>
      <c r="V141">
        <v>1</v>
      </c>
      <c r="W141">
        <v>4</v>
      </c>
      <c r="X141">
        <v>5</v>
      </c>
      <c r="Y141">
        <v>10</v>
      </c>
      <c r="Z141">
        <v>11</v>
      </c>
      <c r="AA141">
        <v>11</v>
      </c>
      <c r="AB141">
        <v>9</v>
      </c>
      <c r="AC141">
        <v>3</v>
      </c>
      <c r="AD141">
        <v>2</v>
      </c>
      <c r="AE141">
        <v>4</v>
      </c>
      <c r="AF141">
        <v>1</v>
      </c>
      <c r="AG141">
        <v>7</v>
      </c>
      <c r="AH141">
        <v>9</v>
      </c>
      <c r="AI141">
        <v>1</v>
      </c>
      <c r="AJ141">
        <v>4</v>
      </c>
      <c r="AK141">
        <v>1</v>
      </c>
      <c r="AL141">
        <v>1</v>
      </c>
      <c r="AM141">
        <v>0</v>
      </c>
      <c r="AN141">
        <v>1</v>
      </c>
      <c r="AO141">
        <v>0</v>
      </c>
      <c r="AP141">
        <v>0.65</v>
      </c>
      <c r="AQ141">
        <v>0</v>
      </c>
    </row>
    <row r="142" spans="1:43" x14ac:dyDescent="0.25">
      <c r="A142">
        <v>2024</v>
      </c>
      <c r="B142">
        <v>45535</v>
      </c>
      <c r="C142">
        <v>25</v>
      </c>
      <c r="D142">
        <v>4095</v>
      </c>
      <c r="E142">
        <v>42968</v>
      </c>
      <c r="F142" t="s">
        <v>477</v>
      </c>
      <c r="G142">
        <v>9.5303481660770809E-2</v>
      </c>
      <c r="H142" t="s">
        <v>70</v>
      </c>
      <c r="I142" t="s">
        <v>43</v>
      </c>
      <c r="J142">
        <v>19</v>
      </c>
      <c r="K142" t="s">
        <v>484</v>
      </c>
      <c r="L142">
        <v>13</v>
      </c>
      <c r="M142">
        <v>-6</v>
      </c>
      <c r="N142">
        <v>1355</v>
      </c>
      <c r="O142" t="s">
        <v>488</v>
      </c>
      <c r="P142">
        <v>763</v>
      </c>
      <c r="Q142" t="s">
        <v>120</v>
      </c>
      <c r="R142" t="s">
        <v>200</v>
      </c>
      <c r="S142">
        <v>2</v>
      </c>
      <c r="T142">
        <v>1</v>
      </c>
      <c r="U142">
        <v>0</v>
      </c>
      <c r="V142">
        <v>1</v>
      </c>
      <c r="W142">
        <v>5</v>
      </c>
      <c r="X142">
        <v>5</v>
      </c>
      <c r="Y142">
        <v>16</v>
      </c>
      <c r="Z142">
        <v>9</v>
      </c>
      <c r="AA142">
        <v>8</v>
      </c>
      <c r="AB142">
        <v>16</v>
      </c>
      <c r="AC142">
        <v>3</v>
      </c>
      <c r="AD142">
        <v>1</v>
      </c>
      <c r="AE142">
        <v>0</v>
      </c>
      <c r="AF142">
        <v>3</v>
      </c>
      <c r="AG142">
        <v>22</v>
      </c>
      <c r="AH142">
        <v>12</v>
      </c>
      <c r="AI142">
        <v>12</v>
      </c>
      <c r="AJ142">
        <v>6</v>
      </c>
      <c r="AK142">
        <v>1</v>
      </c>
      <c r="AL142">
        <v>1</v>
      </c>
      <c r="AM142">
        <v>0</v>
      </c>
      <c r="AN142">
        <v>1</v>
      </c>
      <c r="AO142">
        <v>0</v>
      </c>
      <c r="AP142">
        <v>1.22</v>
      </c>
      <c r="AQ142">
        <v>0</v>
      </c>
    </row>
    <row r="143" spans="1:43" x14ac:dyDescent="0.25">
      <c r="A143">
        <v>2024</v>
      </c>
      <c r="B143">
        <v>45536</v>
      </c>
      <c r="C143">
        <v>25</v>
      </c>
      <c r="D143">
        <v>32564</v>
      </c>
      <c r="E143">
        <v>46931</v>
      </c>
      <c r="F143" t="s">
        <v>472</v>
      </c>
      <c r="G143">
        <v>0.69386972363682853</v>
      </c>
      <c r="H143" t="s">
        <v>51</v>
      </c>
      <c r="I143" t="s">
        <v>63</v>
      </c>
      <c r="J143">
        <v>1</v>
      </c>
      <c r="K143" t="s">
        <v>481</v>
      </c>
      <c r="L143">
        <v>2</v>
      </c>
      <c r="M143">
        <v>1</v>
      </c>
      <c r="N143">
        <v>6080</v>
      </c>
      <c r="O143" t="s">
        <v>490</v>
      </c>
      <c r="P143">
        <v>1480</v>
      </c>
      <c r="Q143" t="s">
        <v>104</v>
      </c>
      <c r="R143" t="s">
        <v>142</v>
      </c>
      <c r="S143">
        <v>2</v>
      </c>
      <c r="T143">
        <v>0</v>
      </c>
      <c r="U143">
        <v>0</v>
      </c>
      <c r="V143">
        <v>0</v>
      </c>
      <c r="W143">
        <v>9</v>
      </c>
      <c r="X143">
        <v>6</v>
      </c>
      <c r="Y143">
        <v>13</v>
      </c>
      <c r="Z143">
        <v>8</v>
      </c>
      <c r="AA143">
        <v>8</v>
      </c>
      <c r="AB143">
        <v>12</v>
      </c>
      <c r="AC143">
        <v>1</v>
      </c>
      <c r="AD143">
        <v>5</v>
      </c>
      <c r="AE143">
        <v>2</v>
      </c>
      <c r="AF143">
        <v>0</v>
      </c>
      <c r="AG143">
        <v>22</v>
      </c>
      <c r="AH143">
        <v>10</v>
      </c>
      <c r="AI143">
        <v>8</v>
      </c>
      <c r="AJ143">
        <v>5</v>
      </c>
      <c r="AK143">
        <v>2</v>
      </c>
      <c r="AL143">
        <v>1</v>
      </c>
      <c r="AM143">
        <v>0</v>
      </c>
      <c r="AN143">
        <v>1</v>
      </c>
      <c r="AO143">
        <v>0</v>
      </c>
      <c r="AP143">
        <v>1.9</v>
      </c>
      <c r="AQ143">
        <v>0</v>
      </c>
    </row>
    <row r="144" spans="1:43" x14ac:dyDescent="0.25">
      <c r="A144">
        <v>2024</v>
      </c>
      <c r="B144">
        <v>45536</v>
      </c>
      <c r="C144">
        <v>25</v>
      </c>
      <c r="D144">
        <v>45759</v>
      </c>
      <c r="E144">
        <v>82238</v>
      </c>
      <c r="F144" t="s">
        <v>473</v>
      </c>
      <c r="G144">
        <v>0.55642160558379339</v>
      </c>
      <c r="H144" t="s">
        <v>55</v>
      </c>
      <c r="I144" t="s">
        <v>62</v>
      </c>
      <c r="J144">
        <v>14</v>
      </c>
      <c r="K144" t="s">
        <v>483</v>
      </c>
      <c r="L144">
        <v>6</v>
      </c>
      <c r="M144">
        <v>-8</v>
      </c>
      <c r="N144">
        <v>2585</v>
      </c>
      <c r="O144" t="s">
        <v>487</v>
      </c>
      <c r="P144">
        <v>1975</v>
      </c>
      <c r="Q144" t="s">
        <v>138</v>
      </c>
      <c r="R144" t="s">
        <v>144</v>
      </c>
      <c r="S144">
        <v>2</v>
      </c>
      <c r="T144">
        <v>0</v>
      </c>
      <c r="U144">
        <v>1</v>
      </c>
      <c r="V144">
        <v>0</v>
      </c>
      <c r="W144">
        <v>5</v>
      </c>
      <c r="X144">
        <v>4</v>
      </c>
      <c r="Y144">
        <v>13</v>
      </c>
      <c r="Z144">
        <v>16</v>
      </c>
      <c r="AA144">
        <v>16</v>
      </c>
      <c r="AB144">
        <v>12</v>
      </c>
      <c r="AC144">
        <v>2</v>
      </c>
      <c r="AD144">
        <v>3</v>
      </c>
      <c r="AE144">
        <v>0</v>
      </c>
      <c r="AF144">
        <v>0</v>
      </c>
      <c r="AG144">
        <v>10</v>
      </c>
      <c r="AH144">
        <v>15</v>
      </c>
      <c r="AI144">
        <v>3</v>
      </c>
      <c r="AJ144">
        <v>6</v>
      </c>
      <c r="AK144">
        <v>2</v>
      </c>
      <c r="AL144">
        <v>1</v>
      </c>
      <c r="AM144">
        <v>0</v>
      </c>
      <c r="AN144">
        <v>1</v>
      </c>
      <c r="AO144">
        <v>0</v>
      </c>
      <c r="AP144">
        <v>0.54</v>
      </c>
      <c r="AQ144">
        <v>0</v>
      </c>
    </row>
    <row r="145" spans="1:43" x14ac:dyDescent="0.25">
      <c r="A145">
        <v>2024</v>
      </c>
      <c r="B145">
        <v>45536</v>
      </c>
      <c r="C145">
        <v>25</v>
      </c>
      <c r="D145">
        <v>45635</v>
      </c>
      <c r="E145">
        <v>49205</v>
      </c>
      <c r="F145" t="s">
        <v>473</v>
      </c>
      <c r="G145">
        <v>0.92744639772380855</v>
      </c>
      <c r="H145" t="s">
        <v>88</v>
      </c>
      <c r="I145" t="s">
        <v>77</v>
      </c>
      <c r="J145">
        <v>17</v>
      </c>
      <c r="K145" t="s">
        <v>484</v>
      </c>
      <c r="L145">
        <v>4</v>
      </c>
      <c r="M145">
        <v>-13</v>
      </c>
      <c r="N145">
        <v>3250</v>
      </c>
      <c r="O145" t="s">
        <v>487</v>
      </c>
      <c r="P145">
        <v>7890</v>
      </c>
      <c r="Q145">
        <v>28</v>
      </c>
      <c r="R145">
        <v>30</v>
      </c>
      <c r="S145">
        <v>2</v>
      </c>
      <c r="T145">
        <v>1</v>
      </c>
      <c r="U145">
        <v>1</v>
      </c>
      <c r="V145">
        <v>1</v>
      </c>
      <c r="W145">
        <v>5</v>
      </c>
      <c r="X145">
        <v>2</v>
      </c>
      <c r="Y145">
        <v>18</v>
      </c>
      <c r="Z145">
        <v>18</v>
      </c>
      <c r="AA145">
        <v>16</v>
      </c>
      <c r="AB145">
        <v>17</v>
      </c>
      <c r="AC145">
        <v>2</v>
      </c>
      <c r="AD145">
        <v>2</v>
      </c>
      <c r="AE145">
        <v>3</v>
      </c>
      <c r="AF145">
        <v>0</v>
      </c>
      <c r="AG145">
        <v>13</v>
      </c>
      <c r="AH145">
        <v>10</v>
      </c>
      <c r="AI145">
        <v>6</v>
      </c>
      <c r="AJ145">
        <v>5</v>
      </c>
      <c r="AK145">
        <v>1</v>
      </c>
      <c r="AL145">
        <v>1</v>
      </c>
      <c r="AM145">
        <v>0</v>
      </c>
      <c r="AN145">
        <v>1</v>
      </c>
      <c r="AO145">
        <v>0</v>
      </c>
      <c r="AP145">
        <v>1.59</v>
      </c>
      <c r="AQ145">
        <v>1</v>
      </c>
    </row>
    <row r="146" spans="1:43" x14ac:dyDescent="0.25">
      <c r="A146">
        <v>2024</v>
      </c>
      <c r="B146">
        <v>45536</v>
      </c>
      <c r="C146">
        <v>25</v>
      </c>
      <c r="D146">
        <v>10721</v>
      </c>
      <c r="E146">
        <v>23726</v>
      </c>
      <c r="F146" t="s">
        <v>473</v>
      </c>
      <c r="G146">
        <v>0.45186714996206695</v>
      </c>
      <c r="H146" t="s">
        <v>44</v>
      </c>
      <c r="I146" t="s">
        <v>37</v>
      </c>
      <c r="J146">
        <v>15</v>
      </c>
      <c r="K146" t="s">
        <v>483</v>
      </c>
      <c r="L146">
        <v>9</v>
      </c>
      <c r="M146">
        <v>-6</v>
      </c>
      <c r="N146">
        <v>990</v>
      </c>
      <c r="O146" t="s">
        <v>488</v>
      </c>
      <c r="P146">
        <v>4070</v>
      </c>
      <c r="Q146" t="s">
        <v>235</v>
      </c>
      <c r="R146" t="s">
        <v>228</v>
      </c>
      <c r="S146">
        <v>1</v>
      </c>
      <c r="T146">
        <v>3</v>
      </c>
      <c r="U146">
        <v>0</v>
      </c>
      <c r="V146">
        <v>2</v>
      </c>
      <c r="W146">
        <v>6</v>
      </c>
      <c r="X146">
        <v>4</v>
      </c>
      <c r="Y146">
        <v>13</v>
      </c>
      <c r="Z146">
        <v>17</v>
      </c>
      <c r="AA146">
        <v>14</v>
      </c>
      <c r="AB146">
        <v>13</v>
      </c>
      <c r="AC146">
        <v>4</v>
      </c>
      <c r="AD146">
        <v>4</v>
      </c>
      <c r="AE146">
        <v>0</v>
      </c>
      <c r="AF146">
        <v>1</v>
      </c>
      <c r="AG146">
        <v>14</v>
      </c>
      <c r="AH146">
        <v>18</v>
      </c>
      <c r="AI146">
        <v>6</v>
      </c>
      <c r="AJ146">
        <v>8</v>
      </c>
      <c r="AK146">
        <v>-2</v>
      </c>
      <c r="AL146">
        <v>0</v>
      </c>
      <c r="AM146">
        <v>0</v>
      </c>
      <c r="AN146">
        <v>0</v>
      </c>
      <c r="AO146">
        <v>1</v>
      </c>
      <c r="AP146">
        <v>0.62</v>
      </c>
      <c r="AQ146">
        <v>1</v>
      </c>
    </row>
    <row r="147" spans="1:43" x14ac:dyDescent="0.25">
      <c r="A147">
        <v>2024</v>
      </c>
      <c r="B147">
        <v>45536</v>
      </c>
      <c r="C147">
        <v>25</v>
      </c>
      <c r="D147">
        <v>3921</v>
      </c>
      <c r="E147">
        <v>15010</v>
      </c>
      <c r="F147" t="s">
        <v>475</v>
      </c>
      <c r="G147">
        <v>0.26122584943371085</v>
      </c>
      <c r="H147" t="s">
        <v>56</v>
      </c>
      <c r="I147" t="s">
        <v>38</v>
      </c>
      <c r="J147">
        <v>12</v>
      </c>
      <c r="K147" t="s">
        <v>483</v>
      </c>
      <c r="L147">
        <v>7</v>
      </c>
      <c r="M147">
        <v>-5</v>
      </c>
      <c r="N147">
        <v>4130</v>
      </c>
      <c r="O147" t="s">
        <v>490</v>
      </c>
      <c r="P147">
        <v>3745</v>
      </c>
      <c r="Q147">
        <v>26</v>
      </c>
      <c r="R147" t="s">
        <v>100</v>
      </c>
      <c r="S147">
        <v>2</v>
      </c>
      <c r="T147">
        <v>1</v>
      </c>
      <c r="U147">
        <v>0</v>
      </c>
      <c r="V147">
        <v>0</v>
      </c>
      <c r="W147">
        <v>5</v>
      </c>
      <c r="X147">
        <v>10</v>
      </c>
      <c r="Y147">
        <v>8</v>
      </c>
      <c r="Z147">
        <v>13</v>
      </c>
      <c r="AA147">
        <v>13</v>
      </c>
      <c r="AB147">
        <v>7</v>
      </c>
      <c r="AC147">
        <v>5</v>
      </c>
      <c r="AD147">
        <v>4</v>
      </c>
      <c r="AE147">
        <v>3</v>
      </c>
      <c r="AF147">
        <v>1</v>
      </c>
      <c r="AG147">
        <v>15</v>
      </c>
      <c r="AH147">
        <v>16</v>
      </c>
      <c r="AI147">
        <v>7</v>
      </c>
      <c r="AJ147">
        <v>7</v>
      </c>
      <c r="AK147">
        <v>1</v>
      </c>
      <c r="AL147">
        <v>1</v>
      </c>
      <c r="AM147">
        <v>0</v>
      </c>
      <c r="AN147">
        <v>1</v>
      </c>
      <c r="AO147">
        <v>0</v>
      </c>
      <c r="AP147">
        <v>0.62</v>
      </c>
      <c r="AQ147">
        <v>0</v>
      </c>
    </row>
    <row r="148" spans="1:43" x14ac:dyDescent="0.25">
      <c r="A148">
        <v>2024</v>
      </c>
      <c r="B148">
        <v>45536</v>
      </c>
      <c r="C148">
        <v>25</v>
      </c>
      <c r="D148">
        <v>20923</v>
      </c>
      <c r="E148">
        <v>30618</v>
      </c>
      <c r="F148" t="s">
        <v>472</v>
      </c>
      <c r="G148">
        <v>0.68335619570187467</v>
      </c>
      <c r="H148" t="s">
        <v>94</v>
      </c>
      <c r="I148" t="s">
        <v>82</v>
      </c>
      <c r="J148">
        <v>18</v>
      </c>
      <c r="K148" t="s">
        <v>484</v>
      </c>
      <c r="L148">
        <v>8</v>
      </c>
      <c r="M148">
        <v>-10</v>
      </c>
      <c r="N148">
        <v>1218</v>
      </c>
      <c r="O148" t="s">
        <v>488</v>
      </c>
      <c r="P148">
        <v>3550</v>
      </c>
      <c r="Q148" t="s">
        <v>100</v>
      </c>
      <c r="R148" t="s">
        <v>209</v>
      </c>
      <c r="S148">
        <v>0</v>
      </c>
      <c r="T148">
        <v>1</v>
      </c>
      <c r="U148">
        <v>0</v>
      </c>
      <c r="V148">
        <v>0</v>
      </c>
      <c r="W148">
        <v>10</v>
      </c>
      <c r="X148">
        <v>3</v>
      </c>
      <c r="Y148">
        <v>7</v>
      </c>
      <c r="Z148">
        <v>7</v>
      </c>
      <c r="AA148">
        <v>7</v>
      </c>
      <c r="AB148">
        <v>7</v>
      </c>
      <c r="AC148">
        <v>5</v>
      </c>
      <c r="AD148">
        <v>5</v>
      </c>
      <c r="AE148">
        <v>1</v>
      </c>
      <c r="AF148">
        <v>2</v>
      </c>
      <c r="AG148">
        <v>21</v>
      </c>
      <c r="AH148">
        <v>9</v>
      </c>
      <c r="AI148">
        <v>9</v>
      </c>
      <c r="AJ148">
        <v>2</v>
      </c>
      <c r="AK148">
        <v>-1</v>
      </c>
      <c r="AL148">
        <v>0</v>
      </c>
      <c r="AM148">
        <v>0</v>
      </c>
      <c r="AN148">
        <v>0</v>
      </c>
      <c r="AO148">
        <v>1</v>
      </c>
      <c r="AP148">
        <v>1.36</v>
      </c>
      <c r="AQ148">
        <v>0</v>
      </c>
    </row>
    <row r="149" spans="1:43" x14ac:dyDescent="0.25">
      <c r="A149">
        <v>2024</v>
      </c>
      <c r="B149">
        <v>45536</v>
      </c>
      <c r="C149">
        <v>25</v>
      </c>
      <c r="D149">
        <v>28334</v>
      </c>
      <c r="E149">
        <v>42372</v>
      </c>
      <c r="F149" t="s">
        <v>476</v>
      </c>
      <c r="G149">
        <v>0.66869630888322473</v>
      </c>
      <c r="H149" t="s">
        <v>69</v>
      </c>
      <c r="I149" t="s">
        <v>95</v>
      </c>
      <c r="J149">
        <v>11</v>
      </c>
      <c r="K149" t="s">
        <v>483</v>
      </c>
      <c r="L149">
        <v>3</v>
      </c>
      <c r="M149">
        <v>-8</v>
      </c>
      <c r="N149">
        <v>3830</v>
      </c>
      <c r="O149" t="s">
        <v>490</v>
      </c>
      <c r="P149">
        <v>10160</v>
      </c>
      <c r="Q149" t="s">
        <v>270</v>
      </c>
      <c r="R149" t="s">
        <v>120</v>
      </c>
      <c r="S149">
        <v>0</v>
      </c>
      <c r="T149">
        <v>2</v>
      </c>
      <c r="U149">
        <v>0</v>
      </c>
      <c r="V149">
        <v>1</v>
      </c>
      <c r="W149">
        <v>4</v>
      </c>
      <c r="X149">
        <v>4</v>
      </c>
      <c r="Y149">
        <v>10</v>
      </c>
      <c r="Z149">
        <v>9</v>
      </c>
      <c r="AA149">
        <v>7</v>
      </c>
      <c r="AB149">
        <v>10</v>
      </c>
      <c r="AC149">
        <v>8</v>
      </c>
      <c r="AD149">
        <v>9</v>
      </c>
      <c r="AE149">
        <v>0</v>
      </c>
      <c r="AF149">
        <v>2</v>
      </c>
      <c r="AG149">
        <v>15</v>
      </c>
      <c r="AH149">
        <v>19</v>
      </c>
      <c r="AI149">
        <v>4</v>
      </c>
      <c r="AJ149">
        <v>3</v>
      </c>
      <c r="AK149">
        <v>-2</v>
      </c>
      <c r="AL149">
        <v>0</v>
      </c>
      <c r="AM149">
        <v>0</v>
      </c>
      <c r="AN149">
        <v>0</v>
      </c>
      <c r="AO149">
        <v>1</v>
      </c>
      <c r="AP149">
        <v>0.9</v>
      </c>
      <c r="AQ149">
        <v>0</v>
      </c>
    </row>
    <row r="150" spans="1:43" x14ac:dyDescent="0.25">
      <c r="A150">
        <v>2024</v>
      </c>
      <c r="B150">
        <v>45536</v>
      </c>
      <c r="C150">
        <v>25</v>
      </c>
      <c r="D150">
        <v>27442</v>
      </c>
      <c r="E150">
        <v>60540</v>
      </c>
      <c r="F150" t="s">
        <v>476</v>
      </c>
      <c r="G150">
        <v>0.45328708292038322</v>
      </c>
      <c r="H150" t="s">
        <v>83</v>
      </c>
      <c r="I150" t="s">
        <v>89</v>
      </c>
      <c r="J150">
        <v>16</v>
      </c>
      <c r="K150" t="s">
        <v>484</v>
      </c>
      <c r="L150">
        <v>10</v>
      </c>
      <c r="M150">
        <v>-6</v>
      </c>
      <c r="N150">
        <v>4100</v>
      </c>
      <c r="O150" t="s">
        <v>490</v>
      </c>
      <c r="P150">
        <v>4930</v>
      </c>
      <c r="Q150" t="s">
        <v>105</v>
      </c>
      <c r="R150" t="s">
        <v>48</v>
      </c>
      <c r="S150">
        <v>2</v>
      </c>
      <c r="T150">
        <v>3</v>
      </c>
      <c r="U150">
        <v>2</v>
      </c>
      <c r="V150">
        <v>0</v>
      </c>
      <c r="W150">
        <v>5</v>
      </c>
      <c r="X150">
        <v>9</v>
      </c>
      <c r="Y150">
        <v>11</v>
      </c>
      <c r="Z150">
        <v>17</v>
      </c>
      <c r="AA150">
        <v>15</v>
      </c>
      <c r="AB150">
        <v>9</v>
      </c>
      <c r="AC150">
        <v>10</v>
      </c>
      <c r="AD150">
        <v>2</v>
      </c>
      <c r="AE150">
        <v>0</v>
      </c>
      <c r="AF150">
        <v>3</v>
      </c>
      <c r="AG150">
        <v>11</v>
      </c>
      <c r="AH150">
        <v>27</v>
      </c>
      <c r="AI150">
        <v>5</v>
      </c>
      <c r="AJ150">
        <v>8</v>
      </c>
      <c r="AK150">
        <v>-1</v>
      </c>
      <c r="AL150">
        <v>0</v>
      </c>
      <c r="AM150">
        <v>0</v>
      </c>
      <c r="AN150">
        <v>0</v>
      </c>
      <c r="AO150">
        <v>1</v>
      </c>
      <c r="AP150">
        <v>2.0099999999999998</v>
      </c>
      <c r="AQ150">
        <v>1</v>
      </c>
    </row>
    <row r="151" spans="1:43" x14ac:dyDescent="0.25">
      <c r="A151">
        <v>2024</v>
      </c>
      <c r="B151">
        <v>45536</v>
      </c>
      <c r="C151">
        <v>25</v>
      </c>
      <c r="D151">
        <v>50000</v>
      </c>
      <c r="E151">
        <v>61927</v>
      </c>
      <c r="F151" t="s">
        <v>476</v>
      </c>
      <c r="G151">
        <v>0.80740226395594816</v>
      </c>
      <c r="H151" t="s">
        <v>50</v>
      </c>
      <c r="I151" t="s">
        <v>76</v>
      </c>
      <c r="J151">
        <v>5</v>
      </c>
      <c r="K151" t="s">
        <v>481</v>
      </c>
      <c r="L151">
        <v>20</v>
      </c>
      <c r="M151">
        <v>15</v>
      </c>
      <c r="N151">
        <v>4710</v>
      </c>
      <c r="O151" t="s">
        <v>490</v>
      </c>
      <c r="P151">
        <v>935</v>
      </c>
      <c r="Q151" t="s">
        <v>135</v>
      </c>
      <c r="R151" t="s">
        <v>86</v>
      </c>
      <c r="S151">
        <v>3</v>
      </c>
      <c r="T151">
        <v>1</v>
      </c>
      <c r="U151">
        <v>2</v>
      </c>
      <c r="V151">
        <v>1</v>
      </c>
      <c r="W151">
        <v>8</v>
      </c>
      <c r="X151">
        <v>3</v>
      </c>
      <c r="Y151">
        <v>13</v>
      </c>
      <c r="Z151">
        <v>7</v>
      </c>
      <c r="AA151">
        <v>6</v>
      </c>
      <c r="AB151">
        <v>13</v>
      </c>
      <c r="AC151">
        <v>3</v>
      </c>
      <c r="AD151">
        <v>3</v>
      </c>
      <c r="AE151">
        <v>0</v>
      </c>
      <c r="AF151">
        <v>3</v>
      </c>
      <c r="AG151">
        <v>11</v>
      </c>
      <c r="AH151">
        <v>17</v>
      </c>
      <c r="AI151">
        <v>3</v>
      </c>
      <c r="AJ151">
        <v>11</v>
      </c>
      <c r="AK151">
        <v>2</v>
      </c>
      <c r="AL151">
        <v>1</v>
      </c>
      <c r="AM151">
        <v>0</v>
      </c>
      <c r="AN151">
        <v>1</v>
      </c>
      <c r="AO151">
        <v>0</v>
      </c>
      <c r="AP151">
        <v>1.75</v>
      </c>
      <c r="AQ151">
        <v>0</v>
      </c>
    </row>
    <row r="152" spans="1:43" x14ac:dyDescent="0.25">
      <c r="A152">
        <v>2024</v>
      </c>
      <c r="B152">
        <v>45549</v>
      </c>
      <c r="C152">
        <v>26</v>
      </c>
      <c r="D152">
        <v>31551</v>
      </c>
      <c r="E152">
        <v>42372</v>
      </c>
      <c r="F152" t="s">
        <v>473</v>
      </c>
      <c r="G152">
        <v>0.74461908807703203</v>
      </c>
      <c r="H152" t="s">
        <v>69</v>
      </c>
      <c r="I152" t="s">
        <v>63</v>
      </c>
      <c r="J152">
        <v>11</v>
      </c>
      <c r="K152" t="s">
        <v>483</v>
      </c>
      <c r="L152">
        <v>3</v>
      </c>
      <c r="M152">
        <v>-8</v>
      </c>
      <c r="N152">
        <v>3130</v>
      </c>
      <c r="O152" t="s">
        <v>487</v>
      </c>
      <c r="P152">
        <v>1725</v>
      </c>
      <c r="Q152" t="s">
        <v>202</v>
      </c>
      <c r="R152" t="s">
        <v>137</v>
      </c>
      <c r="S152">
        <v>1</v>
      </c>
      <c r="T152">
        <v>1</v>
      </c>
      <c r="U152">
        <v>1</v>
      </c>
      <c r="V152">
        <v>1</v>
      </c>
      <c r="W152">
        <v>13</v>
      </c>
      <c r="X152">
        <v>4</v>
      </c>
      <c r="Y152">
        <v>12</v>
      </c>
      <c r="Z152">
        <v>10</v>
      </c>
      <c r="AA152">
        <v>7</v>
      </c>
      <c r="AB152">
        <v>11</v>
      </c>
      <c r="AC152">
        <v>2</v>
      </c>
      <c r="AD152">
        <v>7</v>
      </c>
      <c r="AE152">
        <v>3</v>
      </c>
      <c r="AF152">
        <v>0</v>
      </c>
      <c r="AG152">
        <v>30</v>
      </c>
      <c r="AH152">
        <v>10</v>
      </c>
      <c r="AI152">
        <v>11</v>
      </c>
      <c r="AJ152">
        <v>5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2.96</v>
      </c>
      <c r="AQ152">
        <v>0</v>
      </c>
    </row>
    <row r="153" spans="1:43" x14ac:dyDescent="0.25">
      <c r="A153">
        <v>2024</v>
      </c>
      <c r="B153">
        <v>45549</v>
      </c>
      <c r="C153">
        <v>26</v>
      </c>
      <c r="D153">
        <v>4938</v>
      </c>
      <c r="E153">
        <v>13000</v>
      </c>
      <c r="F153" t="s">
        <v>473</v>
      </c>
      <c r="G153">
        <v>0.37984615384615383</v>
      </c>
      <c r="H153" t="s">
        <v>76</v>
      </c>
      <c r="I153" t="s">
        <v>94</v>
      </c>
      <c r="J153">
        <v>20</v>
      </c>
      <c r="K153" t="s">
        <v>484</v>
      </c>
      <c r="L153">
        <v>17</v>
      </c>
      <c r="M153">
        <v>-3</v>
      </c>
      <c r="N153">
        <v>935</v>
      </c>
      <c r="O153" t="s">
        <v>488</v>
      </c>
      <c r="P153">
        <v>1450</v>
      </c>
      <c r="Q153" t="s">
        <v>98</v>
      </c>
      <c r="R153" t="s">
        <v>114</v>
      </c>
      <c r="S153">
        <v>0</v>
      </c>
      <c r="T153">
        <v>2</v>
      </c>
      <c r="U153">
        <v>0</v>
      </c>
      <c r="V153">
        <v>1</v>
      </c>
      <c r="W153">
        <v>9</v>
      </c>
      <c r="X153">
        <v>5</v>
      </c>
      <c r="Y153">
        <v>14</v>
      </c>
      <c r="Z153">
        <v>14</v>
      </c>
      <c r="AA153">
        <v>13</v>
      </c>
      <c r="AB153">
        <v>10</v>
      </c>
      <c r="AC153">
        <v>2</v>
      </c>
      <c r="AD153">
        <v>5</v>
      </c>
      <c r="AE153">
        <v>0</v>
      </c>
      <c r="AF153">
        <v>0</v>
      </c>
      <c r="AG153">
        <v>13</v>
      </c>
      <c r="AH153">
        <v>7</v>
      </c>
      <c r="AI153">
        <v>5</v>
      </c>
      <c r="AJ153">
        <v>2</v>
      </c>
      <c r="AK153">
        <v>-2</v>
      </c>
      <c r="AL153">
        <v>0</v>
      </c>
      <c r="AM153">
        <v>0</v>
      </c>
      <c r="AN153">
        <v>0</v>
      </c>
      <c r="AO153">
        <v>1</v>
      </c>
      <c r="AP153">
        <v>0.77</v>
      </c>
      <c r="AQ153">
        <v>0</v>
      </c>
    </row>
    <row r="154" spans="1:43" x14ac:dyDescent="0.25">
      <c r="A154">
        <v>2024</v>
      </c>
      <c r="B154">
        <v>45550</v>
      </c>
      <c r="C154">
        <v>26</v>
      </c>
      <c r="D154">
        <v>32718</v>
      </c>
      <c r="E154">
        <v>46931</v>
      </c>
      <c r="F154" t="s">
        <v>472</v>
      </c>
      <c r="G154">
        <v>0.69715113677526586</v>
      </c>
      <c r="H154" t="s">
        <v>51</v>
      </c>
      <c r="I154" t="s">
        <v>88</v>
      </c>
      <c r="J154">
        <v>1</v>
      </c>
      <c r="K154" t="s">
        <v>481</v>
      </c>
      <c r="L154">
        <v>18</v>
      </c>
      <c r="M154">
        <v>17</v>
      </c>
      <c r="N154">
        <v>6290</v>
      </c>
      <c r="O154" t="s">
        <v>490</v>
      </c>
      <c r="P154">
        <v>3500</v>
      </c>
      <c r="Q154" t="s">
        <v>128</v>
      </c>
      <c r="R154" t="s">
        <v>41</v>
      </c>
      <c r="S154">
        <v>2</v>
      </c>
      <c r="T154">
        <v>1</v>
      </c>
      <c r="U154">
        <v>1</v>
      </c>
      <c r="V154">
        <v>0</v>
      </c>
      <c r="W154">
        <v>6</v>
      </c>
      <c r="X154">
        <v>3</v>
      </c>
      <c r="Y154">
        <v>12</v>
      </c>
      <c r="Z154">
        <v>7</v>
      </c>
      <c r="AA154">
        <v>7</v>
      </c>
      <c r="AB154">
        <v>11</v>
      </c>
      <c r="AC154">
        <v>1</v>
      </c>
      <c r="AD154">
        <v>8</v>
      </c>
      <c r="AE154">
        <v>0</v>
      </c>
      <c r="AF154">
        <v>1</v>
      </c>
      <c r="AG154">
        <v>21</v>
      </c>
      <c r="AH154">
        <v>12</v>
      </c>
      <c r="AI154">
        <v>4</v>
      </c>
      <c r="AJ154">
        <v>7</v>
      </c>
      <c r="AK154">
        <v>1</v>
      </c>
      <c r="AL154">
        <v>1</v>
      </c>
      <c r="AM154">
        <v>0</v>
      </c>
      <c r="AN154">
        <v>1</v>
      </c>
      <c r="AO154">
        <v>0</v>
      </c>
      <c r="AP154">
        <v>2.2999999999999998</v>
      </c>
      <c r="AQ154">
        <v>0</v>
      </c>
    </row>
    <row r="155" spans="1:43" x14ac:dyDescent="0.25">
      <c r="A155">
        <v>2024</v>
      </c>
      <c r="B155">
        <v>45550</v>
      </c>
      <c r="C155">
        <v>26</v>
      </c>
      <c r="D155">
        <v>55000</v>
      </c>
      <c r="E155">
        <v>61927</v>
      </c>
      <c r="F155" t="s">
        <v>473</v>
      </c>
      <c r="G155">
        <v>0.88814249035154291</v>
      </c>
      <c r="H155" t="s">
        <v>50</v>
      </c>
      <c r="I155" t="s">
        <v>62</v>
      </c>
      <c r="J155">
        <v>7</v>
      </c>
      <c r="K155" t="s">
        <v>482</v>
      </c>
      <c r="L155">
        <v>5</v>
      </c>
      <c r="M155">
        <v>-2</v>
      </c>
      <c r="N155">
        <v>4220</v>
      </c>
      <c r="O155" t="s">
        <v>490</v>
      </c>
      <c r="P155">
        <v>2460</v>
      </c>
      <c r="Q155" t="s">
        <v>73</v>
      </c>
      <c r="R155" t="s">
        <v>239</v>
      </c>
      <c r="S155">
        <v>0</v>
      </c>
      <c r="T155">
        <v>1</v>
      </c>
      <c r="U155">
        <v>0</v>
      </c>
      <c r="V155">
        <v>0</v>
      </c>
      <c r="W155">
        <v>7</v>
      </c>
      <c r="X155">
        <v>7</v>
      </c>
      <c r="Y155">
        <v>11</v>
      </c>
      <c r="Z155">
        <v>10</v>
      </c>
      <c r="AA155">
        <v>10</v>
      </c>
      <c r="AB155">
        <v>11</v>
      </c>
      <c r="AC155">
        <v>3</v>
      </c>
      <c r="AD155">
        <v>1</v>
      </c>
      <c r="AE155">
        <v>1</v>
      </c>
      <c r="AF155">
        <v>1</v>
      </c>
      <c r="AG155">
        <v>14</v>
      </c>
      <c r="AH155">
        <v>14</v>
      </c>
      <c r="AI155">
        <v>9</v>
      </c>
      <c r="AJ155">
        <v>5</v>
      </c>
      <c r="AK155">
        <v>-1</v>
      </c>
      <c r="AL155">
        <v>0</v>
      </c>
      <c r="AM155">
        <v>0</v>
      </c>
      <c r="AN155">
        <v>0</v>
      </c>
      <c r="AO155">
        <v>1</v>
      </c>
      <c r="AP155">
        <v>0.57999999999999996</v>
      </c>
      <c r="AQ155">
        <v>0</v>
      </c>
    </row>
    <row r="156" spans="1:43" x14ac:dyDescent="0.25">
      <c r="A156">
        <v>2024</v>
      </c>
      <c r="B156">
        <v>45550</v>
      </c>
      <c r="C156">
        <v>26</v>
      </c>
      <c r="D156">
        <v>65200</v>
      </c>
      <c r="E156">
        <v>78838</v>
      </c>
      <c r="F156" t="s">
        <v>473</v>
      </c>
      <c r="G156">
        <v>0.82701235444836252</v>
      </c>
      <c r="H156" t="s">
        <v>77</v>
      </c>
      <c r="I156" t="s">
        <v>82</v>
      </c>
      <c r="J156">
        <v>4</v>
      </c>
      <c r="K156" t="s">
        <v>481</v>
      </c>
      <c r="L156">
        <v>9</v>
      </c>
      <c r="M156">
        <v>5</v>
      </c>
      <c r="N156">
        <v>6350</v>
      </c>
      <c r="O156" t="s">
        <v>490</v>
      </c>
      <c r="P156">
        <v>3000</v>
      </c>
      <c r="Q156" t="s">
        <v>111</v>
      </c>
      <c r="R156" t="s">
        <v>200</v>
      </c>
      <c r="S156">
        <v>1</v>
      </c>
      <c r="T156">
        <v>1</v>
      </c>
      <c r="U156">
        <v>0</v>
      </c>
      <c r="V156">
        <v>0</v>
      </c>
      <c r="W156">
        <v>5</v>
      </c>
      <c r="X156">
        <v>6</v>
      </c>
      <c r="Y156">
        <v>10</v>
      </c>
      <c r="Z156">
        <v>10</v>
      </c>
      <c r="AA156">
        <v>10</v>
      </c>
      <c r="AB156">
        <v>8</v>
      </c>
      <c r="AC156">
        <v>1</v>
      </c>
      <c r="AD156">
        <v>2</v>
      </c>
      <c r="AE156">
        <v>3</v>
      </c>
      <c r="AF156">
        <v>1</v>
      </c>
      <c r="AG156">
        <v>17</v>
      </c>
      <c r="AH156">
        <v>9</v>
      </c>
      <c r="AI156">
        <v>9</v>
      </c>
      <c r="AJ156">
        <v>3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2.0099999999999998</v>
      </c>
      <c r="AQ156">
        <v>0</v>
      </c>
    </row>
    <row r="157" spans="1:43" x14ac:dyDescent="0.25">
      <c r="A157">
        <v>2024</v>
      </c>
      <c r="B157">
        <v>45550</v>
      </c>
      <c r="C157">
        <v>26</v>
      </c>
      <c r="D157">
        <v>6232</v>
      </c>
      <c r="E157">
        <v>23726</v>
      </c>
      <c r="F157" t="s">
        <v>473</v>
      </c>
      <c r="G157">
        <v>0.26266543032959622</v>
      </c>
      <c r="H157" t="s">
        <v>44</v>
      </c>
      <c r="I157" t="s">
        <v>55</v>
      </c>
      <c r="J157">
        <v>13</v>
      </c>
      <c r="K157" t="s">
        <v>483</v>
      </c>
      <c r="L157">
        <v>15</v>
      </c>
      <c r="M157">
        <v>2</v>
      </c>
      <c r="N157">
        <v>1040</v>
      </c>
      <c r="O157" t="s">
        <v>488</v>
      </c>
      <c r="P157">
        <v>3335</v>
      </c>
      <c r="Q157" t="s">
        <v>166</v>
      </c>
      <c r="R157">
        <v>31</v>
      </c>
      <c r="S157">
        <v>2</v>
      </c>
      <c r="T157">
        <v>1</v>
      </c>
      <c r="U157">
        <v>0</v>
      </c>
      <c r="V157">
        <v>1</v>
      </c>
      <c r="W157">
        <v>8</v>
      </c>
      <c r="X157">
        <v>5</v>
      </c>
      <c r="Y157">
        <v>8</v>
      </c>
      <c r="Z157">
        <v>9</v>
      </c>
      <c r="AA157">
        <v>9</v>
      </c>
      <c r="AB157">
        <v>7</v>
      </c>
      <c r="AC157">
        <v>0</v>
      </c>
      <c r="AD157">
        <v>3</v>
      </c>
      <c r="AE157">
        <v>2</v>
      </c>
      <c r="AF157">
        <v>1</v>
      </c>
      <c r="AG157">
        <v>12</v>
      </c>
      <c r="AH157">
        <v>8</v>
      </c>
      <c r="AI157">
        <v>4</v>
      </c>
      <c r="AJ157">
        <v>5</v>
      </c>
      <c r="AK157">
        <v>1</v>
      </c>
      <c r="AL157">
        <v>1</v>
      </c>
      <c r="AM157">
        <v>0</v>
      </c>
      <c r="AN157">
        <v>1</v>
      </c>
      <c r="AO157">
        <v>0</v>
      </c>
      <c r="AP157">
        <v>0.56999999999999995</v>
      </c>
      <c r="AQ157">
        <v>0</v>
      </c>
    </row>
    <row r="158" spans="1:43" x14ac:dyDescent="0.25">
      <c r="A158">
        <v>2024</v>
      </c>
      <c r="B158">
        <v>45550</v>
      </c>
      <c r="C158">
        <v>26</v>
      </c>
      <c r="D158">
        <v>5228</v>
      </c>
      <c r="E158">
        <v>15010</v>
      </c>
      <c r="F158" t="s">
        <v>474</v>
      </c>
      <c r="G158">
        <v>0.34830113257828116</v>
      </c>
      <c r="H158" t="s">
        <v>56</v>
      </c>
      <c r="I158" t="s">
        <v>83</v>
      </c>
      <c r="J158">
        <v>12</v>
      </c>
      <c r="K158" t="s">
        <v>483</v>
      </c>
      <c r="L158">
        <v>16</v>
      </c>
      <c r="M158">
        <v>4</v>
      </c>
      <c r="N158">
        <v>3330</v>
      </c>
      <c r="O158" t="s">
        <v>487</v>
      </c>
      <c r="P158">
        <v>3990</v>
      </c>
      <c r="Q158" t="s">
        <v>217</v>
      </c>
      <c r="R158" t="s">
        <v>166</v>
      </c>
      <c r="S158">
        <v>2</v>
      </c>
      <c r="T158">
        <v>2</v>
      </c>
      <c r="U158">
        <v>1</v>
      </c>
      <c r="V158">
        <v>1</v>
      </c>
      <c r="W158">
        <v>6</v>
      </c>
      <c r="X158">
        <v>7</v>
      </c>
      <c r="Y158">
        <v>12</v>
      </c>
      <c r="Z158">
        <v>7</v>
      </c>
      <c r="AA158">
        <v>7</v>
      </c>
      <c r="AB158">
        <v>12</v>
      </c>
      <c r="AC158">
        <v>2</v>
      </c>
      <c r="AD158">
        <v>4</v>
      </c>
      <c r="AE158">
        <v>2</v>
      </c>
      <c r="AF158">
        <v>1</v>
      </c>
      <c r="AG158">
        <v>23</v>
      </c>
      <c r="AH158">
        <v>8</v>
      </c>
      <c r="AI158">
        <v>9</v>
      </c>
      <c r="AJ158">
        <v>3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1.75</v>
      </c>
      <c r="AQ158">
        <v>0</v>
      </c>
    </row>
    <row r="159" spans="1:43" x14ac:dyDescent="0.25">
      <c r="A159">
        <v>2024</v>
      </c>
      <c r="B159">
        <v>45550</v>
      </c>
      <c r="C159">
        <v>26</v>
      </c>
      <c r="D159">
        <v>37244</v>
      </c>
      <c r="E159">
        <v>43713</v>
      </c>
      <c r="F159" t="s">
        <v>474</v>
      </c>
      <c r="G159">
        <v>0.85201198728067162</v>
      </c>
      <c r="H159" t="s">
        <v>95</v>
      </c>
      <c r="I159" t="s">
        <v>43</v>
      </c>
      <c r="J159">
        <v>2</v>
      </c>
      <c r="K159" t="s">
        <v>481</v>
      </c>
      <c r="L159">
        <v>14</v>
      </c>
      <c r="M159">
        <v>12</v>
      </c>
      <c r="N159">
        <v>10160</v>
      </c>
      <c r="O159" t="s">
        <v>489</v>
      </c>
      <c r="P159">
        <v>883</v>
      </c>
      <c r="Q159" t="s">
        <v>41</v>
      </c>
      <c r="R159" t="s">
        <v>74</v>
      </c>
      <c r="S159">
        <v>5</v>
      </c>
      <c r="T159">
        <v>0</v>
      </c>
      <c r="U159">
        <v>3</v>
      </c>
      <c r="V159">
        <v>0</v>
      </c>
      <c r="W159">
        <v>4</v>
      </c>
      <c r="X159">
        <v>6</v>
      </c>
      <c r="Y159">
        <v>12</v>
      </c>
      <c r="Z159">
        <v>11</v>
      </c>
      <c r="AA159">
        <v>11</v>
      </c>
      <c r="AB159">
        <v>11</v>
      </c>
      <c r="AC159">
        <v>5</v>
      </c>
      <c r="AD159">
        <v>4</v>
      </c>
      <c r="AE159">
        <v>3</v>
      </c>
      <c r="AF159">
        <v>2</v>
      </c>
      <c r="AG159">
        <v>14</v>
      </c>
      <c r="AH159">
        <v>14</v>
      </c>
      <c r="AI159">
        <v>3</v>
      </c>
      <c r="AJ159">
        <v>6</v>
      </c>
      <c r="AK159">
        <v>5</v>
      </c>
      <c r="AL159">
        <v>1</v>
      </c>
      <c r="AM159">
        <v>0</v>
      </c>
      <c r="AN159">
        <v>1</v>
      </c>
      <c r="AO159">
        <v>0</v>
      </c>
      <c r="AP159">
        <v>1.86</v>
      </c>
      <c r="AQ159">
        <v>1</v>
      </c>
    </row>
    <row r="160" spans="1:43" x14ac:dyDescent="0.25">
      <c r="A160">
        <v>2024</v>
      </c>
      <c r="B160">
        <v>45550</v>
      </c>
      <c r="C160">
        <v>26</v>
      </c>
      <c r="D160">
        <v>26420</v>
      </c>
      <c r="E160">
        <v>47364</v>
      </c>
      <c r="F160" t="s">
        <v>473</v>
      </c>
      <c r="G160">
        <v>0.55780761759986486</v>
      </c>
      <c r="H160" t="s">
        <v>38</v>
      </c>
      <c r="I160" t="s">
        <v>89</v>
      </c>
      <c r="J160">
        <v>6</v>
      </c>
      <c r="K160" t="s">
        <v>482</v>
      </c>
      <c r="L160">
        <v>10</v>
      </c>
      <c r="M160">
        <v>4</v>
      </c>
      <c r="N160">
        <v>3745</v>
      </c>
      <c r="O160" t="s">
        <v>490</v>
      </c>
      <c r="P160">
        <v>2455</v>
      </c>
      <c r="Q160" t="s">
        <v>100</v>
      </c>
      <c r="R160" t="s">
        <v>137</v>
      </c>
      <c r="S160">
        <v>3</v>
      </c>
      <c r="T160">
        <v>0</v>
      </c>
      <c r="U160">
        <v>0</v>
      </c>
      <c r="V160">
        <v>0</v>
      </c>
      <c r="W160">
        <v>6</v>
      </c>
      <c r="X160">
        <v>1</v>
      </c>
      <c r="Y160">
        <v>17</v>
      </c>
      <c r="Z160">
        <v>16</v>
      </c>
      <c r="AA160">
        <v>16</v>
      </c>
      <c r="AB160">
        <v>16</v>
      </c>
      <c r="AC160">
        <v>2</v>
      </c>
      <c r="AD160">
        <v>1</v>
      </c>
      <c r="AE160">
        <v>1</v>
      </c>
      <c r="AF160">
        <v>3</v>
      </c>
      <c r="AG160">
        <v>16</v>
      </c>
      <c r="AH160">
        <v>5</v>
      </c>
      <c r="AI160">
        <v>6</v>
      </c>
      <c r="AJ160">
        <v>1</v>
      </c>
      <c r="AK160">
        <v>3</v>
      </c>
      <c r="AL160">
        <v>1</v>
      </c>
      <c r="AM160">
        <v>0</v>
      </c>
      <c r="AN160">
        <v>1</v>
      </c>
      <c r="AO160">
        <v>0</v>
      </c>
      <c r="AP160">
        <v>1.1000000000000001</v>
      </c>
      <c r="AQ160">
        <v>0</v>
      </c>
    </row>
    <row r="161" spans="1:43" x14ac:dyDescent="0.25">
      <c r="A161">
        <v>2024</v>
      </c>
      <c r="B161">
        <v>45552</v>
      </c>
      <c r="C161">
        <v>26</v>
      </c>
      <c r="D161">
        <v>35366</v>
      </c>
      <c r="E161">
        <v>50848</v>
      </c>
      <c r="F161" t="s">
        <v>476</v>
      </c>
      <c r="G161">
        <v>0.69552391441157957</v>
      </c>
      <c r="H161" t="s">
        <v>37</v>
      </c>
      <c r="I161" t="s">
        <v>70</v>
      </c>
      <c r="J161">
        <v>8</v>
      </c>
      <c r="K161" t="s">
        <v>482</v>
      </c>
      <c r="L161">
        <v>19</v>
      </c>
      <c r="M161">
        <v>11</v>
      </c>
      <c r="N161">
        <v>4175</v>
      </c>
      <c r="O161" t="s">
        <v>490</v>
      </c>
      <c r="P161">
        <v>1620</v>
      </c>
      <c r="Q161" t="s">
        <v>66</v>
      </c>
      <c r="R161" t="s">
        <v>235</v>
      </c>
      <c r="S161">
        <v>3</v>
      </c>
      <c r="T161">
        <v>0</v>
      </c>
      <c r="U161">
        <v>2</v>
      </c>
      <c r="V161">
        <v>0</v>
      </c>
      <c r="W161">
        <v>2</v>
      </c>
      <c r="X161">
        <v>3</v>
      </c>
      <c r="Y161">
        <v>8</v>
      </c>
      <c r="Z161">
        <v>10</v>
      </c>
      <c r="AA161">
        <v>9</v>
      </c>
      <c r="AB161">
        <v>7</v>
      </c>
      <c r="AC161">
        <v>0</v>
      </c>
      <c r="AD161">
        <v>4</v>
      </c>
      <c r="AE161">
        <v>3</v>
      </c>
      <c r="AF161">
        <v>2</v>
      </c>
      <c r="AG161">
        <v>15</v>
      </c>
      <c r="AH161">
        <v>2</v>
      </c>
      <c r="AI161">
        <v>6</v>
      </c>
      <c r="AJ161">
        <v>2</v>
      </c>
      <c r="AK161">
        <v>3</v>
      </c>
      <c r="AL161">
        <v>1</v>
      </c>
      <c r="AM161">
        <v>0</v>
      </c>
      <c r="AN161">
        <v>1</v>
      </c>
      <c r="AO161">
        <v>0</v>
      </c>
      <c r="AP161">
        <v>3.33</v>
      </c>
      <c r="AQ161">
        <v>0</v>
      </c>
    </row>
    <row r="162" spans="1:43" x14ac:dyDescent="0.25">
      <c r="A162">
        <v>2024</v>
      </c>
      <c r="B162">
        <v>45556</v>
      </c>
      <c r="C162">
        <v>27</v>
      </c>
      <c r="D162">
        <v>24479</v>
      </c>
      <c r="E162">
        <v>30618</v>
      </c>
      <c r="F162" t="s">
        <v>473</v>
      </c>
      <c r="G162">
        <v>0.79949702789208965</v>
      </c>
      <c r="H162" t="s">
        <v>94</v>
      </c>
      <c r="I162" t="s">
        <v>44</v>
      </c>
      <c r="J162">
        <v>17</v>
      </c>
      <c r="K162" t="s">
        <v>484</v>
      </c>
      <c r="L162">
        <v>13</v>
      </c>
      <c r="M162">
        <v>-4</v>
      </c>
      <c r="N162">
        <v>1130</v>
      </c>
      <c r="O162" t="s">
        <v>488</v>
      </c>
      <c r="P162">
        <v>835</v>
      </c>
      <c r="Q162" t="s">
        <v>129</v>
      </c>
      <c r="R162" t="s">
        <v>193</v>
      </c>
      <c r="S162">
        <v>1</v>
      </c>
      <c r="T162">
        <v>0</v>
      </c>
      <c r="U162">
        <v>1</v>
      </c>
      <c r="V162">
        <v>0</v>
      </c>
      <c r="W162">
        <v>4</v>
      </c>
      <c r="X162">
        <v>5</v>
      </c>
      <c r="Y162">
        <v>12</v>
      </c>
      <c r="Z162">
        <v>15</v>
      </c>
      <c r="AA162">
        <v>15</v>
      </c>
      <c r="AB162">
        <v>10</v>
      </c>
      <c r="AC162">
        <v>2</v>
      </c>
      <c r="AD162">
        <v>1</v>
      </c>
      <c r="AE162">
        <v>3</v>
      </c>
      <c r="AF162">
        <v>0</v>
      </c>
      <c r="AG162">
        <v>13</v>
      </c>
      <c r="AH162">
        <v>11</v>
      </c>
      <c r="AI162">
        <v>8</v>
      </c>
      <c r="AJ162">
        <v>6</v>
      </c>
      <c r="AK162">
        <v>1</v>
      </c>
      <c r="AL162">
        <v>1</v>
      </c>
      <c r="AM162">
        <v>0</v>
      </c>
      <c r="AN162">
        <v>1</v>
      </c>
      <c r="AO162">
        <v>0</v>
      </c>
      <c r="AP162">
        <v>1.1100000000000001</v>
      </c>
      <c r="AQ162">
        <v>0</v>
      </c>
    </row>
    <row r="163" spans="1:43" x14ac:dyDescent="0.25">
      <c r="A163">
        <v>2024</v>
      </c>
      <c r="B163">
        <v>45556</v>
      </c>
      <c r="C163">
        <v>27</v>
      </c>
      <c r="D163">
        <v>22000</v>
      </c>
      <c r="E163">
        <v>82238</v>
      </c>
      <c r="F163" t="s">
        <v>476</v>
      </c>
      <c r="G163">
        <v>0.26751623337143415</v>
      </c>
      <c r="H163" t="s">
        <v>55</v>
      </c>
      <c r="I163" t="s">
        <v>51</v>
      </c>
      <c r="J163">
        <v>16</v>
      </c>
      <c r="K163" t="s">
        <v>484</v>
      </c>
      <c r="L163">
        <v>1</v>
      </c>
      <c r="M163">
        <v>-15</v>
      </c>
      <c r="N163">
        <v>3400</v>
      </c>
      <c r="O163" t="s">
        <v>487</v>
      </c>
      <c r="P163">
        <v>4110</v>
      </c>
      <c r="Q163" t="s">
        <v>67</v>
      </c>
      <c r="R163" t="s">
        <v>66</v>
      </c>
      <c r="S163">
        <v>0</v>
      </c>
      <c r="T163">
        <v>1</v>
      </c>
      <c r="U163">
        <v>0</v>
      </c>
      <c r="V163">
        <v>0</v>
      </c>
      <c r="W163">
        <v>5</v>
      </c>
      <c r="X163">
        <v>4</v>
      </c>
      <c r="Y163">
        <v>13</v>
      </c>
      <c r="Z163">
        <v>17</v>
      </c>
      <c r="AA163">
        <v>16</v>
      </c>
      <c r="AB163">
        <v>13</v>
      </c>
      <c r="AC163">
        <v>6</v>
      </c>
      <c r="AD163">
        <v>5</v>
      </c>
      <c r="AE163">
        <v>0</v>
      </c>
      <c r="AF163">
        <v>3</v>
      </c>
      <c r="AG163">
        <v>13</v>
      </c>
      <c r="AH163">
        <v>9</v>
      </c>
      <c r="AI163">
        <v>7</v>
      </c>
      <c r="AJ163">
        <v>1</v>
      </c>
      <c r="AK163">
        <v>-1</v>
      </c>
      <c r="AL163">
        <v>0</v>
      </c>
      <c r="AM163">
        <v>0</v>
      </c>
      <c r="AN163">
        <v>0</v>
      </c>
      <c r="AO163">
        <v>1</v>
      </c>
      <c r="AP163">
        <v>0.4</v>
      </c>
      <c r="AQ163">
        <v>0</v>
      </c>
    </row>
    <row r="164" spans="1:43" x14ac:dyDescent="0.25">
      <c r="A164">
        <v>2024</v>
      </c>
      <c r="B164">
        <v>45557</v>
      </c>
      <c r="C164">
        <v>27</v>
      </c>
      <c r="D164">
        <v>5948</v>
      </c>
      <c r="E164">
        <v>42968</v>
      </c>
      <c r="F164" t="s">
        <v>476</v>
      </c>
      <c r="G164">
        <v>0.13842859802643828</v>
      </c>
      <c r="H164" t="s">
        <v>70</v>
      </c>
      <c r="I164" t="s">
        <v>50</v>
      </c>
      <c r="J164">
        <v>19</v>
      </c>
      <c r="K164" t="s">
        <v>484</v>
      </c>
      <c r="L164">
        <v>8</v>
      </c>
      <c r="M164">
        <v>-11</v>
      </c>
      <c r="N164">
        <v>1390</v>
      </c>
      <c r="O164" t="s">
        <v>488</v>
      </c>
      <c r="P164">
        <v>2540</v>
      </c>
      <c r="Q164" t="s">
        <v>74</v>
      </c>
      <c r="R164" t="s">
        <v>80</v>
      </c>
      <c r="S164">
        <v>0</v>
      </c>
      <c r="T164">
        <v>0</v>
      </c>
      <c r="U164">
        <v>0</v>
      </c>
      <c r="V164">
        <v>0</v>
      </c>
      <c r="W164">
        <v>4</v>
      </c>
      <c r="X164">
        <v>5</v>
      </c>
      <c r="Y164">
        <v>10</v>
      </c>
      <c r="Z164">
        <v>10</v>
      </c>
      <c r="AA164">
        <v>10</v>
      </c>
      <c r="AB164">
        <v>10</v>
      </c>
      <c r="AC164">
        <v>2</v>
      </c>
      <c r="AD164">
        <v>4</v>
      </c>
      <c r="AE164">
        <v>2</v>
      </c>
      <c r="AF164">
        <v>0</v>
      </c>
      <c r="AG164">
        <v>9</v>
      </c>
      <c r="AH164">
        <v>13</v>
      </c>
      <c r="AI164">
        <v>5</v>
      </c>
      <c r="AJ164">
        <v>5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0.36</v>
      </c>
      <c r="AQ164">
        <v>0</v>
      </c>
    </row>
    <row r="165" spans="1:43" x14ac:dyDescent="0.25">
      <c r="A165">
        <v>2024</v>
      </c>
      <c r="B165">
        <v>45557</v>
      </c>
      <c r="C165">
        <v>27</v>
      </c>
      <c r="D165">
        <v>48504</v>
      </c>
      <c r="E165">
        <v>60540</v>
      </c>
      <c r="F165" t="s">
        <v>474</v>
      </c>
      <c r="G165">
        <v>0.80118929633300295</v>
      </c>
      <c r="H165" t="s">
        <v>83</v>
      </c>
      <c r="I165" t="s">
        <v>77</v>
      </c>
      <c r="J165">
        <v>15</v>
      </c>
      <c r="K165" t="s">
        <v>483</v>
      </c>
      <c r="L165">
        <v>4</v>
      </c>
      <c r="M165">
        <v>-11</v>
      </c>
      <c r="N165">
        <v>4100</v>
      </c>
      <c r="O165" t="s">
        <v>490</v>
      </c>
      <c r="P165">
        <v>5330</v>
      </c>
      <c r="Q165" t="s">
        <v>105</v>
      </c>
      <c r="R165" t="s">
        <v>278</v>
      </c>
      <c r="S165">
        <v>3</v>
      </c>
      <c r="T165">
        <v>2</v>
      </c>
      <c r="U165">
        <v>1</v>
      </c>
      <c r="V165">
        <v>1</v>
      </c>
      <c r="W165">
        <v>4</v>
      </c>
      <c r="X165">
        <v>6</v>
      </c>
      <c r="Y165">
        <v>6</v>
      </c>
      <c r="Z165">
        <v>13</v>
      </c>
      <c r="AA165">
        <v>12</v>
      </c>
      <c r="AB165">
        <v>5</v>
      </c>
      <c r="AC165">
        <v>6</v>
      </c>
      <c r="AD165">
        <v>1</v>
      </c>
      <c r="AE165">
        <v>1</v>
      </c>
      <c r="AF165">
        <v>1</v>
      </c>
      <c r="AG165">
        <v>12</v>
      </c>
      <c r="AH165">
        <v>20</v>
      </c>
      <c r="AI165">
        <v>5</v>
      </c>
      <c r="AJ165">
        <v>7</v>
      </c>
      <c r="AK165">
        <v>1</v>
      </c>
      <c r="AL165">
        <v>1</v>
      </c>
      <c r="AM165">
        <v>0</v>
      </c>
      <c r="AN165">
        <v>1</v>
      </c>
      <c r="AO165">
        <v>0</v>
      </c>
      <c r="AP165">
        <v>1.56</v>
      </c>
      <c r="AQ165">
        <v>0</v>
      </c>
    </row>
    <row r="166" spans="1:43" x14ac:dyDescent="0.25">
      <c r="A166">
        <v>2024</v>
      </c>
      <c r="B166">
        <v>45557</v>
      </c>
      <c r="C166">
        <v>27</v>
      </c>
      <c r="D166">
        <v>34533</v>
      </c>
      <c r="E166">
        <v>46000</v>
      </c>
      <c r="F166" t="s">
        <v>473</v>
      </c>
      <c r="G166">
        <v>0.75071739130434778</v>
      </c>
      <c r="H166" t="s">
        <v>89</v>
      </c>
      <c r="I166" t="s">
        <v>56</v>
      </c>
      <c r="J166">
        <v>9</v>
      </c>
      <c r="K166" t="s">
        <v>482</v>
      </c>
      <c r="L166">
        <v>12</v>
      </c>
      <c r="M166">
        <v>3</v>
      </c>
      <c r="N166">
        <v>3185</v>
      </c>
      <c r="O166" t="s">
        <v>487</v>
      </c>
      <c r="P166">
        <v>3075</v>
      </c>
      <c r="Q166" t="s">
        <v>135</v>
      </c>
      <c r="R166" t="s">
        <v>99</v>
      </c>
      <c r="S166">
        <v>3</v>
      </c>
      <c r="T166">
        <v>0</v>
      </c>
      <c r="U166">
        <v>1</v>
      </c>
      <c r="V166">
        <v>0</v>
      </c>
      <c r="W166">
        <v>4</v>
      </c>
      <c r="X166">
        <v>2</v>
      </c>
      <c r="Y166">
        <v>14</v>
      </c>
      <c r="Z166">
        <v>9</v>
      </c>
      <c r="AA166">
        <v>9</v>
      </c>
      <c r="AB166">
        <v>14</v>
      </c>
      <c r="AC166">
        <v>3</v>
      </c>
      <c r="AD166">
        <v>5</v>
      </c>
      <c r="AE166">
        <v>2</v>
      </c>
      <c r="AF166">
        <v>1</v>
      </c>
      <c r="AG166">
        <v>13</v>
      </c>
      <c r="AH166">
        <v>8</v>
      </c>
      <c r="AI166">
        <v>5</v>
      </c>
      <c r="AJ166">
        <v>3</v>
      </c>
      <c r="AK166">
        <v>3</v>
      </c>
      <c r="AL166">
        <v>1</v>
      </c>
      <c r="AM166">
        <v>0</v>
      </c>
      <c r="AN166">
        <v>1</v>
      </c>
      <c r="AO166">
        <v>0</v>
      </c>
      <c r="AP166">
        <v>2.4</v>
      </c>
      <c r="AQ166">
        <v>0</v>
      </c>
    </row>
    <row r="167" spans="1:43" x14ac:dyDescent="0.25">
      <c r="A167">
        <v>2024</v>
      </c>
      <c r="B167">
        <v>45557</v>
      </c>
      <c r="C167">
        <v>27</v>
      </c>
      <c r="D167">
        <v>35111</v>
      </c>
      <c r="E167">
        <v>72039</v>
      </c>
      <c r="F167" t="s">
        <v>473</v>
      </c>
      <c r="G167">
        <v>0.48738877552436877</v>
      </c>
      <c r="H167" t="s">
        <v>62</v>
      </c>
      <c r="I167" t="s">
        <v>37</v>
      </c>
      <c r="J167">
        <v>5</v>
      </c>
      <c r="K167" t="s">
        <v>481</v>
      </c>
      <c r="L167">
        <v>6</v>
      </c>
      <c r="M167">
        <v>1</v>
      </c>
      <c r="N167">
        <v>2910</v>
      </c>
      <c r="O167" t="s">
        <v>487</v>
      </c>
      <c r="P167">
        <v>4225</v>
      </c>
      <c r="Q167" t="s">
        <v>41</v>
      </c>
      <c r="R167" t="s">
        <v>129</v>
      </c>
      <c r="S167">
        <v>1</v>
      </c>
      <c r="T167">
        <v>3</v>
      </c>
      <c r="U167">
        <v>1</v>
      </c>
      <c r="V167">
        <v>1</v>
      </c>
      <c r="W167">
        <v>2</v>
      </c>
      <c r="X167">
        <v>4</v>
      </c>
      <c r="Y167">
        <v>18</v>
      </c>
      <c r="Z167">
        <v>16</v>
      </c>
      <c r="AA167">
        <v>15</v>
      </c>
      <c r="AB167">
        <v>17</v>
      </c>
      <c r="AC167">
        <v>3</v>
      </c>
      <c r="AD167">
        <v>1</v>
      </c>
      <c r="AE167">
        <v>6</v>
      </c>
      <c r="AF167">
        <v>2</v>
      </c>
      <c r="AG167">
        <v>7</v>
      </c>
      <c r="AH167">
        <v>14</v>
      </c>
      <c r="AI167">
        <v>3</v>
      </c>
      <c r="AJ167">
        <v>4</v>
      </c>
      <c r="AK167">
        <v>-2</v>
      </c>
      <c r="AL167">
        <v>0</v>
      </c>
      <c r="AM167">
        <v>0</v>
      </c>
      <c r="AN167">
        <v>0</v>
      </c>
      <c r="AO167">
        <v>1</v>
      </c>
      <c r="AP167">
        <v>0.77</v>
      </c>
      <c r="AQ167">
        <v>0</v>
      </c>
    </row>
    <row r="168" spans="1:43" x14ac:dyDescent="0.25">
      <c r="A168">
        <v>2024</v>
      </c>
      <c r="B168">
        <v>45557</v>
      </c>
      <c r="C168">
        <v>27</v>
      </c>
      <c r="D168">
        <v>25755</v>
      </c>
      <c r="E168">
        <v>72788</v>
      </c>
      <c r="F168" t="s">
        <v>473</v>
      </c>
      <c r="G168">
        <v>0.35383579710941365</v>
      </c>
      <c r="H168" t="s">
        <v>82</v>
      </c>
      <c r="I168" t="s">
        <v>95</v>
      </c>
      <c r="J168">
        <v>10</v>
      </c>
      <c r="K168" t="s">
        <v>482</v>
      </c>
      <c r="L168">
        <v>2</v>
      </c>
      <c r="M168">
        <v>-8</v>
      </c>
      <c r="N168">
        <v>3300</v>
      </c>
      <c r="O168" t="s">
        <v>487</v>
      </c>
      <c r="P168">
        <v>9550</v>
      </c>
      <c r="Q168" t="s">
        <v>100</v>
      </c>
      <c r="R168" t="s">
        <v>116</v>
      </c>
      <c r="S168">
        <v>0</v>
      </c>
      <c r="T168">
        <v>1</v>
      </c>
      <c r="U168">
        <v>0</v>
      </c>
      <c r="V168">
        <v>1</v>
      </c>
      <c r="W168">
        <v>5</v>
      </c>
      <c r="X168">
        <v>5</v>
      </c>
      <c r="Y168">
        <v>8</v>
      </c>
      <c r="Z168">
        <v>14</v>
      </c>
      <c r="AA168">
        <v>14</v>
      </c>
      <c r="AB168">
        <v>8</v>
      </c>
      <c r="AC168">
        <v>2</v>
      </c>
      <c r="AD168">
        <v>3</v>
      </c>
      <c r="AE168">
        <v>0</v>
      </c>
      <c r="AF168">
        <v>2</v>
      </c>
      <c r="AG168">
        <v>10</v>
      </c>
      <c r="AH168">
        <v>14</v>
      </c>
      <c r="AI168">
        <v>6</v>
      </c>
      <c r="AJ168">
        <v>8</v>
      </c>
      <c r="AK168">
        <v>-1</v>
      </c>
      <c r="AL168">
        <v>0</v>
      </c>
      <c r="AM168">
        <v>0</v>
      </c>
      <c r="AN168">
        <v>0</v>
      </c>
      <c r="AO168">
        <v>1</v>
      </c>
      <c r="AP168">
        <v>0.3</v>
      </c>
      <c r="AQ168">
        <v>0</v>
      </c>
    </row>
    <row r="169" spans="1:43" x14ac:dyDescent="0.25">
      <c r="A169">
        <v>2024</v>
      </c>
      <c r="B169">
        <v>45557</v>
      </c>
      <c r="C169">
        <v>27</v>
      </c>
      <c r="D169">
        <v>42051</v>
      </c>
      <c r="E169">
        <v>60326</v>
      </c>
      <c r="F169" t="s">
        <v>476</v>
      </c>
      <c r="G169">
        <v>0.69706262639657857</v>
      </c>
      <c r="H169" t="s">
        <v>63</v>
      </c>
      <c r="I169" t="s">
        <v>38</v>
      </c>
      <c r="J169">
        <v>3</v>
      </c>
      <c r="K169" t="s">
        <v>481</v>
      </c>
      <c r="L169">
        <v>7</v>
      </c>
      <c r="M169">
        <v>4</v>
      </c>
      <c r="N169">
        <v>1745</v>
      </c>
      <c r="O169" t="s">
        <v>487</v>
      </c>
      <c r="P169">
        <v>3445</v>
      </c>
      <c r="Q169" t="s">
        <v>193</v>
      </c>
      <c r="R169" t="s">
        <v>111</v>
      </c>
      <c r="S169">
        <v>4</v>
      </c>
      <c r="T169">
        <v>1</v>
      </c>
      <c r="U169">
        <v>2</v>
      </c>
      <c r="V169">
        <v>1</v>
      </c>
      <c r="W169">
        <v>2</v>
      </c>
      <c r="X169">
        <v>1</v>
      </c>
      <c r="Y169">
        <v>13</v>
      </c>
      <c r="Z169">
        <v>9</v>
      </c>
      <c r="AA169">
        <v>9</v>
      </c>
      <c r="AB169">
        <v>10</v>
      </c>
      <c r="AC169">
        <v>3</v>
      </c>
      <c r="AD169">
        <v>3</v>
      </c>
      <c r="AE169">
        <v>3</v>
      </c>
      <c r="AF169">
        <v>4</v>
      </c>
      <c r="AG169">
        <v>11</v>
      </c>
      <c r="AH169">
        <v>9</v>
      </c>
      <c r="AI169">
        <v>1</v>
      </c>
      <c r="AJ169">
        <v>2</v>
      </c>
      <c r="AK169">
        <v>3</v>
      </c>
      <c r="AL169">
        <v>1</v>
      </c>
      <c r="AM169">
        <v>0</v>
      </c>
      <c r="AN169">
        <v>1</v>
      </c>
      <c r="AO169">
        <v>0</v>
      </c>
      <c r="AP169">
        <v>1.53</v>
      </c>
      <c r="AQ169">
        <v>1</v>
      </c>
    </row>
    <row r="170" spans="1:43" x14ac:dyDescent="0.25">
      <c r="A170">
        <v>2024</v>
      </c>
      <c r="B170">
        <v>45558</v>
      </c>
      <c r="C170">
        <v>27</v>
      </c>
      <c r="D170">
        <v>12765</v>
      </c>
      <c r="E170">
        <v>19225</v>
      </c>
      <c r="F170" t="s">
        <v>473</v>
      </c>
      <c r="G170">
        <v>0.66397919375812742</v>
      </c>
      <c r="H170" t="s">
        <v>43</v>
      </c>
      <c r="I170" t="s">
        <v>69</v>
      </c>
      <c r="J170">
        <v>14</v>
      </c>
      <c r="K170" t="s">
        <v>483</v>
      </c>
      <c r="L170">
        <v>11</v>
      </c>
      <c r="M170">
        <v>-3</v>
      </c>
      <c r="N170">
        <v>680</v>
      </c>
      <c r="O170" t="s">
        <v>488</v>
      </c>
      <c r="P170">
        <v>2010</v>
      </c>
      <c r="Q170" t="s">
        <v>142</v>
      </c>
      <c r="R170" t="s">
        <v>233</v>
      </c>
      <c r="S170">
        <v>0</v>
      </c>
      <c r="T170">
        <v>0</v>
      </c>
      <c r="U170">
        <v>0</v>
      </c>
      <c r="V170">
        <v>0</v>
      </c>
      <c r="W170">
        <v>12</v>
      </c>
      <c r="X170">
        <v>1</v>
      </c>
      <c r="Y170">
        <v>11</v>
      </c>
      <c r="Z170">
        <v>12</v>
      </c>
      <c r="AA170">
        <v>12</v>
      </c>
      <c r="AB170">
        <v>10</v>
      </c>
      <c r="AC170">
        <v>3</v>
      </c>
      <c r="AD170">
        <v>7</v>
      </c>
      <c r="AE170">
        <v>0</v>
      </c>
      <c r="AF170">
        <v>0</v>
      </c>
      <c r="AG170">
        <v>25</v>
      </c>
      <c r="AH170">
        <v>10</v>
      </c>
      <c r="AI170">
        <v>12</v>
      </c>
      <c r="AJ170">
        <v>5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1.35</v>
      </c>
      <c r="AQ170">
        <v>0</v>
      </c>
    </row>
    <row r="171" spans="1:43" x14ac:dyDescent="0.25">
      <c r="A171">
        <v>2024</v>
      </c>
      <c r="B171">
        <v>45563</v>
      </c>
      <c r="C171">
        <v>28</v>
      </c>
      <c r="D171">
        <v>16040</v>
      </c>
      <c r="E171">
        <v>32713</v>
      </c>
      <c r="F171" t="s">
        <v>475</v>
      </c>
      <c r="G171">
        <v>0.49032494726866993</v>
      </c>
      <c r="H171" t="s">
        <v>95</v>
      </c>
      <c r="I171" t="s">
        <v>89</v>
      </c>
      <c r="J171">
        <v>2</v>
      </c>
      <c r="K171" t="s">
        <v>481</v>
      </c>
      <c r="L171">
        <v>10</v>
      </c>
      <c r="M171">
        <v>8</v>
      </c>
      <c r="N171">
        <v>8650</v>
      </c>
      <c r="O171" t="s">
        <v>489</v>
      </c>
      <c r="P171">
        <v>3960</v>
      </c>
      <c r="Q171" t="s">
        <v>168</v>
      </c>
      <c r="R171" t="s">
        <v>92</v>
      </c>
      <c r="S171">
        <v>2</v>
      </c>
      <c r="T171">
        <v>1</v>
      </c>
      <c r="U171">
        <v>1</v>
      </c>
      <c r="V171">
        <v>0</v>
      </c>
      <c r="W171">
        <v>7</v>
      </c>
      <c r="X171">
        <v>3</v>
      </c>
      <c r="Y171">
        <v>15</v>
      </c>
      <c r="Z171">
        <v>10</v>
      </c>
      <c r="AA171">
        <v>10</v>
      </c>
      <c r="AB171">
        <v>15</v>
      </c>
      <c r="AC171">
        <v>3</v>
      </c>
      <c r="AD171">
        <v>6</v>
      </c>
      <c r="AE171">
        <v>2</v>
      </c>
      <c r="AF171">
        <v>1</v>
      </c>
      <c r="AG171">
        <v>15</v>
      </c>
      <c r="AH171">
        <v>6</v>
      </c>
      <c r="AI171">
        <v>3</v>
      </c>
      <c r="AJ171">
        <v>2</v>
      </c>
      <c r="AK171">
        <v>1</v>
      </c>
      <c r="AL171">
        <v>1</v>
      </c>
      <c r="AM171">
        <v>0</v>
      </c>
      <c r="AN171">
        <v>1</v>
      </c>
      <c r="AO171">
        <v>0</v>
      </c>
      <c r="AP171">
        <v>2.6</v>
      </c>
      <c r="AQ171">
        <v>0</v>
      </c>
    </row>
    <row r="172" spans="1:43" x14ac:dyDescent="0.25">
      <c r="A172">
        <v>2024</v>
      </c>
      <c r="B172">
        <v>45564</v>
      </c>
      <c r="C172">
        <v>28</v>
      </c>
      <c r="D172">
        <v>42220</v>
      </c>
      <c r="E172">
        <v>46931</v>
      </c>
      <c r="F172" t="s">
        <v>477</v>
      </c>
      <c r="G172">
        <v>0.89961858899235048</v>
      </c>
      <c r="H172" t="s">
        <v>51</v>
      </c>
      <c r="I172" t="s">
        <v>83</v>
      </c>
      <c r="J172">
        <v>1</v>
      </c>
      <c r="K172" t="s">
        <v>481</v>
      </c>
      <c r="L172">
        <v>14</v>
      </c>
      <c r="M172">
        <v>13</v>
      </c>
      <c r="N172">
        <v>6960</v>
      </c>
      <c r="O172" t="s">
        <v>490</v>
      </c>
      <c r="P172">
        <v>4150</v>
      </c>
      <c r="Q172" t="s">
        <v>100</v>
      </c>
      <c r="R172" t="s">
        <v>166</v>
      </c>
      <c r="S172">
        <v>0</v>
      </c>
      <c r="T172">
        <v>0</v>
      </c>
      <c r="U172">
        <v>0</v>
      </c>
      <c r="V172">
        <v>0</v>
      </c>
      <c r="W172">
        <v>5</v>
      </c>
      <c r="X172">
        <v>3</v>
      </c>
      <c r="Y172">
        <v>10</v>
      </c>
      <c r="Z172">
        <v>14</v>
      </c>
      <c r="AA172">
        <v>13</v>
      </c>
      <c r="AB172">
        <v>9</v>
      </c>
      <c r="AC172">
        <v>4</v>
      </c>
      <c r="AD172">
        <v>3</v>
      </c>
      <c r="AE172">
        <v>2</v>
      </c>
      <c r="AF172">
        <v>0</v>
      </c>
      <c r="AG172">
        <v>15</v>
      </c>
      <c r="AH172">
        <v>11</v>
      </c>
      <c r="AI172">
        <v>6</v>
      </c>
      <c r="AJ172">
        <v>5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0.98</v>
      </c>
      <c r="AQ172">
        <v>0</v>
      </c>
    </row>
    <row r="173" spans="1:43" x14ac:dyDescent="0.25">
      <c r="A173">
        <v>2024</v>
      </c>
      <c r="B173">
        <v>45564</v>
      </c>
      <c r="C173">
        <v>28</v>
      </c>
      <c r="D173">
        <v>56331</v>
      </c>
      <c r="E173">
        <v>61927</v>
      </c>
      <c r="F173" t="s">
        <v>473</v>
      </c>
      <c r="G173">
        <v>0.90963553861805024</v>
      </c>
      <c r="H173" t="s">
        <v>50</v>
      </c>
      <c r="I173" t="s">
        <v>82</v>
      </c>
      <c r="J173">
        <v>8</v>
      </c>
      <c r="K173" t="s">
        <v>482</v>
      </c>
      <c r="L173">
        <v>9</v>
      </c>
      <c r="M173">
        <v>1</v>
      </c>
      <c r="N173">
        <v>4180</v>
      </c>
      <c r="O173" t="s">
        <v>490</v>
      </c>
      <c r="P173">
        <v>3805</v>
      </c>
      <c r="Q173" t="s">
        <v>135</v>
      </c>
      <c r="R173" t="s">
        <v>135</v>
      </c>
      <c r="S173">
        <v>1</v>
      </c>
      <c r="T173">
        <v>1</v>
      </c>
      <c r="U173">
        <v>0</v>
      </c>
      <c r="V173">
        <v>1</v>
      </c>
      <c r="W173">
        <v>11</v>
      </c>
      <c r="X173">
        <v>4</v>
      </c>
      <c r="Y173">
        <v>7</v>
      </c>
      <c r="Z173">
        <v>6</v>
      </c>
      <c r="AA173">
        <v>6</v>
      </c>
      <c r="AB173">
        <v>6</v>
      </c>
      <c r="AC173">
        <v>3</v>
      </c>
      <c r="AD173">
        <v>5</v>
      </c>
      <c r="AE173">
        <v>1</v>
      </c>
      <c r="AF173">
        <v>0</v>
      </c>
      <c r="AG173">
        <v>15</v>
      </c>
      <c r="AH173">
        <v>13</v>
      </c>
      <c r="AI173">
        <v>8</v>
      </c>
      <c r="AJ173">
        <v>6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0.8</v>
      </c>
      <c r="AQ173">
        <v>0</v>
      </c>
    </row>
    <row r="174" spans="1:43" x14ac:dyDescent="0.25">
      <c r="A174">
        <v>2024</v>
      </c>
      <c r="B174">
        <v>45564</v>
      </c>
      <c r="C174">
        <v>28</v>
      </c>
      <c r="D174">
        <v>6285</v>
      </c>
      <c r="E174">
        <v>23726</v>
      </c>
      <c r="F174" t="s">
        <v>473</v>
      </c>
      <c r="G174">
        <v>0.26489926662732866</v>
      </c>
      <c r="H174" t="s">
        <v>44</v>
      </c>
      <c r="I174" t="s">
        <v>56</v>
      </c>
      <c r="J174">
        <v>13</v>
      </c>
      <c r="K174" t="s">
        <v>483</v>
      </c>
      <c r="L174">
        <v>12</v>
      </c>
      <c r="M174">
        <v>-1</v>
      </c>
      <c r="N174">
        <v>765</v>
      </c>
      <c r="O174" t="s">
        <v>488</v>
      </c>
      <c r="P174">
        <v>3370</v>
      </c>
      <c r="Q174" t="s">
        <v>142</v>
      </c>
      <c r="R174" t="s">
        <v>233</v>
      </c>
      <c r="S174">
        <v>1</v>
      </c>
      <c r="T174">
        <v>1</v>
      </c>
      <c r="U174">
        <v>0</v>
      </c>
      <c r="V174">
        <v>0</v>
      </c>
      <c r="W174">
        <v>4</v>
      </c>
      <c r="X174">
        <v>5</v>
      </c>
      <c r="Y174">
        <v>9</v>
      </c>
      <c r="Z174">
        <v>19</v>
      </c>
      <c r="AA174">
        <v>18</v>
      </c>
      <c r="AB174">
        <v>9</v>
      </c>
      <c r="AC174">
        <v>5</v>
      </c>
      <c r="AD174">
        <v>5</v>
      </c>
      <c r="AE174">
        <v>1</v>
      </c>
      <c r="AF174">
        <v>0</v>
      </c>
      <c r="AG174">
        <v>12</v>
      </c>
      <c r="AH174">
        <v>15</v>
      </c>
      <c r="AI174">
        <v>5</v>
      </c>
      <c r="AJ174">
        <v>6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0</v>
      </c>
    </row>
    <row r="175" spans="1:43" x14ac:dyDescent="0.25">
      <c r="A175">
        <v>2024</v>
      </c>
      <c r="B175">
        <v>45564</v>
      </c>
      <c r="C175">
        <v>28</v>
      </c>
      <c r="D175">
        <v>7871</v>
      </c>
      <c r="E175">
        <v>13000</v>
      </c>
      <c r="F175" t="s">
        <v>474</v>
      </c>
      <c r="G175">
        <v>0.6054615384615385</v>
      </c>
      <c r="H175" t="s">
        <v>76</v>
      </c>
      <c r="I175" t="s">
        <v>55</v>
      </c>
      <c r="J175">
        <v>20</v>
      </c>
      <c r="K175" t="s">
        <v>484</v>
      </c>
      <c r="L175">
        <v>16</v>
      </c>
      <c r="M175">
        <v>-4</v>
      </c>
      <c r="N175">
        <v>950</v>
      </c>
      <c r="O175" t="s">
        <v>488</v>
      </c>
      <c r="P175">
        <v>3145</v>
      </c>
      <c r="Q175" t="s">
        <v>252</v>
      </c>
      <c r="R175" t="s">
        <v>289</v>
      </c>
      <c r="S175">
        <v>1</v>
      </c>
      <c r="T175">
        <v>0</v>
      </c>
      <c r="U175">
        <v>0</v>
      </c>
      <c r="V175">
        <v>0</v>
      </c>
      <c r="W175">
        <v>4</v>
      </c>
      <c r="X175">
        <v>3</v>
      </c>
      <c r="Y175">
        <v>15</v>
      </c>
      <c r="Z175">
        <v>14</v>
      </c>
      <c r="AA175">
        <v>14</v>
      </c>
      <c r="AB175">
        <v>14</v>
      </c>
      <c r="AC175">
        <v>2</v>
      </c>
      <c r="AD175">
        <v>6</v>
      </c>
      <c r="AE175">
        <v>2</v>
      </c>
      <c r="AF175">
        <v>0</v>
      </c>
      <c r="AG175">
        <v>16</v>
      </c>
      <c r="AH175">
        <v>13</v>
      </c>
      <c r="AI175">
        <v>7</v>
      </c>
      <c r="AJ175">
        <v>7</v>
      </c>
      <c r="AK175">
        <v>1</v>
      </c>
      <c r="AL175">
        <v>1</v>
      </c>
      <c r="AM175">
        <v>0</v>
      </c>
      <c r="AN175">
        <v>1</v>
      </c>
      <c r="AO175">
        <v>0</v>
      </c>
      <c r="AP175">
        <v>1.43</v>
      </c>
      <c r="AQ175">
        <v>0</v>
      </c>
    </row>
    <row r="176" spans="1:43" x14ac:dyDescent="0.25">
      <c r="A176">
        <v>2024</v>
      </c>
      <c r="B176">
        <v>45564</v>
      </c>
      <c r="C176">
        <v>28</v>
      </c>
      <c r="D176">
        <v>25888</v>
      </c>
      <c r="E176">
        <v>72039</v>
      </c>
      <c r="F176" t="s">
        <v>474</v>
      </c>
      <c r="G176">
        <v>0.3593609017337831</v>
      </c>
      <c r="H176" t="s">
        <v>62</v>
      </c>
      <c r="I176" t="s">
        <v>88</v>
      </c>
      <c r="J176">
        <v>5</v>
      </c>
      <c r="K176" t="s">
        <v>481</v>
      </c>
      <c r="L176">
        <v>18</v>
      </c>
      <c r="M176">
        <v>13</v>
      </c>
      <c r="N176">
        <v>2375</v>
      </c>
      <c r="O176" t="s">
        <v>487</v>
      </c>
      <c r="P176">
        <v>4140</v>
      </c>
      <c r="Q176" t="s">
        <v>179</v>
      </c>
      <c r="R176" t="s">
        <v>73</v>
      </c>
      <c r="S176">
        <v>3</v>
      </c>
      <c r="T176">
        <v>1</v>
      </c>
      <c r="U176">
        <v>1</v>
      </c>
      <c r="V176">
        <v>0</v>
      </c>
      <c r="W176">
        <v>7</v>
      </c>
      <c r="X176">
        <v>2</v>
      </c>
      <c r="Y176">
        <v>18</v>
      </c>
      <c r="Z176">
        <v>17</v>
      </c>
      <c r="AA176">
        <v>17</v>
      </c>
      <c r="AB176">
        <v>18</v>
      </c>
      <c r="AC176">
        <v>2</v>
      </c>
      <c r="AD176">
        <v>5</v>
      </c>
      <c r="AE176">
        <v>2</v>
      </c>
      <c r="AF176">
        <v>2</v>
      </c>
      <c r="AG176">
        <v>19</v>
      </c>
      <c r="AH176">
        <v>11</v>
      </c>
      <c r="AI176">
        <v>6</v>
      </c>
      <c r="AJ176">
        <v>5</v>
      </c>
      <c r="AK176">
        <v>2</v>
      </c>
      <c r="AL176">
        <v>1</v>
      </c>
      <c r="AM176">
        <v>0</v>
      </c>
      <c r="AN176">
        <v>1</v>
      </c>
      <c r="AO176">
        <v>0</v>
      </c>
      <c r="AP176">
        <v>2.97</v>
      </c>
      <c r="AQ176">
        <v>0</v>
      </c>
    </row>
    <row r="177" spans="1:43" x14ac:dyDescent="0.25">
      <c r="A177">
        <v>2024</v>
      </c>
      <c r="B177">
        <v>45564</v>
      </c>
      <c r="C177">
        <v>28</v>
      </c>
      <c r="D177">
        <v>45112</v>
      </c>
      <c r="E177">
        <v>50848</v>
      </c>
      <c r="F177" t="s">
        <v>476</v>
      </c>
      <c r="G177">
        <v>0.8871932032724984</v>
      </c>
      <c r="H177" t="s">
        <v>37</v>
      </c>
      <c r="I177" t="s">
        <v>94</v>
      </c>
      <c r="J177">
        <v>6</v>
      </c>
      <c r="K177" t="s">
        <v>482</v>
      </c>
      <c r="L177">
        <v>17</v>
      </c>
      <c r="M177">
        <v>11</v>
      </c>
      <c r="N177">
        <v>4000</v>
      </c>
      <c r="O177" t="s">
        <v>490</v>
      </c>
      <c r="P177">
        <v>1550</v>
      </c>
      <c r="Q177" t="s">
        <v>41</v>
      </c>
      <c r="R177" t="s">
        <v>114</v>
      </c>
      <c r="S177">
        <v>3</v>
      </c>
      <c r="T177">
        <v>1</v>
      </c>
      <c r="U177">
        <v>1</v>
      </c>
      <c r="V177">
        <v>0</v>
      </c>
      <c r="W177">
        <v>2</v>
      </c>
      <c r="X177">
        <v>6</v>
      </c>
      <c r="Y177">
        <v>26</v>
      </c>
      <c r="Z177">
        <v>8</v>
      </c>
      <c r="AA177">
        <v>8</v>
      </c>
      <c r="AB177">
        <v>25</v>
      </c>
      <c r="AC177">
        <v>3</v>
      </c>
      <c r="AD177">
        <v>2</v>
      </c>
      <c r="AE177">
        <v>0</v>
      </c>
      <c r="AF177">
        <v>4</v>
      </c>
      <c r="AG177">
        <v>10</v>
      </c>
      <c r="AH177">
        <v>7</v>
      </c>
      <c r="AI177">
        <v>2</v>
      </c>
      <c r="AJ177">
        <v>1</v>
      </c>
      <c r="AK177">
        <v>2</v>
      </c>
      <c r="AL177">
        <v>1</v>
      </c>
      <c r="AM177">
        <v>0</v>
      </c>
      <c r="AN177">
        <v>1</v>
      </c>
      <c r="AO177">
        <v>0</v>
      </c>
      <c r="AP177">
        <v>2.39</v>
      </c>
      <c r="AQ177">
        <v>0</v>
      </c>
    </row>
    <row r="178" spans="1:43" x14ac:dyDescent="0.25">
      <c r="A178">
        <v>2024</v>
      </c>
      <c r="B178">
        <v>45564</v>
      </c>
      <c r="C178">
        <v>28</v>
      </c>
      <c r="D178">
        <v>24574</v>
      </c>
      <c r="E178">
        <v>47364</v>
      </c>
      <c r="F178" t="s">
        <v>473</v>
      </c>
      <c r="G178">
        <v>0.5188328688455367</v>
      </c>
      <c r="H178" t="s">
        <v>38</v>
      </c>
      <c r="I178" t="s">
        <v>43</v>
      </c>
      <c r="J178">
        <v>7</v>
      </c>
      <c r="K178" t="s">
        <v>482</v>
      </c>
      <c r="L178">
        <v>15</v>
      </c>
      <c r="M178">
        <v>8</v>
      </c>
      <c r="N178">
        <v>3745</v>
      </c>
      <c r="O178" t="s">
        <v>490</v>
      </c>
      <c r="P178">
        <v>785</v>
      </c>
      <c r="Q178" t="s">
        <v>123</v>
      </c>
      <c r="R178" t="s">
        <v>197</v>
      </c>
      <c r="S178">
        <v>1</v>
      </c>
      <c r="T178">
        <v>0</v>
      </c>
      <c r="U178">
        <v>1</v>
      </c>
      <c r="V178">
        <v>0</v>
      </c>
      <c r="W178">
        <v>9</v>
      </c>
      <c r="X178">
        <v>1</v>
      </c>
      <c r="Y178">
        <v>10</v>
      </c>
      <c r="Z178">
        <v>8</v>
      </c>
      <c r="AA178">
        <v>8</v>
      </c>
      <c r="AB178">
        <v>10</v>
      </c>
      <c r="AC178">
        <v>1</v>
      </c>
      <c r="AD178">
        <v>5</v>
      </c>
      <c r="AE178">
        <v>0</v>
      </c>
      <c r="AF178">
        <v>5</v>
      </c>
      <c r="AG178">
        <v>21</v>
      </c>
      <c r="AH178">
        <v>2</v>
      </c>
      <c r="AI178">
        <v>10</v>
      </c>
      <c r="AJ178">
        <v>1</v>
      </c>
      <c r="AK178">
        <v>1</v>
      </c>
      <c r="AL178">
        <v>1</v>
      </c>
      <c r="AM178">
        <v>0</v>
      </c>
      <c r="AN178">
        <v>1</v>
      </c>
      <c r="AO178">
        <v>0</v>
      </c>
      <c r="AP178">
        <v>2.59</v>
      </c>
      <c r="AQ178">
        <v>0</v>
      </c>
    </row>
    <row r="179" spans="1:43" x14ac:dyDescent="0.25">
      <c r="A179">
        <v>2024</v>
      </c>
      <c r="B179">
        <v>45564</v>
      </c>
      <c r="C179">
        <v>28</v>
      </c>
      <c r="D179">
        <v>42000</v>
      </c>
      <c r="E179">
        <v>60326</v>
      </c>
      <c r="F179" t="s">
        <v>476</v>
      </c>
      <c r="G179">
        <v>0.69621721977256901</v>
      </c>
      <c r="H179" t="s">
        <v>63</v>
      </c>
      <c r="I179" t="s">
        <v>70</v>
      </c>
      <c r="J179">
        <v>3</v>
      </c>
      <c r="K179" t="s">
        <v>481</v>
      </c>
      <c r="L179">
        <v>19</v>
      </c>
      <c r="M179">
        <v>16</v>
      </c>
      <c r="N179">
        <v>1805</v>
      </c>
      <c r="O179" t="s">
        <v>487</v>
      </c>
      <c r="P179">
        <v>1840</v>
      </c>
      <c r="Q179" t="s">
        <v>134</v>
      </c>
      <c r="R179" t="s">
        <v>74</v>
      </c>
      <c r="S179">
        <v>1</v>
      </c>
      <c r="T179">
        <v>0</v>
      </c>
      <c r="U179">
        <v>1</v>
      </c>
      <c r="V179">
        <v>0</v>
      </c>
      <c r="W179">
        <v>7</v>
      </c>
      <c r="X179">
        <v>3</v>
      </c>
      <c r="Y179">
        <v>18</v>
      </c>
      <c r="Z179">
        <v>9</v>
      </c>
      <c r="AA179">
        <v>9</v>
      </c>
      <c r="AB179">
        <v>16</v>
      </c>
      <c r="AC179">
        <v>1</v>
      </c>
      <c r="AD179">
        <v>6</v>
      </c>
      <c r="AE179">
        <v>2</v>
      </c>
      <c r="AF179">
        <v>7</v>
      </c>
      <c r="AG179">
        <v>15</v>
      </c>
      <c r="AH179">
        <v>2</v>
      </c>
      <c r="AI179">
        <v>7</v>
      </c>
      <c r="AJ179">
        <v>1</v>
      </c>
      <c r="AK179">
        <v>1</v>
      </c>
      <c r="AL179">
        <v>1</v>
      </c>
      <c r="AM179">
        <v>0</v>
      </c>
      <c r="AN179">
        <v>1</v>
      </c>
      <c r="AO179">
        <v>0</v>
      </c>
      <c r="AP179">
        <v>0.79</v>
      </c>
      <c r="AQ179">
        <v>0</v>
      </c>
    </row>
    <row r="180" spans="1:43" x14ac:dyDescent="0.25">
      <c r="A180">
        <v>2024</v>
      </c>
      <c r="B180">
        <v>45565</v>
      </c>
      <c r="C180">
        <v>28</v>
      </c>
      <c r="D180">
        <v>30022</v>
      </c>
      <c r="E180">
        <v>78838</v>
      </c>
      <c r="F180" t="s">
        <v>473</v>
      </c>
      <c r="G180">
        <v>0.38080621020320149</v>
      </c>
      <c r="H180" t="s">
        <v>77</v>
      </c>
      <c r="I180" t="s">
        <v>69</v>
      </c>
      <c r="J180">
        <v>4</v>
      </c>
      <c r="K180" t="s">
        <v>481</v>
      </c>
      <c r="L180">
        <v>11</v>
      </c>
      <c r="M180">
        <v>7</v>
      </c>
      <c r="N180">
        <v>8040</v>
      </c>
      <c r="O180" t="s">
        <v>489</v>
      </c>
      <c r="P180">
        <v>3570</v>
      </c>
      <c r="Q180" t="s">
        <v>117</v>
      </c>
      <c r="R180" t="s">
        <v>221</v>
      </c>
      <c r="S180">
        <v>1</v>
      </c>
      <c r="T180">
        <v>0</v>
      </c>
      <c r="U180">
        <v>0</v>
      </c>
      <c r="V180">
        <v>0</v>
      </c>
      <c r="W180">
        <v>6</v>
      </c>
      <c r="X180">
        <v>1</v>
      </c>
      <c r="Y180">
        <v>12</v>
      </c>
      <c r="Z180">
        <v>13</v>
      </c>
      <c r="AA180">
        <v>13</v>
      </c>
      <c r="AB180">
        <v>12</v>
      </c>
      <c r="AC180">
        <v>1</v>
      </c>
      <c r="AD180">
        <v>3</v>
      </c>
      <c r="AE180">
        <v>2</v>
      </c>
      <c r="AF180">
        <v>3</v>
      </c>
      <c r="AG180">
        <v>17</v>
      </c>
      <c r="AH180">
        <v>7</v>
      </c>
      <c r="AI180">
        <v>3</v>
      </c>
      <c r="AJ180">
        <v>3</v>
      </c>
      <c r="AK180">
        <v>1</v>
      </c>
      <c r="AL180">
        <v>1</v>
      </c>
      <c r="AM180">
        <v>0</v>
      </c>
      <c r="AN180">
        <v>1</v>
      </c>
      <c r="AO180">
        <v>0</v>
      </c>
      <c r="AP180">
        <v>0.7</v>
      </c>
      <c r="AQ180">
        <v>0</v>
      </c>
    </row>
    <row r="181" spans="1:43" x14ac:dyDescent="0.25">
      <c r="A181">
        <v>2024</v>
      </c>
      <c r="B181">
        <v>45569</v>
      </c>
      <c r="C181">
        <v>29</v>
      </c>
      <c r="D181">
        <v>30242</v>
      </c>
      <c r="E181">
        <v>82238</v>
      </c>
      <c r="F181" t="s">
        <v>473</v>
      </c>
      <c r="G181">
        <v>0.36773754225540506</v>
      </c>
      <c r="H181" t="s">
        <v>55</v>
      </c>
      <c r="I181" t="s">
        <v>50</v>
      </c>
      <c r="J181">
        <v>16</v>
      </c>
      <c r="K181" t="s">
        <v>484</v>
      </c>
      <c r="L181">
        <v>8</v>
      </c>
      <c r="M181">
        <v>-8</v>
      </c>
      <c r="N181">
        <v>3585</v>
      </c>
      <c r="O181" t="s">
        <v>490</v>
      </c>
      <c r="P181">
        <v>4730</v>
      </c>
      <c r="Q181" t="s">
        <v>67</v>
      </c>
      <c r="R181" t="s">
        <v>128</v>
      </c>
      <c r="S181">
        <v>1</v>
      </c>
      <c r="T181">
        <v>0</v>
      </c>
      <c r="U181">
        <v>0</v>
      </c>
      <c r="V181">
        <v>0</v>
      </c>
      <c r="W181">
        <v>2</v>
      </c>
      <c r="X181">
        <v>2</v>
      </c>
      <c r="Y181">
        <v>19</v>
      </c>
      <c r="Z181">
        <v>16</v>
      </c>
      <c r="AA181">
        <v>16</v>
      </c>
      <c r="AB181">
        <v>19</v>
      </c>
      <c r="AC181">
        <v>4</v>
      </c>
      <c r="AD181">
        <v>4</v>
      </c>
      <c r="AE181">
        <v>1</v>
      </c>
      <c r="AF181">
        <v>1</v>
      </c>
      <c r="AG181">
        <v>14</v>
      </c>
      <c r="AH181">
        <v>13</v>
      </c>
      <c r="AI181">
        <v>6</v>
      </c>
      <c r="AJ181">
        <v>6</v>
      </c>
      <c r="AK181">
        <v>1</v>
      </c>
      <c r="AL181">
        <v>1</v>
      </c>
      <c r="AM181">
        <v>0</v>
      </c>
      <c r="AN181">
        <v>1</v>
      </c>
      <c r="AO181">
        <v>0</v>
      </c>
      <c r="AP181">
        <v>1.62</v>
      </c>
      <c r="AQ181">
        <v>0</v>
      </c>
    </row>
    <row r="182" spans="1:43" x14ac:dyDescent="0.25">
      <c r="A182">
        <v>2024</v>
      </c>
      <c r="B182">
        <v>45569</v>
      </c>
      <c r="C182">
        <v>29</v>
      </c>
      <c r="D182">
        <v>12343</v>
      </c>
      <c r="E182">
        <v>19225</v>
      </c>
      <c r="F182" t="s">
        <v>473</v>
      </c>
      <c r="G182">
        <v>0.64202860858257482</v>
      </c>
      <c r="H182" t="s">
        <v>43</v>
      </c>
      <c r="I182" t="s">
        <v>76</v>
      </c>
      <c r="J182">
        <v>12</v>
      </c>
      <c r="K182" t="s">
        <v>483</v>
      </c>
      <c r="L182">
        <v>20</v>
      </c>
      <c r="M182">
        <v>8</v>
      </c>
      <c r="N182">
        <v>730</v>
      </c>
      <c r="O182" t="s">
        <v>488</v>
      </c>
      <c r="P182">
        <v>890</v>
      </c>
      <c r="Q182" t="s">
        <v>142</v>
      </c>
      <c r="R182" t="s">
        <v>189</v>
      </c>
      <c r="S182">
        <v>2</v>
      </c>
      <c r="T182">
        <v>0</v>
      </c>
      <c r="U182">
        <v>1</v>
      </c>
      <c r="V182">
        <v>0</v>
      </c>
      <c r="W182">
        <v>7</v>
      </c>
      <c r="X182">
        <v>6</v>
      </c>
      <c r="Y182">
        <v>16</v>
      </c>
      <c r="Z182">
        <v>8</v>
      </c>
      <c r="AA182">
        <v>5</v>
      </c>
      <c r="AB182">
        <v>16</v>
      </c>
      <c r="AC182">
        <v>3</v>
      </c>
      <c r="AD182">
        <v>3</v>
      </c>
      <c r="AE182">
        <v>1</v>
      </c>
      <c r="AF182">
        <v>1</v>
      </c>
      <c r="AG182">
        <v>17</v>
      </c>
      <c r="AH182">
        <v>14</v>
      </c>
      <c r="AI182">
        <v>7</v>
      </c>
      <c r="AJ182">
        <v>9</v>
      </c>
      <c r="AK182">
        <v>2</v>
      </c>
      <c r="AL182">
        <v>1</v>
      </c>
      <c r="AM182">
        <v>0</v>
      </c>
      <c r="AN182">
        <v>1</v>
      </c>
      <c r="AO182">
        <v>0</v>
      </c>
      <c r="AP182">
        <v>1.35</v>
      </c>
      <c r="AQ182">
        <v>0</v>
      </c>
    </row>
    <row r="183" spans="1:43" x14ac:dyDescent="0.25">
      <c r="A183">
        <v>2024</v>
      </c>
      <c r="B183">
        <v>45570</v>
      </c>
      <c r="C183">
        <v>29</v>
      </c>
      <c r="D183">
        <v>9989</v>
      </c>
      <c r="E183">
        <v>15010</v>
      </c>
      <c r="F183" t="s">
        <v>475</v>
      </c>
      <c r="G183">
        <v>0.665489673550966</v>
      </c>
      <c r="H183" t="s">
        <v>56</v>
      </c>
      <c r="I183" t="s">
        <v>95</v>
      </c>
      <c r="J183">
        <v>14</v>
      </c>
      <c r="K183" t="s">
        <v>483</v>
      </c>
      <c r="L183">
        <v>2</v>
      </c>
      <c r="M183">
        <v>-12</v>
      </c>
      <c r="N183">
        <v>3300</v>
      </c>
      <c r="O183" t="s">
        <v>487</v>
      </c>
      <c r="P183">
        <v>9450</v>
      </c>
      <c r="Q183" t="s">
        <v>80</v>
      </c>
      <c r="R183" t="s">
        <v>209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3</v>
      </c>
      <c r="Y183">
        <v>7</v>
      </c>
      <c r="Z183">
        <v>14</v>
      </c>
      <c r="AA183">
        <v>13</v>
      </c>
      <c r="AB183">
        <v>7</v>
      </c>
      <c r="AC183">
        <v>5</v>
      </c>
      <c r="AD183">
        <v>5</v>
      </c>
      <c r="AE183">
        <v>3</v>
      </c>
      <c r="AF183">
        <v>0</v>
      </c>
      <c r="AG183">
        <v>17</v>
      </c>
      <c r="AH183">
        <v>14</v>
      </c>
      <c r="AI183">
        <v>5</v>
      </c>
      <c r="AJ183">
        <v>6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0.84</v>
      </c>
      <c r="AQ183">
        <v>0</v>
      </c>
    </row>
    <row r="184" spans="1:43" x14ac:dyDescent="0.25">
      <c r="A184">
        <v>2024</v>
      </c>
      <c r="B184">
        <v>45570</v>
      </c>
      <c r="C184">
        <v>29</v>
      </c>
      <c r="D184">
        <v>22204</v>
      </c>
      <c r="E184">
        <v>60540</v>
      </c>
      <c r="F184" t="s">
        <v>474</v>
      </c>
      <c r="G184">
        <v>0.3667657746944169</v>
      </c>
      <c r="H184" t="s">
        <v>83</v>
      </c>
      <c r="I184" t="s">
        <v>63</v>
      </c>
      <c r="J184">
        <v>11</v>
      </c>
      <c r="K184" t="s">
        <v>483</v>
      </c>
      <c r="L184">
        <v>3</v>
      </c>
      <c r="M184">
        <v>-8</v>
      </c>
      <c r="N184">
        <v>3290</v>
      </c>
      <c r="O184" t="s">
        <v>487</v>
      </c>
      <c r="P184">
        <v>1960</v>
      </c>
      <c r="Q184" t="s">
        <v>105</v>
      </c>
      <c r="R184" t="s">
        <v>166</v>
      </c>
      <c r="S184">
        <v>3</v>
      </c>
      <c r="T184">
        <v>1</v>
      </c>
      <c r="U184">
        <v>1</v>
      </c>
      <c r="V184">
        <v>1</v>
      </c>
      <c r="W184">
        <v>10</v>
      </c>
      <c r="X184">
        <v>2</v>
      </c>
      <c r="Y184">
        <v>11</v>
      </c>
      <c r="Z184">
        <v>9</v>
      </c>
      <c r="AA184">
        <v>9</v>
      </c>
      <c r="AB184">
        <v>10</v>
      </c>
      <c r="AC184">
        <v>4</v>
      </c>
      <c r="AD184">
        <v>2</v>
      </c>
      <c r="AE184">
        <v>2</v>
      </c>
      <c r="AF184">
        <v>1</v>
      </c>
      <c r="AG184">
        <v>16</v>
      </c>
      <c r="AH184">
        <v>7</v>
      </c>
      <c r="AI184">
        <v>5</v>
      </c>
      <c r="AJ184">
        <v>2</v>
      </c>
      <c r="AK184">
        <v>2</v>
      </c>
      <c r="AL184">
        <v>1</v>
      </c>
      <c r="AM184">
        <v>0</v>
      </c>
      <c r="AN184">
        <v>1</v>
      </c>
      <c r="AO184">
        <v>0</v>
      </c>
      <c r="AP184">
        <v>1.69</v>
      </c>
      <c r="AQ184">
        <v>0</v>
      </c>
    </row>
    <row r="185" spans="1:43" x14ac:dyDescent="0.25">
      <c r="A185">
        <v>2024</v>
      </c>
      <c r="B185">
        <v>45570</v>
      </c>
      <c r="C185">
        <v>29</v>
      </c>
      <c r="D185">
        <v>22726</v>
      </c>
      <c r="E185">
        <v>42372</v>
      </c>
      <c r="F185" t="s">
        <v>476</v>
      </c>
      <c r="G185">
        <v>0.53634475597092424</v>
      </c>
      <c r="H185" t="s">
        <v>69</v>
      </c>
      <c r="I185" t="s">
        <v>51</v>
      </c>
      <c r="J185">
        <v>13</v>
      </c>
      <c r="K185" t="s">
        <v>483</v>
      </c>
      <c r="L185">
        <v>1</v>
      </c>
      <c r="M185">
        <v>-12</v>
      </c>
      <c r="N185">
        <v>3180</v>
      </c>
      <c r="O185" t="s">
        <v>487</v>
      </c>
      <c r="P185">
        <v>8000</v>
      </c>
      <c r="Q185" t="s">
        <v>99</v>
      </c>
      <c r="R185">
        <v>28</v>
      </c>
      <c r="S185">
        <v>0</v>
      </c>
      <c r="T185">
        <v>1</v>
      </c>
      <c r="U185">
        <v>0</v>
      </c>
      <c r="V185">
        <v>1</v>
      </c>
      <c r="W185">
        <v>8</v>
      </c>
      <c r="X185">
        <v>3</v>
      </c>
      <c r="Y185">
        <v>8</v>
      </c>
      <c r="Z185">
        <v>20</v>
      </c>
      <c r="AA185">
        <v>19</v>
      </c>
      <c r="AB185">
        <v>8</v>
      </c>
      <c r="AC185">
        <v>2</v>
      </c>
      <c r="AD185">
        <v>3</v>
      </c>
      <c r="AE185">
        <v>0</v>
      </c>
      <c r="AF185">
        <v>2</v>
      </c>
      <c r="AG185">
        <v>26</v>
      </c>
      <c r="AH185">
        <v>11</v>
      </c>
      <c r="AI185">
        <v>14</v>
      </c>
      <c r="AJ185">
        <v>5</v>
      </c>
      <c r="AK185">
        <v>-1</v>
      </c>
      <c r="AL185">
        <v>0</v>
      </c>
      <c r="AM185">
        <v>0</v>
      </c>
      <c r="AN185">
        <v>0</v>
      </c>
      <c r="AO185">
        <v>1</v>
      </c>
      <c r="AP185">
        <v>1.6</v>
      </c>
      <c r="AQ185">
        <v>0</v>
      </c>
    </row>
    <row r="186" spans="1:43" x14ac:dyDescent="0.25">
      <c r="A186">
        <v>2024</v>
      </c>
      <c r="B186">
        <v>45570</v>
      </c>
      <c r="C186">
        <v>29</v>
      </c>
      <c r="D186">
        <v>34910</v>
      </c>
      <c r="E186">
        <v>46000</v>
      </c>
      <c r="F186" t="s">
        <v>476</v>
      </c>
      <c r="G186">
        <v>0.75891304347826083</v>
      </c>
      <c r="H186" t="s">
        <v>89</v>
      </c>
      <c r="I186" t="s">
        <v>94</v>
      </c>
      <c r="J186">
        <v>10</v>
      </c>
      <c r="K186" t="s">
        <v>482</v>
      </c>
      <c r="L186">
        <v>17</v>
      </c>
      <c r="M186">
        <v>7</v>
      </c>
      <c r="N186">
        <v>3510</v>
      </c>
      <c r="O186" t="s">
        <v>490</v>
      </c>
      <c r="P186">
        <v>1500</v>
      </c>
      <c r="Q186" t="s">
        <v>129</v>
      </c>
      <c r="R186" t="s">
        <v>73</v>
      </c>
      <c r="S186">
        <v>2</v>
      </c>
      <c r="T186">
        <v>2</v>
      </c>
      <c r="U186">
        <v>2</v>
      </c>
      <c r="V186">
        <v>0</v>
      </c>
      <c r="W186">
        <v>2</v>
      </c>
      <c r="X186">
        <v>5</v>
      </c>
      <c r="Y186">
        <v>13</v>
      </c>
      <c r="Z186">
        <v>14</v>
      </c>
      <c r="AA186">
        <v>14</v>
      </c>
      <c r="AB186">
        <v>12</v>
      </c>
      <c r="AC186">
        <v>1</v>
      </c>
      <c r="AD186">
        <v>1</v>
      </c>
      <c r="AE186">
        <v>1</v>
      </c>
      <c r="AF186">
        <v>3</v>
      </c>
      <c r="AG186">
        <v>14</v>
      </c>
      <c r="AH186">
        <v>9</v>
      </c>
      <c r="AI186">
        <v>8</v>
      </c>
      <c r="AJ186">
        <v>5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1</v>
      </c>
    </row>
    <row r="187" spans="1:43" x14ac:dyDescent="0.25">
      <c r="A187">
        <v>2024</v>
      </c>
      <c r="B187">
        <v>45571</v>
      </c>
      <c r="C187">
        <v>29</v>
      </c>
      <c r="D187">
        <v>44866</v>
      </c>
      <c r="E187">
        <v>49205</v>
      </c>
      <c r="F187" t="s">
        <v>473</v>
      </c>
      <c r="G187">
        <v>0.91181790468448332</v>
      </c>
      <c r="H187" t="s">
        <v>88</v>
      </c>
      <c r="I187" t="s">
        <v>37</v>
      </c>
      <c r="J187">
        <v>18</v>
      </c>
      <c r="K187" t="s">
        <v>484</v>
      </c>
      <c r="L187">
        <v>6</v>
      </c>
      <c r="M187">
        <v>-12</v>
      </c>
      <c r="N187">
        <v>5250</v>
      </c>
      <c r="O187" t="s">
        <v>490</v>
      </c>
      <c r="P187">
        <v>3890</v>
      </c>
      <c r="Q187" t="s">
        <v>116</v>
      </c>
      <c r="R187" t="s">
        <v>122</v>
      </c>
      <c r="S187">
        <v>2</v>
      </c>
      <c r="T187">
        <v>2</v>
      </c>
      <c r="U187">
        <v>1</v>
      </c>
      <c r="V187">
        <v>1</v>
      </c>
      <c r="W187">
        <v>9</v>
      </c>
      <c r="X187">
        <v>9</v>
      </c>
      <c r="Y187">
        <v>11</v>
      </c>
      <c r="Z187">
        <v>14</v>
      </c>
      <c r="AA187">
        <v>12</v>
      </c>
      <c r="AB187">
        <v>11</v>
      </c>
      <c r="AC187">
        <v>0</v>
      </c>
      <c r="AD187">
        <v>4</v>
      </c>
      <c r="AE187">
        <v>3</v>
      </c>
      <c r="AF187">
        <v>0</v>
      </c>
      <c r="AG187">
        <v>15</v>
      </c>
      <c r="AH187">
        <v>9</v>
      </c>
      <c r="AI187">
        <v>6</v>
      </c>
      <c r="AJ187">
        <v>2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1.96</v>
      </c>
      <c r="AQ187">
        <v>0</v>
      </c>
    </row>
    <row r="188" spans="1:43" x14ac:dyDescent="0.25">
      <c r="A188">
        <v>2024</v>
      </c>
      <c r="B188">
        <v>45571</v>
      </c>
      <c r="C188">
        <v>29</v>
      </c>
      <c r="D188">
        <v>11883</v>
      </c>
      <c r="E188">
        <v>42968</v>
      </c>
      <c r="F188" t="s">
        <v>473</v>
      </c>
      <c r="G188">
        <v>0.27655464531744556</v>
      </c>
      <c r="H188" t="s">
        <v>70</v>
      </c>
      <c r="I188" t="s">
        <v>62</v>
      </c>
      <c r="J188">
        <v>19</v>
      </c>
      <c r="K188" t="s">
        <v>484</v>
      </c>
      <c r="L188">
        <v>5</v>
      </c>
      <c r="M188">
        <v>-14</v>
      </c>
      <c r="N188">
        <v>1750</v>
      </c>
      <c r="O188" t="s">
        <v>487</v>
      </c>
      <c r="P188">
        <v>2175</v>
      </c>
      <c r="Q188" t="s">
        <v>296</v>
      </c>
      <c r="R188" t="s">
        <v>59</v>
      </c>
      <c r="S188">
        <v>2</v>
      </c>
      <c r="T188">
        <v>0</v>
      </c>
      <c r="U188">
        <v>2</v>
      </c>
      <c r="V188">
        <v>0</v>
      </c>
      <c r="W188">
        <v>3</v>
      </c>
      <c r="X188">
        <v>7</v>
      </c>
      <c r="Y188">
        <v>12</v>
      </c>
      <c r="Z188">
        <v>8</v>
      </c>
      <c r="AA188">
        <v>8</v>
      </c>
      <c r="AB188">
        <v>11</v>
      </c>
      <c r="AC188">
        <v>3</v>
      </c>
      <c r="AD188">
        <v>1</v>
      </c>
      <c r="AE188">
        <v>1</v>
      </c>
      <c r="AF188">
        <v>1</v>
      </c>
      <c r="AG188">
        <v>7</v>
      </c>
      <c r="AH188">
        <v>12</v>
      </c>
      <c r="AI188">
        <v>1</v>
      </c>
      <c r="AJ188">
        <v>7</v>
      </c>
      <c r="AK188">
        <v>2</v>
      </c>
      <c r="AL188">
        <v>1</v>
      </c>
      <c r="AM188">
        <v>0</v>
      </c>
      <c r="AN188">
        <v>1</v>
      </c>
      <c r="AO188">
        <v>0</v>
      </c>
      <c r="AP188">
        <v>0.9</v>
      </c>
      <c r="AQ188">
        <v>0</v>
      </c>
    </row>
    <row r="189" spans="1:43" x14ac:dyDescent="0.25">
      <c r="A189">
        <v>2024</v>
      </c>
      <c r="B189">
        <v>45571</v>
      </c>
      <c r="C189">
        <v>29</v>
      </c>
      <c r="D189">
        <v>18036</v>
      </c>
      <c r="E189">
        <v>24584</v>
      </c>
      <c r="F189" t="s">
        <v>475</v>
      </c>
      <c r="G189">
        <v>0.73364790107386924</v>
      </c>
      <c r="H189" t="s">
        <v>82</v>
      </c>
      <c r="I189" t="s">
        <v>44</v>
      </c>
      <c r="J189">
        <v>9</v>
      </c>
      <c r="K189" t="s">
        <v>482</v>
      </c>
      <c r="L189">
        <v>15</v>
      </c>
      <c r="M189">
        <v>6</v>
      </c>
      <c r="N189">
        <v>3300</v>
      </c>
      <c r="O189" t="s">
        <v>487</v>
      </c>
      <c r="P189">
        <v>920</v>
      </c>
      <c r="Q189">
        <v>29</v>
      </c>
      <c r="R189" t="s">
        <v>123</v>
      </c>
      <c r="S189">
        <v>1</v>
      </c>
      <c r="T189">
        <v>1</v>
      </c>
      <c r="U189">
        <v>1</v>
      </c>
      <c r="V189">
        <v>1</v>
      </c>
      <c r="W189">
        <v>3</v>
      </c>
      <c r="X189">
        <v>6</v>
      </c>
      <c r="Y189">
        <v>14</v>
      </c>
      <c r="Z189">
        <v>13</v>
      </c>
      <c r="AA189">
        <v>13</v>
      </c>
      <c r="AB189">
        <v>14</v>
      </c>
      <c r="AC189">
        <v>4</v>
      </c>
      <c r="AD189">
        <v>2</v>
      </c>
      <c r="AE189">
        <v>3</v>
      </c>
      <c r="AF189">
        <v>1</v>
      </c>
      <c r="AG189">
        <v>16</v>
      </c>
      <c r="AH189">
        <v>17</v>
      </c>
      <c r="AI189">
        <v>6</v>
      </c>
      <c r="AJ189">
        <v>7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1.24</v>
      </c>
      <c r="AQ189">
        <v>1</v>
      </c>
    </row>
    <row r="190" spans="1:43" x14ac:dyDescent="0.25">
      <c r="A190">
        <v>2024</v>
      </c>
      <c r="B190">
        <v>45571</v>
      </c>
      <c r="C190">
        <v>29</v>
      </c>
      <c r="D190">
        <v>43433</v>
      </c>
      <c r="E190">
        <v>47364</v>
      </c>
      <c r="F190" t="s">
        <v>477</v>
      </c>
      <c r="G190">
        <v>0.91700447597331303</v>
      </c>
      <c r="H190" t="s">
        <v>38</v>
      </c>
      <c r="I190" t="s">
        <v>77</v>
      </c>
      <c r="J190">
        <v>7</v>
      </c>
      <c r="K190" t="s">
        <v>482</v>
      </c>
      <c r="L190">
        <v>4</v>
      </c>
      <c r="M190">
        <v>-3</v>
      </c>
      <c r="N190">
        <v>3735</v>
      </c>
      <c r="O190" t="s">
        <v>490</v>
      </c>
      <c r="P190">
        <v>9980</v>
      </c>
      <c r="Q190" t="s">
        <v>129</v>
      </c>
      <c r="R190" t="s">
        <v>137</v>
      </c>
      <c r="S190">
        <v>0</v>
      </c>
      <c r="T190">
        <v>2</v>
      </c>
      <c r="U190">
        <v>0</v>
      </c>
      <c r="V190">
        <v>1</v>
      </c>
      <c r="W190">
        <v>3</v>
      </c>
      <c r="X190">
        <v>7</v>
      </c>
      <c r="Y190">
        <v>20</v>
      </c>
      <c r="Z190">
        <v>11</v>
      </c>
      <c r="AA190">
        <v>11</v>
      </c>
      <c r="AB190">
        <v>20</v>
      </c>
      <c r="AC190">
        <v>4</v>
      </c>
      <c r="AD190">
        <v>2</v>
      </c>
      <c r="AE190">
        <v>3</v>
      </c>
      <c r="AF190">
        <v>4</v>
      </c>
      <c r="AG190">
        <v>9</v>
      </c>
      <c r="AH190">
        <v>13</v>
      </c>
      <c r="AI190">
        <v>5</v>
      </c>
      <c r="AJ190">
        <v>4</v>
      </c>
      <c r="AK190">
        <v>-2</v>
      </c>
      <c r="AL190">
        <v>0</v>
      </c>
      <c r="AM190">
        <v>0</v>
      </c>
      <c r="AN190">
        <v>0</v>
      </c>
      <c r="AO190">
        <v>1</v>
      </c>
      <c r="AP190">
        <v>0.8</v>
      </c>
      <c r="AQ190">
        <v>1</v>
      </c>
    </row>
    <row r="191" spans="1:43" x14ac:dyDescent="0.25">
      <c r="A191">
        <v>2024</v>
      </c>
      <c r="B191">
        <v>45582</v>
      </c>
      <c r="C191">
        <v>30</v>
      </c>
      <c r="D191">
        <v>15497</v>
      </c>
      <c r="E191">
        <v>32039</v>
      </c>
      <c r="F191" t="s">
        <v>473</v>
      </c>
      <c r="G191">
        <v>0.48369175067886017</v>
      </c>
      <c r="H191" t="s">
        <v>62</v>
      </c>
      <c r="I191" t="s">
        <v>82</v>
      </c>
      <c r="J191">
        <v>5</v>
      </c>
      <c r="K191" t="s">
        <v>481</v>
      </c>
      <c r="L191">
        <v>10</v>
      </c>
      <c r="M191">
        <v>5</v>
      </c>
      <c r="N191">
        <v>2685</v>
      </c>
      <c r="O191" t="s">
        <v>487</v>
      </c>
      <c r="P191">
        <v>3380</v>
      </c>
      <c r="Q191" t="s">
        <v>174</v>
      </c>
      <c r="R191" t="s">
        <v>174</v>
      </c>
      <c r="S191">
        <v>3</v>
      </c>
      <c r="T191">
        <v>0</v>
      </c>
      <c r="U191">
        <v>1</v>
      </c>
      <c r="V191">
        <v>0</v>
      </c>
      <c r="W191">
        <v>3</v>
      </c>
      <c r="X191">
        <v>5</v>
      </c>
      <c r="Y191">
        <v>8</v>
      </c>
      <c r="Z191">
        <v>6</v>
      </c>
      <c r="AA191">
        <v>6</v>
      </c>
      <c r="AB191">
        <v>8</v>
      </c>
      <c r="AC191">
        <v>3</v>
      </c>
      <c r="AD191">
        <v>4</v>
      </c>
      <c r="AE191">
        <v>1</v>
      </c>
      <c r="AF191">
        <v>1</v>
      </c>
      <c r="AG191">
        <v>14</v>
      </c>
      <c r="AH191">
        <v>9</v>
      </c>
      <c r="AI191">
        <v>6</v>
      </c>
      <c r="AJ191">
        <v>4</v>
      </c>
      <c r="AK191">
        <v>3</v>
      </c>
      <c r="AL191">
        <v>1</v>
      </c>
      <c r="AM191">
        <v>0</v>
      </c>
      <c r="AN191">
        <v>1</v>
      </c>
      <c r="AO191">
        <v>0</v>
      </c>
      <c r="AP191">
        <v>1.31</v>
      </c>
      <c r="AQ191">
        <v>0</v>
      </c>
    </row>
    <row r="192" spans="1:43" x14ac:dyDescent="0.25">
      <c r="A192">
        <v>2024</v>
      </c>
      <c r="B192">
        <v>45582</v>
      </c>
      <c r="C192">
        <v>30</v>
      </c>
      <c r="D192">
        <v>23046</v>
      </c>
      <c r="E192">
        <v>60326</v>
      </c>
      <c r="F192" t="s">
        <v>477</v>
      </c>
      <c r="G192">
        <v>0.38202433444949108</v>
      </c>
      <c r="H192" t="s">
        <v>63</v>
      </c>
      <c r="I192" t="s">
        <v>89</v>
      </c>
      <c r="J192">
        <v>3</v>
      </c>
      <c r="K192" t="s">
        <v>481</v>
      </c>
      <c r="L192">
        <v>9</v>
      </c>
      <c r="M192">
        <v>6</v>
      </c>
      <c r="N192">
        <v>1260</v>
      </c>
      <c r="O192" t="s">
        <v>488</v>
      </c>
      <c r="P192">
        <v>2350</v>
      </c>
      <c r="Q192" t="s">
        <v>299</v>
      </c>
      <c r="R192" t="s">
        <v>98</v>
      </c>
      <c r="S192">
        <v>1</v>
      </c>
      <c r="T192">
        <v>1</v>
      </c>
      <c r="U192">
        <v>1</v>
      </c>
      <c r="V192">
        <v>0</v>
      </c>
      <c r="W192">
        <v>7</v>
      </c>
      <c r="X192">
        <v>3</v>
      </c>
      <c r="Y192">
        <v>9</v>
      </c>
      <c r="Z192">
        <v>10</v>
      </c>
      <c r="AA192">
        <v>10</v>
      </c>
      <c r="AB192">
        <v>9</v>
      </c>
      <c r="AC192">
        <v>4</v>
      </c>
      <c r="AD192">
        <v>0</v>
      </c>
      <c r="AE192">
        <v>0</v>
      </c>
      <c r="AF192">
        <v>3</v>
      </c>
      <c r="AG192">
        <v>14</v>
      </c>
      <c r="AH192">
        <v>18</v>
      </c>
      <c r="AI192">
        <v>8</v>
      </c>
      <c r="AJ192">
        <v>9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0.69</v>
      </c>
      <c r="AQ192">
        <v>1</v>
      </c>
    </row>
    <row r="193" spans="1:43" x14ac:dyDescent="0.25">
      <c r="A193">
        <v>2024</v>
      </c>
      <c r="B193">
        <v>45583</v>
      </c>
      <c r="C193">
        <v>30</v>
      </c>
      <c r="D193">
        <v>58117</v>
      </c>
      <c r="E193">
        <v>78838</v>
      </c>
      <c r="F193" t="s">
        <v>476</v>
      </c>
      <c r="G193">
        <v>0.7371698926913417</v>
      </c>
      <c r="H193" t="s">
        <v>77</v>
      </c>
      <c r="I193" t="s">
        <v>55</v>
      </c>
      <c r="J193">
        <v>4</v>
      </c>
      <c r="K193" t="s">
        <v>481</v>
      </c>
      <c r="L193">
        <v>11</v>
      </c>
      <c r="M193">
        <v>7</v>
      </c>
      <c r="N193">
        <v>7780</v>
      </c>
      <c r="O193" t="s">
        <v>489</v>
      </c>
      <c r="P193">
        <v>3075</v>
      </c>
      <c r="Q193" t="s">
        <v>117</v>
      </c>
      <c r="R193" t="s">
        <v>166</v>
      </c>
      <c r="S193">
        <v>0</v>
      </c>
      <c r="T193">
        <v>2</v>
      </c>
      <c r="U193">
        <v>0</v>
      </c>
      <c r="V193">
        <v>0</v>
      </c>
      <c r="W193">
        <v>5</v>
      </c>
      <c r="X193">
        <v>1</v>
      </c>
      <c r="Y193">
        <v>15</v>
      </c>
      <c r="Z193">
        <v>15</v>
      </c>
      <c r="AA193">
        <v>14</v>
      </c>
      <c r="AB193">
        <v>15</v>
      </c>
      <c r="AC193">
        <v>1</v>
      </c>
      <c r="AD193">
        <v>5</v>
      </c>
      <c r="AE193">
        <v>3</v>
      </c>
      <c r="AF193">
        <v>1</v>
      </c>
      <c r="AG193">
        <v>20</v>
      </c>
      <c r="AH193">
        <v>12</v>
      </c>
      <c r="AI193">
        <v>7</v>
      </c>
      <c r="AJ193">
        <v>3</v>
      </c>
      <c r="AK193">
        <v>-2</v>
      </c>
      <c r="AL193">
        <v>0</v>
      </c>
      <c r="AM193">
        <v>0</v>
      </c>
      <c r="AN193">
        <v>0</v>
      </c>
      <c r="AO193">
        <v>1</v>
      </c>
      <c r="AP193">
        <v>1.53</v>
      </c>
      <c r="AQ193">
        <v>0</v>
      </c>
    </row>
    <row r="194" spans="1:43" x14ac:dyDescent="0.25">
      <c r="A194">
        <v>2024</v>
      </c>
      <c r="B194">
        <v>45583</v>
      </c>
      <c r="C194">
        <v>30</v>
      </c>
      <c r="D194">
        <v>44399</v>
      </c>
      <c r="E194">
        <v>49205</v>
      </c>
      <c r="F194" t="s">
        <v>473</v>
      </c>
      <c r="G194">
        <v>0.9023269992886902</v>
      </c>
      <c r="H194" t="s">
        <v>88</v>
      </c>
      <c r="I194" t="s">
        <v>69</v>
      </c>
      <c r="J194">
        <v>18</v>
      </c>
      <c r="K194" t="s">
        <v>484</v>
      </c>
      <c r="L194">
        <v>14</v>
      </c>
      <c r="M194">
        <v>-4</v>
      </c>
      <c r="N194">
        <v>5400</v>
      </c>
      <c r="O194" t="s">
        <v>490</v>
      </c>
      <c r="P194">
        <v>2280</v>
      </c>
      <c r="Q194" t="s">
        <v>163</v>
      </c>
      <c r="R194" t="s">
        <v>209</v>
      </c>
      <c r="S194">
        <v>5</v>
      </c>
      <c r="T194">
        <v>2</v>
      </c>
      <c r="U194">
        <v>2</v>
      </c>
      <c r="V194">
        <v>2</v>
      </c>
      <c r="W194">
        <v>3</v>
      </c>
      <c r="X194">
        <v>8</v>
      </c>
      <c r="Y194">
        <v>9</v>
      </c>
      <c r="Z194">
        <v>7</v>
      </c>
      <c r="AA194">
        <v>7</v>
      </c>
      <c r="AB194">
        <v>6</v>
      </c>
      <c r="AC194">
        <v>4</v>
      </c>
      <c r="AD194">
        <v>4</v>
      </c>
      <c r="AE194">
        <v>0</v>
      </c>
      <c r="AF194">
        <v>2</v>
      </c>
      <c r="AG194">
        <v>14</v>
      </c>
      <c r="AH194">
        <v>22</v>
      </c>
      <c r="AI194">
        <v>4</v>
      </c>
      <c r="AJ194">
        <v>12</v>
      </c>
      <c r="AK194">
        <v>3</v>
      </c>
      <c r="AL194">
        <v>1</v>
      </c>
      <c r="AM194">
        <v>0</v>
      </c>
      <c r="AN194">
        <v>1</v>
      </c>
      <c r="AO194">
        <v>0</v>
      </c>
      <c r="AP194">
        <v>1.9</v>
      </c>
      <c r="AQ194">
        <v>0</v>
      </c>
    </row>
    <row r="195" spans="1:43" x14ac:dyDescent="0.25">
      <c r="A195">
        <v>2024</v>
      </c>
      <c r="B195">
        <v>45584</v>
      </c>
      <c r="C195">
        <v>30</v>
      </c>
      <c r="D195">
        <v>25189</v>
      </c>
      <c r="E195">
        <v>30618</v>
      </c>
      <c r="F195" t="s">
        <v>473</v>
      </c>
      <c r="G195">
        <v>0.82268600169834738</v>
      </c>
      <c r="H195" t="s">
        <v>94</v>
      </c>
      <c r="I195" t="s">
        <v>56</v>
      </c>
      <c r="J195">
        <v>17</v>
      </c>
      <c r="K195" t="s">
        <v>484</v>
      </c>
      <c r="L195">
        <v>15</v>
      </c>
      <c r="M195">
        <v>-2</v>
      </c>
      <c r="N195">
        <v>1285</v>
      </c>
      <c r="O195" t="s">
        <v>488</v>
      </c>
      <c r="P195">
        <v>3720</v>
      </c>
      <c r="Q195">
        <v>28</v>
      </c>
      <c r="R195" t="s">
        <v>233</v>
      </c>
      <c r="S195">
        <v>1</v>
      </c>
      <c r="T195">
        <v>0</v>
      </c>
      <c r="U195">
        <v>0</v>
      </c>
      <c r="V195">
        <v>0</v>
      </c>
      <c r="W195">
        <v>5</v>
      </c>
      <c r="X195">
        <v>5</v>
      </c>
      <c r="Y195">
        <v>15</v>
      </c>
      <c r="Z195">
        <v>8</v>
      </c>
      <c r="AA195">
        <v>8</v>
      </c>
      <c r="AB195">
        <v>14</v>
      </c>
      <c r="AC195">
        <v>0</v>
      </c>
      <c r="AD195">
        <v>2</v>
      </c>
      <c r="AE195">
        <v>2</v>
      </c>
      <c r="AF195">
        <v>0</v>
      </c>
      <c r="AG195">
        <v>11</v>
      </c>
      <c r="AH195">
        <v>9</v>
      </c>
      <c r="AI195">
        <v>5</v>
      </c>
      <c r="AJ195">
        <v>7</v>
      </c>
      <c r="AK195">
        <v>1</v>
      </c>
      <c r="AL195">
        <v>1</v>
      </c>
      <c r="AM195">
        <v>0</v>
      </c>
      <c r="AN195">
        <v>1</v>
      </c>
      <c r="AO195">
        <v>0</v>
      </c>
      <c r="AP195">
        <v>1.1599999999999999</v>
      </c>
      <c r="AQ195">
        <v>0</v>
      </c>
    </row>
    <row r="196" spans="1:43" x14ac:dyDescent="0.25">
      <c r="A196">
        <v>2024</v>
      </c>
      <c r="B196">
        <v>45584</v>
      </c>
      <c r="C196">
        <v>30</v>
      </c>
      <c r="D196">
        <v>3622</v>
      </c>
      <c r="E196">
        <v>13000</v>
      </c>
      <c r="F196" t="s">
        <v>476</v>
      </c>
      <c r="G196">
        <v>0.2786153846153846</v>
      </c>
      <c r="H196" t="s">
        <v>76</v>
      </c>
      <c r="I196" t="s">
        <v>70</v>
      </c>
      <c r="J196">
        <v>20</v>
      </c>
      <c r="K196" t="s">
        <v>484</v>
      </c>
      <c r="L196">
        <v>19</v>
      </c>
      <c r="M196">
        <v>-1</v>
      </c>
      <c r="N196">
        <v>970</v>
      </c>
      <c r="O196" t="s">
        <v>488</v>
      </c>
      <c r="P196">
        <v>1615</v>
      </c>
      <c r="Q196" t="s">
        <v>104</v>
      </c>
      <c r="R196" t="s">
        <v>74</v>
      </c>
      <c r="S196">
        <v>0</v>
      </c>
      <c r="T196">
        <v>0</v>
      </c>
      <c r="U196">
        <v>0</v>
      </c>
      <c r="V196">
        <v>0</v>
      </c>
      <c r="W196">
        <v>8</v>
      </c>
      <c r="X196">
        <v>4</v>
      </c>
      <c r="Y196">
        <v>17</v>
      </c>
      <c r="Z196">
        <v>15</v>
      </c>
      <c r="AA196">
        <v>14</v>
      </c>
      <c r="AB196">
        <v>16</v>
      </c>
      <c r="AC196">
        <v>0</v>
      </c>
      <c r="AD196">
        <v>4</v>
      </c>
      <c r="AE196">
        <v>0</v>
      </c>
      <c r="AF196">
        <v>1</v>
      </c>
      <c r="AG196">
        <v>16</v>
      </c>
      <c r="AH196">
        <v>6</v>
      </c>
      <c r="AI196">
        <v>7</v>
      </c>
      <c r="AJ196">
        <v>2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1.1599999999999999</v>
      </c>
      <c r="AQ196">
        <v>0</v>
      </c>
    </row>
    <row r="197" spans="1:43" x14ac:dyDescent="0.25">
      <c r="A197">
        <v>2024</v>
      </c>
      <c r="B197">
        <v>45584</v>
      </c>
      <c r="C197">
        <v>30</v>
      </c>
      <c r="D197">
        <v>48049</v>
      </c>
      <c r="E197">
        <v>50848</v>
      </c>
      <c r="F197" t="s">
        <v>472</v>
      </c>
      <c r="G197">
        <v>0.94495358716173694</v>
      </c>
      <c r="H197" t="s">
        <v>37</v>
      </c>
      <c r="I197" t="s">
        <v>83</v>
      </c>
      <c r="J197">
        <v>6</v>
      </c>
      <c r="K197" t="s">
        <v>482</v>
      </c>
      <c r="L197">
        <v>13</v>
      </c>
      <c r="M197">
        <v>7</v>
      </c>
      <c r="N197">
        <v>3890</v>
      </c>
      <c r="O197" t="s">
        <v>490</v>
      </c>
      <c r="P197">
        <v>4010</v>
      </c>
      <c r="Q197" t="s">
        <v>151</v>
      </c>
      <c r="R197" t="s">
        <v>166</v>
      </c>
      <c r="S197">
        <v>1</v>
      </c>
      <c r="T197">
        <v>0</v>
      </c>
      <c r="U197">
        <v>0</v>
      </c>
      <c r="V197">
        <v>0</v>
      </c>
      <c r="W197">
        <v>3</v>
      </c>
      <c r="X197">
        <v>6</v>
      </c>
      <c r="Y197">
        <v>14</v>
      </c>
      <c r="Z197">
        <v>15</v>
      </c>
      <c r="AA197">
        <v>14</v>
      </c>
      <c r="AB197">
        <v>14</v>
      </c>
      <c r="AC197">
        <v>7</v>
      </c>
      <c r="AD197">
        <v>5</v>
      </c>
      <c r="AE197">
        <v>1</v>
      </c>
      <c r="AF197">
        <v>1</v>
      </c>
      <c r="AG197">
        <v>18</v>
      </c>
      <c r="AH197">
        <v>9</v>
      </c>
      <c r="AI197">
        <v>6</v>
      </c>
      <c r="AJ197">
        <v>1</v>
      </c>
      <c r="AK197">
        <v>1</v>
      </c>
      <c r="AL197">
        <v>1</v>
      </c>
      <c r="AM197">
        <v>0</v>
      </c>
      <c r="AN197">
        <v>1</v>
      </c>
      <c r="AO197">
        <v>0</v>
      </c>
      <c r="AP197">
        <v>1.84</v>
      </c>
      <c r="AQ197">
        <v>0</v>
      </c>
    </row>
    <row r="198" spans="1:43" x14ac:dyDescent="0.25">
      <c r="A198">
        <v>2024</v>
      </c>
      <c r="B198">
        <v>45584</v>
      </c>
      <c r="C198">
        <v>30</v>
      </c>
      <c r="D198">
        <v>64727</v>
      </c>
      <c r="E198">
        <v>76931</v>
      </c>
      <c r="F198" t="s">
        <v>473</v>
      </c>
      <c r="G198">
        <v>0.84136433947303424</v>
      </c>
      <c r="H198" t="s">
        <v>51</v>
      </c>
      <c r="I198" t="s">
        <v>43</v>
      </c>
      <c r="J198">
        <v>1</v>
      </c>
      <c r="K198" t="s">
        <v>481</v>
      </c>
      <c r="L198">
        <v>12</v>
      </c>
      <c r="M198">
        <v>11</v>
      </c>
      <c r="N198">
        <v>8300</v>
      </c>
      <c r="O198" t="s">
        <v>489</v>
      </c>
      <c r="P198">
        <v>940</v>
      </c>
      <c r="Q198" t="s">
        <v>114</v>
      </c>
      <c r="R198" t="s">
        <v>205</v>
      </c>
      <c r="S198">
        <v>1</v>
      </c>
      <c r="T198">
        <v>1</v>
      </c>
      <c r="U198">
        <v>0</v>
      </c>
      <c r="V198">
        <v>0</v>
      </c>
      <c r="W198">
        <v>9</v>
      </c>
      <c r="X198">
        <v>1</v>
      </c>
      <c r="Y198">
        <v>12</v>
      </c>
      <c r="Z198">
        <v>10</v>
      </c>
      <c r="AA198">
        <v>9</v>
      </c>
      <c r="AB198">
        <v>11</v>
      </c>
      <c r="AC198">
        <v>2</v>
      </c>
      <c r="AD198">
        <v>6</v>
      </c>
      <c r="AE198">
        <v>1</v>
      </c>
      <c r="AF198">
        <v>2</v>
      </c>
      <c r="AG198">
        <v>25</v>
      </c>
      <c r="AH198">
        <v>6</v>
      </c>
      <c r="AI198">
        <v>8</v>
      </c>
      <c r="AJ198">
        <v>3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2.5</v>
      </c>
      <c r="AQ198">
        <v>0</v>
      </c>
    </row>
    <row r="199" spans="1:43" x14ac:dyDescent="0.25">
      <c r="A199">
        <v>2024</v>
      </c>
      <c r="B199">
        <v>45584</v>
      </c>
      <c r="C199">
        <v>30</v>
      </c>
      <c r="D199">
        <v>34473</v>
      </c>
      <c r="E199">
        <v>61927</v>
      </c>
      <c r="F199" t="s">
        <v>473</v>
      </c>
      <c r="G199">
        <v>0.55667156490706804</v>
      </c>
      <c r="H199" t="s">
        <v>50</v>
      </c>
      <c r="I199" t="s">
        <v>38</v>
      </c>
      <c r="J199">
        <v>8</v>
      </c>
      <c r="K199" t="s">
        <v>482</v>
      </c>
      <c r="L199">
        <v>7</v>
      </c>
      <c r="M199">
        <v>-1</v>
      </c>
      <c r="N199">
        <v>4910</v>
      </c>
      <c r="O199" t="s">
        <v>490</v>
      </c>
      <c r="P199">
        <v>3545</v>
      </c>
      <c r="Q199" t="s">
        <v>135</v>
      </c>
      <c r="R199" t="s">
        <v>129</v>
      </c>
      <c r="S199">
        <v>1</v>
      </c>
      <c r="T199">
        <v>1</v>
      </c>
      <c r="U199">
        <v>0</v>
      </c>
      <c r="V199">
        <v>0</v>
      </c>
      <c r="W199">
        <v>5</v>
      </c>
      <c r="X199">
        <v>7</v>
      </c>
      <c r="Y199">
        <v>10</v>
      </c>
      <c r="Z199">
        <v>8</v>
      </c>
      <c r="AA199">
        <v>8</v>
      </c>
      <c r="AB199">
        <v>9</v>
      </c>
      <c r="AC199">
        <v>3</v>
      </c>
      <c r="AD199">
        <v>2</v>
      </c>
      <c r="AE199">
        <v>2</v>
      </c>
      <c r="AF199">
        <v>5</v>
      </c>
      <c r="AG199">
        <v>11</v>
      </c>
      <c r="AH199">
        <v>10</v>
      </c>
      <c r="AI199">
        <v>7</v>
      </c>
      <c r="AJ199">
        <v>6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1.23</v>
      </c>
      <c r="AQ199">
        <v>0</v>
      </c>
    </row>
    <row r="200" spans="1:43" x14ac:dyDescent="0.25">
      <c r="A200">
        <v>2024</v>
      </c>
      <c r="B200">
        <v>45586</v>
      </c>
      <c r="C200">
        <v>30</v>
      </c>
      <c r="D200">
        <v>10102</v>
      </c>
      <c r="E200">
        <v>23726</v>
      </c>
      <c r="F200" t="s">
        <v>473</v>
      </c>
      <c r="G200">
        <v>0.42577762791873891</v>
      </c>
      <c r="H200" t="s">
        <v>44</v>
      </c>
      <c r="I200" t="s">
        <v>95</v>
      </c>
      <c r="J200">
        <v>16</v>
      </c>
      <c r="K200" t="s">
        <v>484</v>
      </c>
      <c r="L200">
        <v>2</v>
      </c>
      <c r="M200">
        <v>-14</v>
      </c>
      <c r="N200">
        <v>930</v>
      </c>
      <c r="O200" t="s">
        <v>488</v>
      </c>
      <c r="P200">
        <v>11600</v>
      </c>
      <c r="Q200" t="s">
        <v>98</v>
      </c>
      <c r="R200" t="s">
        <v>114</v>
      </c>
      <c r="S200">
        <v>3</v>
      </c>
      <c r="T200">
        <v>5</v>
      </c>
      <c r="U200">
        <v>1</v>
      </c>
      <c r="V200">
        <v>2</v>
      </c>
      <c r="W200">
        <v>7</v>
      </c>
      <c r="X200">
        <v>5</v>
      </c>
      <c r="Y200">
        <v>15</v>
      </c>
      <c r="Z200">
        <v>19</v>
      </c>
      <c r="AA200">
        <v>18</v>
      </c>
      <c r="AB200">
        <v>14</v>
      </c>
      <c r="AC200">
        <v>2</v>
      </c>
      <c r="AD200">
        <v>3</v>
      </c>
      <c r="AE200">
        <v>1</v>
      </c>
      <c r="AF200">
        <v>5</v>
      </c>
      <c r="AG200">
        <v>25</v>
      </c>
      <c r="AH200">
        <v>14</v>
      </c>
      <c r="AI200">
        <v>13</v>
      </c>
      <c r="AJ200">
        <v>2</v>
      </c>
      <c r="AK200">
        <v>-2</v>
      </c>
      <c r="AL200">
        <v>0</v>
      </c>
      <c r="AM200">
        <v>0</v>
      </c>
      <c r="AN200">
        <v>0</v>
      </c>
      <c r="AO200">
        <v>1</v>
      </c>
      <c r="AP200">
        <v>2.1</v>
      </c>
      <c r="AQ200">
        <v>0</v>
      </c>
    </row>
    <row r="201" spans="1:43" x14ac:dyDescent="0.25">
      <c r="A201">
        <v>2024</v>
      </c>
      <c r="B201">
        <v>45591</v>
      </c>
      <c r="C201">
        <v>31</v>
      </c>
      <c r="D201">
        <v>36959</v>
      </c>
      <c r="E201">
        <v>60540</v>
      </c>
      <c r="F201" t="s">
        <v>475</v>
      </c>
      <c r="G201">
        <v>0.61048893293690121</v>
      </c>
      <c r="H201" t="s">
        <v>83</v>
      </c>
      <c r="I201" t="s">
        <v>76</v>
      </c>
      <c r="J201">
        <v>11</v>
      </c>
      <c r="K201" t="s">
        <v>483</v>
      </c>
      <c r="L201">
        <v>20</v>
      </c>
      <c r="M201">
        <v>9</v>
      </c>
      <c r="N201">
        <v>4420</v>
      </c>
      <c r="O201" t="s">
        <v>490</v>
      </c>
      <c r="P201">
        <v>1000</v>
      </c>
      <c r="Q201" t="s">
        <v>74</v>
      </c>
      <c r="R201" t="s">
        <v>209</v>
      </c>
      <c r="S201">
        <v>3</v>
      </c>
      <c r="T201">
        <v>1</v>
      </c>
      <c r="U201">
        <v>1</v>
      </c>
      <c r="V201">
        <v>1</v>
      </c>
      <c r="W201">
        <v>4</v>
      </c>
      <c r="X201">
        <v>3</v>
      </c>
      <c r="Y201">
        <v>14</v>
      </c>
      <c r="Z201">
        <v>18</v>
      </c>
      <c r="AA201">
        <v>18</v>
      </c>
      <c r="AB201">
        <v>13</v>
      </c>
      <c r="AC201">
        <v>4</v>
      </c>
      <c r="AD201">
        <v>3</v>
      </c>
      <c r="AE201">
        <v>0</v>
      </c>
      <c r="AF201">
        <v>0</v>
      </c>
      <c r="AG201">
        <v>11</v>
      </c>
      <c r="AH201">
        <v>13</v>
      </c>
      <c r="AI201">
        <v>3</v>
      </c>
      <c r="AJ201">
        <v>4</v>
      </c>
      <c r="AK201">
        <v>2</v>
      </c>
      <c r="AL201">
        <v>1</v>
      </c>
      <c r="AM201">
        <v>0</v>
      </c>
      <c r="AN201">
        <v>1</v>
      </c>
      <c r="AO201">
        <v>0</v>
      </c>
      <c r="AP201">
        <v>1.97</v>
      </c>
      <c r="AQ201">
        <v>0</v>
      </c>
    </row>
    <row r="202" spans="1:43" x14ac:dyDescent="0.25">
      <c r="A202">
        <v>2024</v>
      </c>
      <c r="B202">
        <v>45591</v>
      </c>
      <c r="C202">
        <v>31</v>
      </c>
      <c r="D202">
        <v>40321</v>
      </c>
      <c r="E202">
        <v>43713</v>
      </c>
      <c r="F202" t="s">
        <v>473</v>
      </c>
      <c r="G202">
        <v>0.92240294649189025</v>
      </c>
      <c r="H202" t="s">
        <v>95</v>
      </c>
      <c r="I202" t="s">
        <v>63</v>
      </c>
      <c r="J202">
        <v>2</v>
      </c>
      <c r="K202" t="s">
        <v>481</v>
      </c>
      <c r="L202">
        <v>3</v>
      </c>
      <c r="M202">
        <v>1</v>
      </c>
      <c r="N202">
        <v>11300</v>
      </c>
      <c r="O202" t="s">
        <v>489</v>
      </c>
      <c r="P202">
        <v>1655</v>
      </c>
      <c r="Q202" t="s">
        <v>41</v>
      </c>
      <c r="R202" t="s">
        <v>142</v>
      </c>
      <c r="S202">
        <v>2</v>
      </c>
      <c r="T202">
        <v>2</v>
      </c>
      <c r="U202">
        <v>1</v>
      </c>
      <c r="V202">
        <v>1</v>
      </c>
      <c r="W202">
        <v>3</v>
      </c>
      <c r="X202">
        <v>3</v>
      </c>
      <c r="Y202">
        <v>9</v>
      </c>
      <c r="Z202">
        <v>17</v>
      </c>
      <c r="AA202">
        <v>15</v>
      </c>
      <c r="AB202">
        <v>9</v>
      </c>
      <c r="AC202">
        <v>1</v>
      </c>
      <c r="AD202">
        <v>4</v>
      </c>
      <c r="AE202">
        <v>0</v>
      </c>
      <c r="AF202">
        <v>0</v>
      </c>
      <c r="AG202">
        <v>16</v>
      </c>
      <c r="AH202">
        <v>11</v>
      </c>
      <c r="AI202">
        <v>5</v>
      </c>
      <c r="AJ202">
        <v>6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3.72</v>
      </c>
      <c r="AQ202">
        <v>0</v>
      </c>
    </row>
    <row r="203" spans="1:43" x14ac:dyDescent="0.25">
      <c r="A203">
        <v>2024</v>
      </c>
      <c r="B203">
        <v>45591</v>
      </c>
      <c r="C203">
        <v>31</v>
      </c>
      <c r="D203">
        <v>35959</v>
      </c>
      <c r="E203">
        <v>42372</v>
      </c>
      <c r="F203" t="s">
        <v>473</v>
      </c>
      <c r="G203">
        <v>0.84865005192108001</v>
      </c>
      <c r="H203" t="s">
        <v>69</v>
      </c>
      <c r="I203" t="s">
        <v>50</v>
      </c>
      <c r="J203">
        <v>12</v>
      </c>
      <c r="K203" t="s">
        <v>483</v>
      </c>
      <c r="L203">
        <v>8</v>
      </c>
      <c r="M203">
        <v>-4</v>
      </c>
      <c r="N203">
        <v>1465</v>
      </c>
      <c r="O203" t="s">
        <v>488</v>
      </c>
      <c r="P203">
        <v>1740</v>
      </c>
      <c r="Q203" t="s">
        <v>151</v>
      </c>
      <c r="R203" t="s">
        <v>116</v>
      </c>
      <c r="S203">
        <v>3</v>
      </c>
      <c r="T203">
        <v>0</v>
      </c>
      <c r="U203">
        <v>1</v>
      </c>
      <c r="V203">
        <v>0</v>
      </c>
      <c r="W203">
        <v>7</v>
      </c>
      <c r="X203">
        <v>1</v>
      </c>
      <c r="Y203">
        <v>14</v>
      </c>
      <c r="Z203">
        <v>14</v>
      </c>
      <c r="AA203">
        <v>13</v>
      </c>
      <c r="AB203">
        <v>14</v>
      </c>
      <c r="AC203">
        <v>0</v>
      </c>
      <c r="AD203">
        <v>3</v>
      </c>
      <c r="AE203">
        <v>0</v>
      </c>
      <c r="AF203">
        <v>0</v>
      </c>
      <c r="AG203">
        <v>19</v>
      </c>
      <c r="AH203">
        <v>2</v>
      </c>
      <c r="AI203">
        <v>8</v>
      </c>
      <c r="AJ203">
        <v>2</v>
      </c>
      <c r="AK203">
        <v>3</v>
      </c>
      <c r="AL203">
        <v>1</v>
      </c>
      <c r="AM203">
        <v>0</v>
      </c>
      <c r="AN203">
        <v>1</v>
      </c>
      <c r="AO203">
        <v>0</v>
      </c>
      <c r="AP203">
        <v>1.39</v>
      </c>
      <c r="AQ203">
        <v>0</v>
      </c>
    </row>
    <row r="204" spans="1:43" x14ac:dyDescent="0.25">
      <c r="A204">
        <v>2024</v>
      </c>
      <c r="B204">
        <v>45591</v>
      </c>
      <c r="C204">
        <v>31</v>
      </c>
      <c r="D204">
        <v>65700</v>
      </c>
      <c r="E204">
        <v>78838</v>
      </c>
      <c r="F204" t="s">
        <v>473</v>
      </c>
      <c r="G204">
        <v>0.83335447373094196</v>
      </c>
      <c r="H204" t="s">
        <v>77</v>
      </c>
      <c r="I204" t="s">
        <v>44</v>
      </c>
      <c r="J204">
        <v>4</v>
      </c>
      <c r="K204" t="s">
        <v>481</v>
      </c>
      <c r="L204">
        <v>18</v>
      </c>
      <c r="M204">
        <v>14</v>
      </c>
      <c r="N204">
        <v>8900</v>
      </c>
      <c r="O204" t="s">
        <v>489</v>
      </c>
      <c r="P204">
        <v>815</v>
      </c>
      <c r="Q204" t="s">
        <v>120</v>
      </c>
      <c r="R204" t="s">
        <v>137</v>
      </c>
      <c r="S204">
        <v>4</v>
      </c>
      <c r="T204">
        <v>2</v>
      </c>
      <c r="U204">
        <v>1</v>
      </c>
      <c r="V204">
        <v>1</v>
      </c>
      <c r="W204">
        <v>8</v>
      </c>
      <c r="X204">
        <v>1</v>
      </c>
      <c r="Y204">
        <v>8</v>
      </c>
      <c r="Z204">
        <v>14</v>
      </c>
      <c r="AA204">
        <v>13</v>
      </c>
      <c r="AB204">
        <v>8</v>
      </c>
      <c r="AC204">
        <v>1</v>
      </c>
      <c r="AD204">
        <v>6</v>
      </c>
      <c r="AE204">
        <v>2</v>
      </c>
      <c r="AF204">
        <v>1</v>
      </c>
      <c r="AG204">
        <v>20</v>
      </c>
      <c r="AH204">
        <v>5</v>
      </c>
      <c r="AI204">
        <v>7</v>
      </c>
      <c r="AJ204">
        <v>2</v>
      </c>
      <c r="AK204">
        <v>2</v>
      </c>
      <c r="AL204">
        <v>1</v>
      </c>
      <c r="AM204">
        <v>0</v>
      </c>
      <c r="AN204">
        <v>1</v>
      </c>
      <c r="AO204">
        <v>0</v>
      </c>
      <c r="AP204">
        <v>2.5299999999999998</v>
      </c>
      <c r="AQ204">
        <v>0</v>
      </c>
    </row>
    <row r="205" spans="1:43" x14ac:dyDescent="0.25">
      <c r="A205">
        <v>2024</v>
      </c>
      <c r="B205">
        <v>45591</v>
      </c>
      <c r="C205">
        <v>31</v>
      </c>
      <c r="D205">
        <v>29497</v>
      </c>
      <c r="E205">
        <v>30618</v>
      </c>
      <c r="F205" t="s">
        <v>473</v>
      </c>
      <c r="G205">
        <v>0.9633875498073029</v>
      </c>
      <c r="H205" t="s">
        <v>94</v>
      </c>
      <c r="I205" t="s">
        <v>55</v>
      </c>
      <c r="J205">
        <v>15</v>
      </c>
      <c r="K205" t="s">
        <v>483</v>
      </c>
      <c r="L205">
        <v>14</v>
      </c>
      <c r="M205">
        <v>-1</v>
      </c>
      <c r="N205">
        <v>1205</v>
      </c>
      <c r="O205" t="s">
        <v>488</v>
      </c>
      <c r="P205">
        <v>3735</v>
      </c>
      <c r="Q205" t="s">
        <v>137</v>
      </c>
      <c r="R205" t="s">
        <v>208</v>
      </c>
      <c r="S205">
        <v>2</v>
      </c>
      <c r="T205">
        <v>1</v>
      </c>
      <c r="U205">
        <v>1</v>
      </c>
      <c r="V205">
        <v>0</v>
      </c>
      <c r="W205">
        <v>7</v>
      </c>
      <c r="X205">
        <v>5</v>
      </c>
      <c r="Y205">
        <v>15</v>
      </c>
      <c r="Z205">
        <v>7</v>
      </c>
      <c r="AA205">
        <v>7</v>
      </c>
      <c r="AB205">
        <v>15</v>
      </c>
      <c r="AC205">
        <v>4</v>
      </c>
      <c r="AD205">
        <v>1</v>
      </c>
      <c r="AE205">
        <v>2</v>
      </c>
      <c r="AF205">
        <v>2</v>
      </c>
      <c r="AG205">
        <v>12</v>
      </c>
      <c r="AH205">
        <v>11</v>
      </c>
      <c r="AI205">
        <v>5</v>
      </c>
      <c r="AJ205">
        <v>3</v>
      </c>
      <c r="AK205">
        <v>1</v>
      </c>
      <c r="AL205">
        <v>1</v>
      </c>
      <c r="AM205">
        <v>0</v>
      </c>
      <c r="AN205">
        <v>1</v>
      </c>
      <c r="AO205">
        <v>0</v>
      </c>
      <c r="AP205">
        <v>1.4</v>
      </c>
      <c r="AQ20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</vt:lpstr>
      <vt:lpstr>publico</vt:lpstr>
      <vt:lpstr>k</vt:lpstr>
      <vt:lpstr>posição-valor</vt:lpstr>
      <vt:lpstr>escanteio</vt:lpstr>
      <vt:lpstr>2024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Salustriano da Silva</dc:creator>
  <cp:keywords/>
  <dc:description/>
  <cp:lastModifiedBy>Richard Salustriano da Silva</cp:lastModifiedBy>
  <cp:revision/>
  <dcterms:created xsi:type="dcterms:W3CDTF">2025-11-30T09:41:15Z</dcterms:created>
  <dcterms:modified xsi:type="dcterms:W3CDTF">2025-12-01T17:04:53Z</dcterms:modified>
  <cp:category/>
  <cp:contentStatus/>
</cp:coreProperties>
</file>